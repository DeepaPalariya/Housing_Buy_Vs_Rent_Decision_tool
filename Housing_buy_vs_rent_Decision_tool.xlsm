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Students\Desktop\Business Analytics\Project _Group 6\"/>
    </mc:Choice>
  </mc:AlternateContent>
  <xr:revisionPtr revIDLastSave="0" documentId="13_ncr:1_{32820FC6-BE83-45BA-9721-B411AA19333E}" xr6:coauthVersionLast="36" xr6:coauthVersionMax="47" xr10:uidLastSave="{00000000-0000-0000-0000-000000000000}"/>
  <bookViews>
    <workbookView xWindow="0" yWindow="0" windowWidth="23040" windowHeight="9060" activeTab="4" xr2:uid="{00000000-000D-0000-FFFF-FFFF00000000}"/>
  </bookViews>
  <sheets>
    <sheet name="Buying_Price" sheetId="1" r:id="rId1"/>
    <sheet name="Rental_Price" sheetId="2" r:id="rId2"/>
    <sheet name="Combine" sheetId="3" r:id="rId3"/>
    <sheet name="User Form" sheetId="15" r:id="rId4"/>
    <sheet name="Based_on_zipcodes" sheetId="8" r:id="rId5"/>
    <sheet name="User_inputs_based" sheetId="13" r:id="rId6"/>
    <sheet name="Housing Prices_Dashboard" sheetId="14" r:id="rId7"/>
  </sheets>
  <functionGroups builtInGroupCount="19"/>
  <definedNames>
    <definedName name="_xlnm._FilterDatabase" localSheetId="2" hidden="1">Combine!$A$4:$F$129</definedName>
    <definedName name="Annual_insurance">Based_on_zipcodes!$B$11</definedName>
    <definedName name="Annual_maintainance">Based_on_zipcodes!$B$10</definedName>
    <definedName name="Assumed_annual__after_tax__return_on_cash">Based_on_zipcodes!$B$18</definedName>
    <definedName name="Assumed_annual_appreciation">Based_on_zipcodes!$B$12</definedName>
    <definedName name="Assumed_marginal_income_tax_rate">Based_on_zipcodes!$B$13</definedName>
    <definedName name="Assumed_rental_price_inflation">Based_on_zipcodes!$B$17</definedName>
    <definedName name="Cost_of_renting_similar_home">Based_on_zipcodes!$B$16</definedName>
    <definedName name="Downpayment">Based_on_zipcodes!$B$5</definedName>
    <definedName name="Downpayment__Calculated_amount">Based_on_zipcodes!$B$6</definedName>
    <definedName name="General_inflation">Based_on_zipcodes!$B$14</definedName>
    <definedName name="Interest_rate">Based_on_zipcodes!$B$7</definedName>
    <definedName name="Monthly_mortage_payment">Based_on_zipcodes!$B$15</definedName>
    <definedName name="Principal_amortization__years">Based_on_zipcodes!$B$8</definedName>
    <definedName name="Property_tax_rate">Based_on_zipcodes!$B$9</definedName>
    <definedName name="Purchase_price">Based_on_zipcodes!$B$4</definedName>
  </definedNames>
  <calcPr calcId="191029"/>
  <extLst>
    <ext uri="GoogleSheetsCustomDataVersion1">
      <go:sheetsCustomData xmlns:go="http://customooxmlschemas.google.com/" r:id="rId11" roundtripDataSignature="AMtx7mgZylT8qxg0msv88iBLUjaFmDIgfw=="/>
    </ext>
  </extLst>
</workbook>
</file>

<file path=xl/calcChain.xml><?xml version="1.0" encoding="utf-8"?>
<calcChain xmlns="http://schemas.openxmlformats.org/spreadsheetml/2006/main">
  <c r="C37" i="8" l="1"/>
  <c r="D37" i="8" s="1"/>
  <c r="E37" i="8" s="1"/>
  <c r="F37" i="8" s="1"/>
  <c r="G37" i="8" s="1"/>
  <c r="H37" i="8" s="1"/>
  <c r="I37" i="8" s="1"/>
  <c r="J37" i="8" s="1"/>
  <c r="K37" i="8" s="1"/>
  <c r="L37" i="8" s="1"/>
  <c r="M37" i="8" s="1"/>
  <c r="N37" i="8" s="1"/>
  <c r="O37" i="8" s="1"/>
  <c r="P37" i="8" s="1"/>
  <c r="Q37" i="8" s="1"/>
  <c r="R37" i="8" s="1"/>
  <c r="S37" i="8" s="1"/>
  <c r="T37" i="8" s="1"/>
  <c r="U37" i="8" s="1"/>
  <c r="V37" i="8" s="1"/>
  <c r="W37" i="8" s="1"/>
  <c r="X37" i="8" s="1"/>
  <c r="Y37" i="8" s="1"/>
  <c r="Z37" i="8" s="1"/>
  <c r="AA37" i="8" s="1"/>
  <c r="AB37" i="8" s="1"/>
  <c r="AC37" i="8" s="1"/>
  <c r="AD37" i="8" s="1"/>
  <c r="AE37" i="8" s="1"/>
  <c r="AF37" i="8" s="1"/>
  <c r="AG37" i="8" s="1"/>
  <c r="AH37" i="8" s="1"/>
  <c r="AI37" i="8" s="1"/>
  <c r="AJ37" i="8" s="1"/>
  <c r="AK37" i="8" s="1"/>
  <c r="AL37" i="8" s="1"/>
  <c r="AM37" i="8" s="1"/>
  <c r="AN37" i="8" s="1"/>
  <c r="AO37" i="8" s="1"/>
  <c r="AP37" i="8" s="1"/>
  <c r="AQ37" i="8" s="1"/>
  <c r="AR37" i="8" s="1"/>
  <c r="AS37" i="8" s="1"/>
  <c r="AT37" i="8" s="1"/>
  <c r="AU37" i="8" s="1"/>
  <c r="AV37" i="8" s="1"/>
  <c r="AW37" i="8" s="1"/>
  <c r="AX37" i="8" s="1"/>
  <c r="AY37" i="8" s="1"/>
  <c r="AZ37" i="8" s="1"/>
  <c r="BA37" i="8" s="1"/>
  <c r="BB37" i="8" s="1"/>
  <c r="BC37" i="8" s="1"/>
  <c r="BD37" i="8" s="1"/>
  <c r="BE37" i="8" s="1"/>
  <c r="BF37" i="8" s="1"/>
  <c r="BG37" i="8" s="1"/>
  <c r="BH37" i="8" s="1"/>
  <c r="BI37" i="8" s="1"/>
  <c r="BJ37" i="8" s="1"/>
  <c r="BK37" i="8" s="1"/>
  <c r="BL37" i="8" s="1"/>
  <c r="BM37" i="8" s="1"/>
  <c r="BN37" i="8" s="1"/>
  <c r="BO37" i="8" s="1"/>
  <c r="BP37" i="8" s="1"/>
  <c r="BQ37" i="8" s="1"/>
  <c r="BR37" i="8" s="1"/>
  <c r="BS37" i="8" s="1"/>
  <c r="BT37" i="8" s="1"/>
  <c r="BU37" i="8" s="1"/>
  <c r="BV37" i="8" s="1"/>
  <c r="BW37" i="8" s="1"/>
  <c r="BX37" i="8" s="1"/>
  <c r="BY37" i="8" s="1"/>
  <c r="BZ37" i="8" s="1"/>
  <c r="CA37" i="8" s="1"/>
  <c r="CB37" i="8" s="1"/>
  <c r="CC37" i="8" s="1"/>
  <c r="CD37" i="8" s="1"/>
  <c r="CE37" i="8" s="1"/>
  <c r="CF37" i="8" s="1"/>
  <c r="CG37" i="8" s="1"/>
  <c r="CH37" i="8" s="1"/>
  <c r="CI37" i="8" s="1"/>
  <c r="CJ37" i="8" s="1"/>
  <c r="CK37" i="8" s="1"/>
  <c r="CL37" i="8" s="1"/>
  <c r="CM37" i="8" s="1"/>
  <c r="CN37" i="8" s="1"/>
  <c r="CO37" i="8" s="1"/>
  <c r="CP37" i="8" s="1"/>
  <c r="CQ37" i="8" s="1"/>
  <c r="CR37" i="8" s="1"/>
  <c r="CS37" i="8" s="1"/>
  <c r="CT37" i="8" s="1"/>
  <c r="CU37" i="8" s="1"/>
  <c r="CV37" i="8" s="1"/>
  <c r="CW37" i="8" s="1"/>
  <c r="CX37" i="8" s="1"/>
  <c r="CY37" i="8" s="1"/>
  <c r="CZ37" i="8" s="1"/>
  <c r="DA37" i="8" s="1"/>
  <c r="DB37" i="8" s="1"/>
  <c r="DC37" i="8" s="1"/>
  <c r="DD37" i="8" s="1"/>
  <c r="DE37" i="8" s="1"/>
  <c r="DF37" i="8" s="1"/>
  <c r="DG37" i="8" s="1"/>
  <c r="DH37" i="8" s="1"/>
  <c r="DI37" i="8" s="1"/>
  <c r="DJ37" i="8" s="1"/>
  <c r="DK37" i="8" s="1"/>
  <c r="DL37" i="8" s="1"/>
  <c r="DM37" i="8" s="1"/>
  <c r="DN37" i="8" s="1"/>
  <c r="DO37" i="8" s="1"/>
  <c r="DP37" i="8" s="1"/>
  <c r="DQ37" i="8" s="1"/>
  <c r="DR37" i="8" s="1"/>
  <c r="DS37" i="8" s="1"/>
  <c r="DT37" i="8" s="1"/>
  <c r="DU37" i="8" s="1"/>
  <c r="DV37" i="8" s="1"/>
  <c r="DW37" i="8" s="1"/>
  <c r="DX37" i="8" s="1"/>
  <c r="DY37" i="8" s="1"/>
  <c r="DZ37" i="8" s="1"/>
  <c r="EA37" i="8" s="1"/>
  <c r="EB37" i="8" s="1"/>
  <c r="EC37" i="8" s="1"/>
  <c r="ED37" i="8" s="1"/>
  <c r="EE37" i="8" s="1"/>
  <c r="EF37" i="8" s="1"/>
  <c r="EG37" i="8" s="1"/>
  <c r="EH37" i="8" s="1"/>
  <c r="EI37" i="8" s="1"/>
  <c r="EJ37" i="8" s="1"/>
  <c r="EK37" i="8" s="1"/>
  <c r="EL37" i="8" s="1"/>
  <c r="EM37" i="8" s="1"/>
  <c r="EN37" i="8" s="1"/>
  <c r="EO37" i="8" s="1"/>
  <c r="EP37" i="8" s="1"/>
  <c r="EQ37" i="8" s="1"/>
  <c r="ER37" i="8" s="1"/>
  <c r="ES37" i="8" s="1"/>
  <c r="ET37" i="8" s="1"/>
  <c r="EU37" i="8" s="1"/>
  <c r="EV37" i="8" s="1"/>
  <c r="EW37" i="8" s="1"/>
  <c r="EX37" i="8" s="1"/>
  <c r="EY37" i="8" s="1"/>
  <c r="EZ37" i="8" s="1"/>
  <c r="FA37" i="8" s="1"/>
  <c r="FB37" i="8" s="1"/>
  <c r="FC37" i="8" s="1"/>
  <c r="FD37" i="8" s="1"/>
  <c r="FE37" i="8" s="1"/>
  <c r="FF37" i="8" s="1"/>
  <c r="FG37" i="8" s="1"/>
  <c r="FH37" i="8" s="1"/>
  <c r="FI37" i="8" s="1"/>
  <c r="FJ37" i="8" s="1"/>
  <c r="FK37" i="8" s="1"/>
  <c r="FL37" i="8" s="1"/>
  <c r="FM37" i="8" s="1"/>
  <c r="FN37" i="8" s="1"/>
  <c r="FO37" i="8" s="1"/>
  <c r="FP37" i="8" s="1"/>
  <c r="FQ37" i="8" s="1"/>
  <c r="FR37" i="8" s="1"/>
  <c r="FS37" i="8" s="1"/>
  <c r="FT37" i="8" s="1"/>
  <c r="FU37" i="8" s="1"/>
  <c r="FV37" i="8" s="1"/>
  <c r="FW37" i="8" s="1"/>
  <c r="FX37" i="8" s="1"/>
  <c r="FY37" i="8" s="1"/>
  <c r="FZ37" i="8" s="1"/>
  <c r="GA37" i="8" s="1"/>
  <c r="GB37" i="8" s="1"/>
  <c r="GC37" i="8" s="1"/>
  <c r="GD37" i="8" s="1"/>
  <c r="GE37" i="8" s="1"/>
  <c r="GF37" i="8" s="1"/>
  <c r="GG37" i="8" s="1"/>
  <c r="GH37" i="8" s="1"/>
  <c r="GI37" i="8" s="1"/>
  <c r="GJ37" i="8" s="1"/>
  <c r="GK37" i="8" s="1"/>
  <c r="GL37" i="8" s="1"/>
  <c r="GM37" i="8" s="1"/>
  <c r="GN37" i="8" s="1"/>
  <c r="GO37" i="8" s="1"/>
  <c r="GP37" i="8" s="1"/>
  <c r="GQ37" i="8" s="1"/>
  <c r="GR37" i="8" s="1"/>
  <c r="GS37" i="8" s="1"/>
  <c r="GT37" i="8" s="1"/>
  <c r="GU37" i="8" s="1"/>
  <c r="GV37" i="8" s="1"/>
  <c r="GW37" i="8" s="1"/>
  <c r="GX37" i="8" s="1"/>
  <c r="GY37" i="8" s="1"/>
  <c r="GZ37" i="8" s="1"/>
  <c r="HA37" i="8" s="1"/>
  <c r="HB37" i="8" s="1"/>
  <c r="HC37" i="8" s="1"/>
  <c r="HD37" i="8" s="1"/>
  <c r="HE37" i="8" s="1"/>
  <c r="HF37" i="8" s="1"/>
  <c r="HG37" i="8" s="1"/>
  <c r="HH37" i="8" s="1"/>
  <c r="HI37" i="8" s="1"/>
  <c r="HJ37" i="8" s="1"/>
  <c r="HK37" i="8" s="1"/>
  <c r="HL37" i="8" s="1"/>
  <c r="HM37" i="8" s="1"/>
  <c r="HN37" i="8" s="1"/>
  <c r="HO37" i="8" s="1"/>
  <c r="HP37" i="8" s="1"/>
  <c r="HQ37" i="8" s="1"/>
  <c r="HR37" i="8" s="1"/>
  <c r="HS37" i="8" s="1"/>
  <c r="HT37" i="8" s="1"/>
  <c r="HU37" i="8" s="1"/>
  <c r="HV37" i="8" s="1"/>
  <c r="HW37" i="8" s="1"/>
  <c r="HX37" i="8" s="1"/>
  <c r="HY37" i="8" s="1"/>
  <c r="HZ37" i="8" s="1"/>
  <c r="IA37" i="8" s="1"/>
  <c r="IB37" i="8" s="1"/>
  <c r="IC37" i="8" s="1"/>
  <c r="ID37" i="8" s="1"/>
  <c r="IE37" i="8" s="1"/>
  <c r="IF37" i="8" s="1"/>
  <c r="IG37" i="8" s="1"/>
  <c r="IH37" i="8" s="1"/>
  <c r="II37" i="8" s="1"/>
  <c r="IJ37" i="8" s="1"/>
  <c r="IK37" i="8" s="1"/>
  <c r="IL37" i="8" s="1"/>
  <c r="IM37" i="8" s="1"/>
  <c r="IN37" i="8" s="1"/>
  <c r="IO37" i="8" s="1"/>
  <c r="IP37" i="8" s="1"/>
  <c r="IQ37" i="8" s="1"/>
  <c r="IR37" i="8" s="1"/>
  <c r="IS37" i="8" s="1"/>
  <c r="IT37" i="8" s="1"/>
  <c r="IU37" i="8" s="1"/>
  <c r="IV37" i="8" s="1"/>
  <c r="IW37" i="8" s="1"/>
  <c r="IX37" i="8" s="1"/>
  <c r="IY37" i="8" s="1"/>
  <c r="IZ37" i="8" s="1"/>
  <c r="JA37" i="8" s="1"/>
  <c r="JB37" i="8" s="1"/>
  <c r="JC37" i="8" s="1"/>
  <c r="JD37" i="8" s="1"/>
  <c r="JE37" i="8" s="1"/>
  <c r="JF37" i="8" s="1"/>
  <c r="JG37" i="8" s="1"/>
  <c r="JH37" i="8" s="1"/>
  <c r="JI37" i="8" s="1"/>
  <c r="JJ37" i="8" s="1"/>
  <c r="JK37" i="8" s="1"/>
  <c r="JL37" i="8" s="1"/>
  <c r="JM37" i="8" s="1"/>
  <c r="JN37" i="8" s="1"/>
  <c r="JO37" i="8" s="1"/>
  <c r="JP37" i="8" s="1"/>
  <c r="JQ37" i="8" s="1"/>
  <c r="JR37" i="8" s="1"/>
  <c r="JS37" i="8" s="1"/>
  <c r="JT37" i="8" s="1"/>
  <c r="JU37" i="8" s="1"/>
  <c r="JV37" i="8" s="1"/>
  <c r="JW37" i="8" s="1"/>
  <c r="JX37" i="8" s="1"/>
  <c r="JY37" i="8" s="1"/>
  <c r="JZ37" i="8" s="1"/>
  <c r="KA37" i="8" s="1"/>
  <c r="KB37" i="8" s="1"/>
  <c r="KC37" i="8" s="1"/>
  <c r="KD37" i="8" s="1"/>
  <c r="KE37" i="8" s="1"/>
  <c r="KF37" i="8" s="1"/>
  <c r="KG37" i="8" s="1"/>
  <c r="KH37" i="8" s="1"/>
  <c r="KI37" i="8" s="1"/>
  <c r="KJ37" i="8" s="1"/>
  <c r="KK37" i="8" s="1"/>
  <c r="KL37" i="8" s="1"/>
  <c r="KM37" i="8" s="1"/>
  <c r="KN37" i="8" s="1"/>
  <c r="KO37" i="8" s="1"/>
  <c r="KP37" i="8" s="1"/>
  <c r="KQ37" i="8" s="1"/>
  <c r="KR37" i="8" s="1"/>
  <c r="KS37" i="8" s="1"/>
  <c r="KT37" i="8" s="1"/>
  <c r="KU37" i="8" s="1"/>
  <c r="KV37" i="8" s="1"/>
  <c r="KW37" i="8" s="1"/>
  <c r="KX37" i="8" s="1"/>
  <c r="KY37" i="8" s="1"/>
  <c r="KZ37" i="8" s="1"/>
  <c r="LA37" i="8" s="1"/>
  <c r="LB37" i="8" s="1"/>
  <c r="LC37" i="8" s="1"/>
  <c r="LD37" i="8" s="1"/>
  <c r="LE37" i="8" s="1"/>
  <c r="LF37" i="8" s="1"/>
  <c r="LG37" i="8" s="1"/>
  <c r="LH37" i="8" s="1"/>
  <c r="LI37" i="8" s="1"/>
  <c r="LJ37" i="8" s="1"/>
  <c r="LK37" i="8" s="1"/>
  <c r="LL37" i="8" s="1"/>
  <c r="LM37" i="8" s="1"/>
  <c r="LN37" i="8" s="1"/>
  <c r="LO37" i="8" s="1"/>
  <c r="LP37" i="8" s="1"/>
  <c r="LQ37" i="8" s="1"/>
  <c r="LR37" i="8" s="1"/>
  <c r="LS37" i="8" s="1"/>
  <c r="LT37" i="8" s="1"/>
  <c r="LU37" i="8" s="1"/>
  <c r="LV37" i="8" s="1"/>
  <c r="LW37" i="8" s="1"/>
  <c r="LX37" i="8" s="1"/>
  <c r="LY37" i="8" s="1"/>
  <c r="LZ37" i="8" s="1"/>
  <c r="MA37" i="8" s="1"/>
  <c r="MB37" i="8" s="1"/>
  <c r="MC37" i="8" s="1"/>
  <c r="MD37" i="8" s="1"/>
  <c r="ME37" i="8" s="1"/>
  <c r="MF37" i="8" s="1"/>
  <c r="MG37" i="8" s="1"/>
  <c r="MH37" i="8" s="1"/>
  <c r="MI37" i="8" s="1"/>
  <c r="MJ37" i="8" s="1"/>
  <c r="MK37" i="8" s="1"/>
  <c r="ML37" i="8" s="1"/>
  <c r="MM37" i="8" s="1"/>
  <c r="MN37" i="8" s="1"/>
  <c r="MO37" i="8" s="1"/>
  <c r="MP37" i="8" s="1"/>
  <c r="MQ37" i="8" s="1"/>
  <c r="MR37" i="8" s="1"/>
  <c r="MS37" i="8" s="1"/>
  <c r="MT37" i="8" s="1"/>
  <c r="MU37" i="8" s="1"/>
  <c r="MV37" i="8" s="1"/>
  <c r="MW37" i="8" s="1"/>
  <c r="MX37" i="8" s="1"/>
  <c r="B38" i="8"/>
  <c r="B37" i="8"/>
  <c r="C30" i="8"/>
  <c r="D30" i="8"/>
  <c r="E30" i="8"/>
  <c r="F30" i="8"/>
  <c r="G30" i="8"/>
  <c r="H30" i="8"/>
  <c r="I30" i="8"/>
  <c r="J30" i="8"/>
  <c r="K30" i="8"/>
  <c r="L30" i="8"/>
  <c r="M30" i="8"/>
  <c r="N30" i="8"/>
  <c r="O30" i="8"/>
  <c r="P30" i="8"/>
  <c r="Q30" i="8"/>
  <c r="R30" i="8"/>
  <c r="S30" i="8"/>
  <c r="T30" i="8"/>
  <c r="U30" i="8"/>
  <c r="V30" i="8"/>
  <c r="W30" i="8"/>
  <c r="X30" i="8"/>
  <c r="Y30" i="8"/>
  <c r="Z30" i="8"/>
  <c r="AA30" i="8"/>
  <c r="AB30" i="8"/>
  <c r="AC30" i="8"/>
  <c r="AD30" i="8"/>
  <c r="AE30" i="8"/>
  <c r="AF30" i="8"/>
  <c r="AG30" i="8"/>
  <c r="AH30" i="8"/>
  <c r="AI30" i="8"/>
  <c r="AJ30" i="8"/>
  <c r="AK30" i="8"/>
  <c r="AL30" i="8"/>
  <c r="AM30" i="8"/>
  <c r="AN30" i="8"/>
  <c r="AO30" i="8"/>
  <c r="AP30" i="8"/>
  <c r="AQ30" i="8"/>
  <c r="AR30" i="8"/>
  <c r="AS30" i="8"/>
  <c r="AT30" i="8"/>
  <c r="AU30" i="8"/>
  <c r="AV30" i="8"/>
  <c r="AW30" i="8"/>
  <c r="AX30" i="8"/>
  <c r="AY30" i="8"/>
  <c r="AZ30" i="8"/>
  <c r="BA30" i="8"/>
  <c r="BB30" i="8"/>
  <c r="BC30" i="8"/>
  <c r="BD30" i="8"/>
  <c r="BE30" i="8"/>
  <c r="BF30" i="8"/>
  <c r="BG30" i="8"/>
  <c r="BH30" i="8"/>
  <c r="BI30" i="8"/>
  <c r="BJ30" i="8"/>
  <c r="BK30" i="8"/>
  <c r="BL30" i="8"/>
  <c r="BM30" i="8"/>
  <c r="BN30" i="8"/>
  <c r="BO30" i="8"/>
  <c r="BP30" i="8"/>
  <c r="BQ30" i="8"/>
  <c r="BR30" i="8"/>
  <c r="BS30" i="8"/>
  <c r="BT30" i="8"/>
  <c r="BU30" i="8"/>
  <c r="BV30" i="8"/>
  <c r="BW30" i="8"/>
  <c r="BX30" i="8"/>
  <c r="BY30" i="8"/>
  <c r="BZ30" i="8"/>
  <c r="CA30" i="8"/>
  <c r="CB30" i="8"/>
  <c r="CC30" i="8"/>
  <c r="CD30" i="8"/>
  <c r="CE30" i="8"/>
  <c r="CF30" i="8"/>
  <c r="CG30" i="8"/>
  <c r="CH30" i="8"/>
  <c r="CI30" i="8"/>
  <c r="CJ30" i="8"/>
  <c r="CK30" i="8"/>
  <c r="CL30" i="8"/>
  <c r="CM30" i="8"/>
  <c r="CN30" i="8"/>
  <c r="CO30" i="8"/>
  <c r="CP30" i="8"/>
  <c r="CQ30" i="8"/>
  <c r="CR30" i="8"/>
  <c r="CS30" i="8"/>
  <c r="CT30" i="8"/>
  <c r="CU30" i="8"/>
  <c r="CV30" i="8"/>
  <c r="CW30" i="8"/>
  <c r="CX30" i="8"/>
  <c r="CY30" i="8"/>
  <c r="CZ30" i="8"/>
  <c r="DA30" i="8"/>
  <c r="DB30" i="8"/>
  <c r="DC30" i="8"/>
  <c r="DD30" i="8"/>
  <c r="DE30" i="8"/>
  <c r="DF30" i="8"/>
  <c r="DG30" i="8"/>
  <c r="DH30" i="8"/>
  <c r="DI30" i="8"/>
  <c r="DJ30" i="8"/>
  <c r="DK30" i="8"/>
  <c r="DL30" i="8"/>
  <c r="DM30" i="8"/>
  <c r="DN30" i="8"/>
  <c r="DO30" i="8"/>
  <c r="DP30" i="8"/>
  <c r="DQ30" i="8"/>
  <c r="DR30" i="8"/>
  <c r="DS30" i="8"/>
  <c r="DT30" i="8"/>
  <c r="DU30" i="8"/>
  <c r="DV30" i="8"/>
  <c r="DW30" i="8"/>
  <c r="DX30" i="8"/>
  <c r="DY30" i="8"/>
  <c r="DZ30" i="8"/>
  <c r="EA30" i="8"/>
  <c r="EB30" i="8"/>
  <c r="EC30" i="8"/>
  <c r="ED30" i="8"/>
  <c r="EE30" i="8"/>
  <c r="EF30" i="8"/>
  <c r="EG30" i="8"/>
  <c r="EH30" i="8"/>
  <c r="EI30" i="8"/>
  <c r="EJ30" i="8"/>
  <c r="EK30" i="8"/>
  <c r="EL30" i="8"/>
  <c r="EM30" i="8"/>
  <c r="EN30" i="8"/>
  <c r="EO30" i="8"/>
  <c r="EP30" i="8"/>
  <c r="EQ30" i="8"/>
  <c r="ER30" i="8"/>
  <c r="ES30" i="8"/>
  <c r="ET30" i="8"/>
  <c r="EU30" i="8"/>
  <c r="EV30" i="8"/>
  <c r="EW30" i="8"/>
  <c r="EX30" i="8"/>
  <c r="EY30" i="8"/>
  <c r="EZ30" i="8"/>
  <c r="FA30" i="8"/>
  <c r="FB30" i="8"/>
  <c r="FC30" i="8"/>
  <c r="FD30" i="8"/>
  <c r="FE30" i="8"/>
  <c r="FF30" i="8"/>
  <c r="FG30" i="8"/>
  <c r="FH30" i="8"/>
  <c r="FI30" i="8"/>
  <c r="FJ30" i="8"/>
  <c r="FK30" i="8"/>
  <c r="FL30" i="8"/>
  <c r="FM30" i="8"/>
  <c r="FN30" i="8"/>
  <c r="FO30" i="8"/>
  <c r="FP30" i="8"/>
  <c r="FQ30" i="8"/>
  <c r="FR30" i="8"/>
  <c r="FS30" i="8"/>
  <c r="FT30" i="8"/>
  <c r="FU30" i="8"/>
  <c r="FV30" i="8"/>
  <c r="FW30" i="8"/>
  <c r="FX30" i="8"/>
  <c r="FY30" i="8"/>
  <c r="FZ30" i="8"/>
  <c r="GA30" i="8"/>
  <c r="GB30" i="8"/>
  <c r="GC30" i="8"/>
  <c r="GD30" i="8"/>
  <c r="GE30" i="8"/>
  <c r="GF30" i="8"/>
  <c r="GG30" i="8"/>
  <c r="GH30" i="8"/>
  <c r="GI30" i="8"/>
  <c r="GJ30" i="8"/>
  <c r="GK30" i="8"/>
  <c r="GL30" i="8"/>
  <c r="GM30" i="8"/>
  <c r="GN30" i="8"/>
  <c r="GO30" i="8"/>
  <c r="GP30" i="8"/>
  <c r="GQ30" i="8"/>
  <c r="GR30" i="8"/>
  <c r="GS30" i="8"/>
  <c r="GT30" i="8"/>
  <c r="GU30" i="8"/>
  <c r="GV30" i="8"/>
  <c r="GW30" i="8"/>
  <c r="GX30" i="8"/>
  <c r="GY30" i="8"/>
  <c r="GZ30" i="8"/>
  <c r="HA30" i="8"/>
  <c r="HB30" i="8"/>
  <c r="HC30" i="8"/>
  <c r="HD30" i="8"/>
  <c r="HE30" i="8"/>
  <c r="HF30" i="8"/>
  <c r="HG30" i="8"/>
  <c r="HH30" i="8"/>
  <c r="HI30" i="8"/>
  <c r="HJ30" i="8"/>
  <c r="HK30" i="8"/>
  <c r="HL30" i="8"/>
  <c r="HM30" i="8"/>
  <c r="HN30" i="8"/>
  <c r="HO30" i="8"/>
  <c r="HP30" i="8"/>
  <c r="HQ30" i="8"/>
  <c r="HR30" i="8"/>
  <c r="HS30" i="8"/>
  <c r="HT30" i="8"/>
  <c r="HU30" i="8"/>
  <c r="HV30" i="8"/>
  <c r="HW30" i="8"/>
  <c r="HX30" i="8"/>
  <c r="HY30" i="8"/>
  <c r="HZ30" i="8"/>
  <c r="IA30" i="8"/>
  <c r="IB30" i="8"/>
  <c r="IC30" i="8"/>
  <c r="ID30" i="8"/>
  <c r="IE30" i="8"/>
  <c r="IF30" i="8"/>
  <c r="IG30" i="8"/>
  <c r="IH30" i="8"/>
  <c r="II30" i="8"/>
  <c r="IJ30" i="8"/>
  <c r="IK30" i="8"/>
  <c r="IL30" i="8"/>
  <c r="IM30" i="8"/>
  <c r="IN30" i="8"/>
  <c r="IO30" i="8"/>
  <c r="IP30" i="8"/>
  <c r="IQ30" i="8"/>
  <c r="IR30" i="8"/>
  <c r="IS30" i="8"/>
  <c r="IT30" i="8"/>
  <c r="IU30" i="8"/>
  <c r="IV30" i="8"/>
  <c r="IW30" i="8"/>
  <c r="IX30" i="8"/>
  <c r="IY30" i="8"/>
  <c r="IZ30" i="8"/>
  <c r="JA30" i="8"/>
  <c r="JB30" i="8"/>
  <c r="JC30" i="8"/>
  <c r="JD30" i="8"/>
  <c r="JE30" i="8"/>
  <c r="JF30" i="8"/>
  <c r="JG30" i="8"/>
  <c r="JH30" i="8"/>
  <c r="JI30" i="8"/>
  <c r="JJ30" i="8"/>
  <c r="JK30" i="8"/>
  <c r="JL30" i="8"/>
  <c r="JM30" i="8"/>
  <c r="JN30" i="8"/>
  <c r="JO30" i="8"/>
  <c r="JP30" i="8"/>
  <c r="JQ30" i="8"/>
  <c r="JR30" i="8"/>
  <c r="JS30" i="8"/>
  <c r="JT30" i="8"/>
  <c r="JU30" i="8"/>
  <c r="JV30" i="8"/>
  <c r="JW30" i="8"/>
  <c r="JX30" i="8"/>
  <c r="JY30" i="8"/>
  <c r="JZ30" i="8"/>
  <c r="KA30" i="8"/>
  <c r="KB30" i="8"/>
  <c r="KC30" i="8"/>
  <c r="KD30" i="8"/>
  <c r="KE30" i="8"/>
  <c r="KF30" i="8"/>
  <c r="KG30" i="8"/>
  <c r="KH30" i="8"/>
  <c r="KI30" i="8"/>
  <c r="KJ30" i="8"/>
  <c r="KK30" i="8"/>
  <c r="KL30" i="8"/>
  <c r="KM30" i="8"/>
  <c r="KN30" i="8"/>
  <c r="KO30" i="8"/>
  <c r="KP30" i="8"/>
  <c r="KQ30" i="8"/>
  <c r="KR30" i="8"/>
  <c r="KS30" i="8"/>
  <c r="KT30" i="8"/>
  <c r="KU30" i="8"/>
  <c r="KV30" i="8"/>
  <c r="KW30" i="8"/>
  <c r="KX30" i="8"/>
  <c r="KY30" i="8"/>
  <c r="KZ30" i="8"/>
  <c r="LA30" i="8"/>
  <c r="LB30" i="8"/>
  <c r="LC30" i="8"/>
  <c r="LD30" i="8"/>
  <c r="LE30" i="8"/>
  <c r="LF30" i="8"/>
  <c r="LG30" i="8"/>
  <c r="LH30" i="8"/>
  <c r="LI30" i="8"/>
  <c r="LJ30" i="8"/>
  <c r="LK30" i="8"/>
  <c r="LL30" i="8"/>
  <c r="LM30" i="8"/>
  <c r="LN30" i="8"/>
  <c r="LO30" i="8"/>
  <c r="LP30" i="8"/>
  <c r="LQ30" i="8"/>
  <c r="LR30" i="8"/>
  <c r="LS30" i="8"/>
  <c r="LT30" i="8"/>
  <c r="LU30" i="8"/>
  <c r="LV30" i="8"/>
  <c r="LW30" i="8"/>
  <c r="LX30" i="8"/>
  <c r="LY30" i="8"/>
  <c r="LZ30" i="8"/>
  <c r="MA30" i="8"/>
  <c r="MB30" i="8"/>
  <c r="MC30" i="8"/>
  <c r="MD30" i="8"/>
  <c r="ME30" i="8"/>
  <c r="MF30" i="8"/>
  <c r="MG30" i="8"/>
  <c r="MH30" i="8"/>
  <c r="MI30" i="8"/>
  <c r="MJ30" i="8"/>
  <c r="MK30" i="8"/>
  <c r="ML30" i="8"/>
  <c r="MM30" i="8"/>
  <c r="MN30" i="8"/>
  <c r="MO30" i="8"/>
  <c r="MP30" i="8"/>
  <c r="MQ30" i="8"/>
  <c r="MR30" i="8"/>
  <c r="MS30" i="8"/>
  <c r="MT30" i="8"/>
  <c r="MU30" i="8"/>
  <c r="MV30" i="8"/>
  <c r="MW30" i="8"/>
  <c r="MX30" i="8"/>
  <c r="C29" i="8"/>
  <c r="D29" i="8"/>
  <c r="E29" i="8"/>
  <c r="F29" i="8"/>
  <c r="G29" i="8"/>
  <c r="H29" i="8"/>
  <c r="I29" i="8"/>
  <c r="J29" i="8"/>
  <c r="K29" i="8"/>
  <c r="L29" i="8"/>
  <c r="M29" i="8"/>
  <c r="N29" i="8"/>
  <c r="O29" i="8"/>
  <c r="P29" i="8"/>
  <c r="Q29" i="8"/>
  <c r="R29" i="8"/>
  <c r="S29" i="8"/>
  <c r="T29" i="8"/>
  <c r="U29" i="8"/>
  <c r="V29" i="8"/>
  <c r="W29" i="8"/>
  <c r="X29" i="8"/>
  <c r="Y29" i="8"/>
  <c r="Z29" i="8"/>
  <c r="AA29" i="8"/>
  <c r="AB29" i="8"/>
  <c r="AC29" i="8"/>
  <c r="AD29" i="8"/>
  <c r="AE29" i="8"/>
  <c r="AF29" i="8"/>
  <c r="AG29" i="8"/>
  <c r="AH29" i="8"/>
  <c r="AI29" i="8"/>
  <c r="AJ29" i="8"/>
  <c r="AK29" i="8"/>
  <c r="AL29" i="8"/>
  <c r="AM29" i="8"/>
  <c r="AN29" i="8"/>
  <c r="AO29" i="8"/>
  <c r="AP29" i="8"/>
  <c r="AQ29" i="8"/>
  <c r="AR29" i="8"/>
  <c r="AS29" i="8"/>
  <c r="AT29" i="8"/>
  <c r="AU29" i="8"/>
  <c r="AV29" i="8"/>
  <c r="AW29" i="8"/>
  <c r="AX29" i="8"/>
  <c r="AY29" i="8"/>
  <c r="AZ29" i="8"/>
  <c r="BA29" i="8"/>
  <c r="BB29" i="8"/>
  <c r="BC29" i="8"/>
  <c r="BD29" i="8"/>
  <c r="BE29" i="8"/>
  <c r="BF29" i="8"/>
  <c r="BG29" i="8"/>
  <c r="BH29" i="8"/>
  <c r="BI29" i="8"/>
  <c r="BJ29" i="8"/>
  <c r="BK29" i="8"/>
  <c r="BL29" i="8"/>
  <c r="BM29" i="8"/>
  <c r="BN29" i="8"/>
  <c r="BO29" i="8"/>
  <c r="BP29" i="8"/>
  <c r="BQ29" i="8"/>
  <c r="BR29" i="8"/>
  <c r="BS29" i="8"/>
  <c r="BT29" i="8"/>
  <c r="BU29" i="8"/>
  <c r="BV29" i="8"/>
  <c r="BW29" i="8"/>
  <c r="BX29" i="8"/>
  <c r="BY29" i="8"/>
  <c r="BZ29" i="8"/>
  <c r="CA29" i="8"/>
  <c r="CB29" i="8"/>
  <c r="CC29" i="8"/>
  <c r="CD29" i="8"/>
  <c r="CE29" i="8"/>
  <c r="CF29" i="8"/>
  <c r="CG29" i="8"/>
  <c r="CH29" i="8"/>
  <c r="CI29" i="8"/>
  <c r="CJ29" i="8"/>
  <c r="CK29" i="8"/>
  <c r="CL29" i="8"/>
  <c r="CM29" i="8"/>
  <c r="CN29" i="8"/>
  <c r="CO29" i="8"/>
  <c r="CP29" i="8"/>
  <c r="CQ29" i="8"/>
  <c r="CR29" i="8"/>
  <c r="CS29" i="8"/>
  <c r="CT29" i="8"/>
  <c r="CU29" i="8"/>
  <c r="CV29" i="8"/>
  <c r="CW29" i="8"/>
  <c r="CX29" i="8"/>
  <c r="CY29" i="8"/>
  <c r="CZ29" i="8"/>
  <c r="DA29" i="8"/>
  <c r="DB29" i="8"/>
  <c r="DC29" i="8"/>
  <c r="DD29" i="8"/>
  <c r="DE29" i="8"/>
  <c r="DF29" i="8"/>
  <c r="DG29" i="8"/>
  <c r="DH29" i="8"/>
  <c r="DI29" i="8"/>
  <c r="DJ29" i="8"/>
  <c r="DK29" i="8"/>
  <c r="DL29" i="8"/>
  <c r="DM29" i="8"/>
  <c r="DN29" i="8"/>
  <c r="DO29" i="8"/>
  <c r="DP29" i="8"/>
  <c r="DQ29" i="8"/>
  <c r="DR29" i="8"/>
  <c r="DS29" i="8"/>
  <c r="DT29" i="8"/>
  <c r="DU29" i="8"/>
  <c r="DV29" i="8"/>
  <c r="DW29" i="8"/>
  <c r="DX29" i="8"/>
  <c r="DY29" i="8"/>
  <c r="DZ29" i="8"/>
  <c r="EA29" i="8"/>
  <c r="EB29" i="8"/>
  <c r="EC29" i="8"/>
  <c r="ED29" i="8"/>
  <c r="EE29" i="8"/>
  <c r="EF29" i="8"/>
  <c r="EG29" i="8"/>
  <c r="EH29" i="8"/>
  <c r="EI29" i="8"/>
  <c r="EJ29" i="8"/>
  <c r="EK29" i="8"/>
  <c r="EL29" i="8"/>
  <c r="EM29" i="8"/>
  <c r="EN29" i="8"/>
  <c r="EO29" i="8"/>
  <c r="EP29" i="8"/>
  <c r="EQ29" i="8"/>
  <c r="ER29" i="8"/>
  <c r="ES29" i="8"/>
  <c r="ET29" i="8"/>
  <c r="EU29" i="8"/>
  <c r="EV29" i="8"/>
  <c r="EW29" i="8"/>
  <c r="EX29" i="8"/>
  <c r="EY29" i="8"/>
  <c r="EZ29" i="8"/>
  <c r="FA29" i="8"/>
  <c r="FB29" i="8"/>
  <c r="FC29" i="8"/>
  <c r="FD29" i="8"/>
  <c r="FE29" i="8"/>
  <c r="FF29" i="8"/>
  <c r="FG29" i="8"/>
  <c r="FH29" i="8"/>
  <c r="FI29" i="8"/>
  <c r="FJ29" i="8"/>
  <c r="FK29" i="8"/>
  <c r="FL29" i="8"/>
  <c r="FM29" i="8"/>
  <c r="FN29" i="8"/>
  <c r="FO29" i="8"/>
  <c r="FP29" i="8"/>
  <c r="FQ29" i="8"/>
  <c r="FR29" i="8"/>
  <c r="FS29" i="8"/>
  <c r="FT29" i="8"/>
  <c r="FU29" i="8"/>
  <c r="FV29" i="8"/>
  <c r="FW29" i="8"/>
  <c r="FX29" i="8"/>
  <c r="FY29" i="8"/>
  <c r="FZ29" i="8"/>
  <c r="GA29" i="8"/>
  <c r="GB29" i="8"/>
  <c r="GC29" i="8"/>
  <c r="GD29" i="8"/>
  <c r="GE29" i="8"/>
  <c r="GF29" i="8"/>
  <c r="GG29" i="8"/>
  <c r="GH29" i="8"/>
  <c r="GI29" i="8"/>
  <c r="GJ29" i="8"/>
  <c r="GK29" i="8"/>
  <c r="GL29" i="8"/>
  <c r="GM29" i="8"/>
  <c r="GN29" i="8"/>
  <c r="GO29" i="8"/>
  <c r="GP29" i="8"/>
  <c r="GQ29" i="8"/>
  <c r="GR29" i="8"/>
  <c r="GS29" i="8"/>
  <c r="GT29" i="8"/>
  <c r="GU29" i="8"/>
  <c r="GV29" i="8"/>
  <c r="GW29" i="8"/>
  <c r="GX29" i="8"/>
  <c r="GY29" i="8"/>
  <c r="GZ29" i="8"/>
  <c r="HA29" i="8"/>
  <c r="HB29" i="8"/>
  <c r="HC29" i="8"/>
  <c r="HD29" i="8"/>
  <c r="HE29" i="8"/>
  <c r="HF29" i="8"/>
  <c r="HG29" i="8"/>
  <c r="HH29" i="8"/>
  <c r="HI29" i="8"/>
  <c r="HJ29" i="8"/>
  <c r="HK29" i="8"/>
  <c r="HL29" i="8"/>
  <c r="HM29" i="8"/>
  <c r="HN29" i="8"/>
  <c r="HO29" i="8"/>
  <c r="HP29" i="8"/>
  <c r="HQ29" i="8"/>
  <c r="HR29" i="8"/>
  <c r="HS29" i="8"/>
  <c r="HT29" i="8"/>
  <c r="HU29" i="8"/>
  <c r="HV29" i="8"/>
  <c r="HW29" i="8"/>
  <c r="HX29" i="8"/>
  <c r="HY29" i="8"/>
  <c r="HZ29" i="8"/>
  <c r="IA29" i="8"/>
  <c r="IB29" i="8"/>
  <c r="IC29" i="8"/>
  <c r="ID29" i="8"/>
  <c r="IE29" i="8"/>
  <c r="IF29" i="8"/>
  <c r="IG29" i="8"/>
  <c r="IH29" i="8"/>
  <c r="II29" i="8"/>
  <c r="IJ29" i="8"/>
  <c r="IK29" i="8"/>
  <c r="IL29" i="8"/>
  <c r="IM29" i="8"/>
  <c r="IN29" i="8"/>
  <c r="IO29" i="8"/>
  <c r="IP29" i="8"/>
  <c r="IQ29" i="8"/>
  <c r="IR29" i="8"/>
  <c r="IS29" i="8"/>
  <c r="IT29" i="8"/>
  <c r="IU29" i="8"/>
  <c r="IV29" i="8"/>
  <c r="IW29" i="8"/>
  <c r="IX29" i="8"/>
  <c r="IY29" i="8"/>
  <c r="IZ29" i="8"/>
  <c r="JA29" i="8"/>
  <c r="JB29" i="8"/>
  <c r="JC29" i="8"/>
  <c r="JD29" i="8"/>
  <c r="JE29" i="8"/>
  <c r="JF29" i="8"/>
  <c r="JG29" i="8"/>
  <c r="JH29" i="8"/>
  <c r="JI29" i="8"/>
  <c r="JJ29" i="8"/>
  <c r="JK29" i="8"/>
  <c r="JL29" i="8"/>
  <c r="JM29" i="8"/>
  <c r="JN29" i="8"/>
  <c r="JO29" i="8"/>
  <c r="JP29" i="8"/>
  <c r="JQ29" i="8"/>
  <c r="JR29" i="8"/>
  <c r="JS29" i="8"/>
  <c r="JT29" i="8"/>
  <c r="JU29" i="8"/>
  <c r="JV29" i="8"/>
  <c r="JW29" i="8"/>
  <c r="JX29" i="8"/>
  <c r="JY29" i="8"/>
  <c r="JZ29" i="8"/>
  <c r="KA29" i="8"/>
  <c r="KB29" i="8"/>
  <c r="KC29" i="8"/>
  <c r="KD29" i="8"/>
  <c r="KE29" i="8"/>
  <c r="KF29" i="8"/>
  <c r="KG29" i="8"/>
  <c r="KH29" i="8"/>
  <c r="KI29" i="8"/>
  <c r="KJ29" i="8"/>
  <c r="KK29" i="8"/>
  <c r="KL29" i="8"/>
  <c r="KM29" i="8"/>
  <c r="KN29" i="8"/>
  <c r="KO29" i="8"/>
  <c r="KP29" i="8"/>
  <c r="KQ29" i="8"/>
  <c r="KR29" i="8"/>
  <c r="KS29" i="8"/>
  <c r="KT29" i="8"/>
  <c r="KU29" i="8"/>
  <c r="KV29" i="8"/>
  <c r="KW29" i="8"/>
  <c r="KX29" i="8"/>
  <c r="KY29" i="8"/>
  <c r="KZ29" i="8"/>
  <c r="LA29" i="8"/>
  <c r="LB29" i="8"/>
  <c r="LC29" i="8"/>
  <c r="LD29" i="8"/>
  <c r="LE29" i="8"/>
  <c r="LF29" i="8"/>
  <c r="LG29" i="8"/>
  <c r="LH29" i="8"/>
  <c r="LI29" i="8"/>
  <c r="LJ29" i="8"/>
  <c r="LK29" i="8"/>
  <c r="LL29" i="8"/>
  <c r="LM29" i="8"/>
  <c r="LN29" i="8"/>
  <c r="LO29" i="8"/>
  <c r="LP29" i="8"/>
  <c r="LQ29" i="8"/>
  <c r="LR29" i="8"/>
  <c r="LS29" i="8"/>
  <c r="LT29" i="8"/>
  <c r="LU29" i="8"/>
  <c r="LV29" i="8"/>
  <c r="LW29" i="8"/>
  <c r="LX29" i="8"/>
  <c r="LY29" i="8"/>
  <c r="LZ29" i="8"/>
  <c r="MA29" i="8"/>
  <c r="MB29" i="8"/>
  <c r="MC29" i="8"/>
  <c r="MD29" i="8"/>
  <c r="ME29" i="8"/>
  <c r="MF29" i="8"/>
  <c r="MG29" i="8"/>
  <c r="MH29" i="8"/>
  <c r="MI29" i="8"/>
  <c r="MJ29" i="8"/>
  <c r="MK29" i="8"/>
  <c r="ML29" i="8"/>
  <c r="MM29" i="8"/>
  <c r="MN29" i="8"/>
  <c r="MO29" i="8"/>
  <c r="MP29" i="8"/>
  <c r="MQ29" i="8"/>
  <c r="MR29" i="8"/>
  <c r="MS29" i="8"/>
  <c r="MT29" i="8"/>
  <c r="MU29" i="8"/>
  <c r="MV29" i="8"/>
  <c r="MW29" i="8"/>
  <c r="MX29" i="8"/>
  <c r="C28" i="8"/>
  <c r="D28" i="8"/>
  <c r="E28" i="8"/>
  <c r="F28" i="8"/>
  <c r="G28" i="8"/>
  <c r="H28" i="8"/>
  <c r="I28" i="8"/>
  <c r="J28" i="8"/>
  <c r="K28" i="8"/>
  <c r="L28" i="8"/>
  <c r="M28" i="8"/>
  <c r="N28" i="8"/>
  <c r="O28" i="8"/>
  <c r="P28" i="8"/>
  <c r="Q28" i="8"/>
  <c r="R28" i="8"/>
  <c r="S28" i="8"/>
  <c r="T28" i="8"/>
  <c r="U28" i="8"/>
  <c r="V28" i="8"/>
  <c r="W28" i="8"/>
  <c r="X28" i="8"/>
  <c r="Y28" i="8"/>
  <c r="Z28" i="8"/>
  <c r="AA28" i="8"/>
  <c r="AB28" i="8"/>
  <c r="AC28" i="8"/>
  <c r="AD28" i="8"/>
  <c r="AE28" i="8"/>
  <c r="AF28" i="8"/>
  <c r="AG28" i="8"/>
  <c r="AH28" i="8"/>
  <c r="AI28" i="8"/>
  <c r="AJ28" i="8"/>
  <c r="AK28" i="8"/>
  <c r="AL28" i="8"/>
  <c r="AM28" i="8"/>
  <c r="AN28" i="8"/>
  <c r="AO28" i="8"/>
  <c r="AP28" i="8"/>
  <c r="AQ28" i="8"/>
  <c r="AR28" i="8"/>
  <c r="AS28" i="8"/>
  <c r="AT28" i="8"/>
  <c r="AU28" i="8"/>
  <c r="AV28" i="8"/>
  <c r="AW28" i="8"/>
  <c r="AX28" i="8"/>
  <c r="AY28" i="8"/>
  <c r="AZ28" i="8"/>
  <c r="BA28" i="8"/>
  <c r="BB28" i="8"/>
  <c r="BC28" i="8"/>
  <c r="BD28" i="8"/>
  <c r="BE28" i="8"/>
  <c r="BF28" i="8"/>
  <c r="BG28" i="8"/>
  <c r="BH28" i="8"/>
  <c r="BI28" i="8"/>
  <c r="BJ28" i="8"/>
  <c r="BK28" i="8"/>
  <c r="BL28" i="8"/>
  <c r="BM28" i="8"/>
  <c r="BN28" i="8"/>
  <c r="BO28" i="8"/>
  <c r="BP28" i="8"/>
  <c r="BQ28" i="8"/>
  <c r="BR28" i="8"/>
  <c r="BS28" i="8"/>
  <c r="BT28" i="8"/>
  <c r="BU28" i="8"/>
  <c r="BV28" i="8"/>
  <c r="BW28" i="8"/>
  <c r="BX28" i="8"/>
  <c r="BY28" i="8"/>
  <c r="BZ28" i="8"/>
  <c r="CA28" i="8"/>
  <c r="CB28" i="8"/>
  <c r="CC28" i="8"/>
  <c r="CD28" i="8"/>
  <c r="CE28" i="8"/>
  <c r="CF28" i="8"/>
  <c r="CG28" i="8"/>
  <c r="CH28" i="8"/>
  <c r="CI28" i="8"/>
  <c r="CJ28" i="8"/>
  <c r="CK28" i="8"/>
  <c r="CL28" i="8"/>
  <c r="CM28" i="8"/>
  <c r="CN28" i="8"/>
  <c r="CO28" i="8"/>
  <c r="CP28" i="8"/>
  <c r="CQ28" i="8"/>
  <c r="CR28" i="8"/>
  <c r="CS28" i="8"/>
  <c r="CT28" i="8"/>
  <c r="CU28" i="8"/>
  <c r="CV28" i="8"/>
  <c r="CW28" i="8"/>
  <c r="CX28" i="8"/>
  <c r="CY28" i="8"/>
  <c r="CZ28" i="8"/>
  <c r="DA28" i="8"/>
  <c r="DB28" i="8"/>
  <c r="DC28" i="8"/>
  <c r="DD28" i="8"/>
  <c r="DE28" i="8"/>
  <c r="DF28" i="8"/>
  <c r="DG28" i="8"/>
  <c r="DH28" i="8"/>
  <c r="DI28" i="8"/>
  <c r="DJ28" i="8"/>
  <c r="DK28" i="8"/>
  <c r="DL28" i="8"/>
  <c r="DM28" i="8"/>
  <c r="DN28" i="8"/>
  <c r="DO28" i="8"/>
  <c r="DP28" i="8"/>
  <c r="DQ28" i="8"/>
  <c r="DR28" i="8"/>
  <c r="DS28" i="8"/>
  <c r="DT28" i="8"/>
  <c r="DU28" i="8"/>
  <c r="DV28" i="8"/>
  <c r="DW28" i="8"/>
  <c r="DX28" i="8"/>
  <c r="DY28" i="8"/>
  <c r="DZ28" i="8"/>
  <c r="EA28" i="8"/>
  <c r="EB28" i="8"/>
  <c r="EC28" i="8"/>
  <c r="ED28" i="8"/>
  <c r="EE28" i="8"/>
  <c r="EF28" i="8"/>
  <c r="EG28" i="8"/>
  <c r="EH28" i="8"/>
  <c r="EI28" i="8"/>
  <c r="EJ28" i="8"/>
  <c r="EK28" i="8"/>
  <c r="EL28" i="8"/>
  <c r="EM28" i="8"/>
  <c r="EN28" i="8"/>
  <c r="EO28" i="8"/>
  <c r="EP28" i="8"/>
  <c r="EQ28" i="8"/>
  <c r="ER28" i="8"/>
  <c r="ES28" i="8"/>
  <c r="ET28" i="8"/>
  <c r="EU28" i="8"/>
  <c r="EV28" i="8"/>
  <c r="EW28" i="8"/>
  <c r="EX28" i="8"/>
  <c r="EY28" i="8"/>
  <c r="EZ28" i="8"/>
  <c r="FA28" i="8"/>
  <c r="FB28" i="8"/>
  <c r="FC28" i="8"/>
  <c r="FD28" i="8"/>
  <c r="FE28" i="8"/>
  <c r="FF28" i="8"/>
  <c r="FG28" i="8"/>
  <c r="FH28" i="8"/>
  <c r="FI28" i="8"/>
  <c r="FJ28" i="8"/>
  <c r="FK28" i="8"/>
  <c r="FL28" i="8"/>
  <c r="FM28" i="8"/>
  <c r="FN28" i="8"/>
  <c r="FO28" i="8"/>
  <c r="FP28" i="8"/>
  <c r="FQ28" i="8"/>
  <c r="FR28" i="8"/>
  <c r="FS28" i="8"/>
  <c r="FT28" i="8"/>
  <c r="FU28" i="8"/>
  <c r="FV28" i="8"/>
  <c r="FW28" i="8"/>
  <c r="FX28" i="8"/>
  <c r="FY28" i="8"/>
  <c r="FZ28" i="8"/>
  <c r="GA28" i="8"/>
  <c r="GB28" i="8"/>
  <c r="GC28" i="8"/>
  <c r="GD28" i="8"/>
  <c r="GE28" i="8"/>
  <c r="GF28" i="8"/>
  <c r="GG28" i="8"/>
  <c r="GH28" i="8"/>
  <c r="GI28" i="8"/>
  <c r="GJ28" i="8"/>
  <c r="GK28" i="8"/>
  <c r="GL28" i="8"/>
  <c r="GM28" i="8"/>
  <c r="GN28" i="8"/>
  <c r="GO28" i="8"/>
  <c r="GP28" i="8"/>
  <c r="GQ28" i="8"/>
  <c r="GR28" i="8"/>
  <c r="GS28" i="8"/>
  <c r="GT28" i="8"/>
  <c r="GU28" i="8"/>
  <c r="GV28" i="8"/>
  <c r="GW28" i="8"/>
  <c r="GX28" i="8"/>
  <c r="GY28" i="8"/>
  <c r="GZ28" i="8"/>
  <c r="HA28" i="8"/>
  <c r="HB28" i="8"/>
  <c r="HC28" i="8"/>
  <c r="HD28" i="8"/>
  <c r="HE28" i="8"/>
  <c r="HF28" i="8"/>
  <c r="HG28" i="8"/>
  <c r="HH28" i="8"/>
  <c r="HI28" i="8"/>
  <c r="HJ28" i="8"/>
  <c r="HK28" i="8"/>
  <c r="HL28" i="8"/>
  <c r="HM28" i="8"/>
  <c r="HN28" i="8"/>
  <c r="HO28" i="8"/>
  <c r="HP28" i="8"/>
  <c r="HQ28" i="8"/>
  <c r="HR28" i="8"/>
  <c r="HS28" i="8"/>
  <c r="HT28" i="8"/>
  <c r="HU28" i="8"/>
  <c r="HV28" i="8"/>
  <c r="HW28" i="8"/>
  <c r="HX28" i="8"/>
  <c r="HY28" i="8"/>
  <c r="HZ28" i="8"/>
  <c r="IA28" i="8"/>
  <c r="IB28" i="8"/>
  <c r="IC28" i="8"/>
  <c r="ID28" i="8"/>
  <c r="IE28" i="8"/>
  <c r="IF28" i="8"/>
  <c r="IG28" i="8"/>
  <c r="IH28" i="8"/>
  <c r="II28" i="8"/>
  <c r="IJ28" i="8"/>
  <c r="IK28" i="8"/>
  <c r="IL28" i="8"/>
  <c r="IM28" i="8"/>
  <c r="IN28" i="8"/>
  <c r="IO28" i="8"/>
  <c r="IP28" i="8"/>
  <c r="IQ28" i="8"/>
  <c r="IR28" i="8"/>
  <c r="IS28" i="8"/>
  <c r="IT28" i="8"/>
  <c r="IU28" i="8"/>
  <c r="IV28" i="8"/>
  <c r="IW28" i="8"/>
  <c r="IX28" i="8"/>
  <c r="IY28" i="8"/>
  <c r="IZ28" i="8"/>
  <c r="JA28" i="8"/>
  <c r="JB28" i="8"/>
  <c r="JC28" i="8"/>
  <c r="JD28" i="8"/>
  <c r="JE28" i="8"/>
  <c r="JF28" i="8"/>
  <c r="JG28" i="8"/>
  <c r="JH28" i="8"/>
  <c r="JI28" i="8"/>
  <c r="JJ28" i="8"/>
  <c r="JK28" i="8"/>
  <c r="JL28" i="8"/>
  <c r="JM28" i="8"/>
  <c r="JN28" i="8"/>
  <c r="JO28" i="8"/>
  <c r="JP28" i="8"/>
  <c r="JQ28" i="8"/>
  <c r="JR28" i="8"/>
  <c r="JS28" i="8"/>
  <c r="JT28" i="8"/>
  <c r="JU28" i="8"/>
  <c r="JV28" i="8"/>
  <c r="JW28" i="8"/>
  <c r="JX28" i="8"/>
  <c r="JY28" i="8"/>
  <c r="JZ28" i="8"/>
  <c r="KA28" i="8"/>
  <c r="KB28" i="8"/>
  <c r="KC28" i="8"/>
  <c r="KD28" i="8"/>
  <c r="KE28" i="8"/>
  <c r="KF28" i="8"/>
  <c r="KG28" i="8"/>
  <c r="KH28" i="8"/>
  <c r="KI28" i="8"/>
  <c r="KJ28" i="8"/>
  <c r="KK28" i="8"/>
  <c r="KL28" i="8"/>
  <c r="KM28" i="8"/>
  <c r="KN28" i="8"/>
  <c r="KO28" i="8"/>
  <c r="KP28" i="8"/>
  <c r="KQ28" i="8"/>
  <c r="KR28" i="8"/>
  <c r="KS28" i="8"/>
  <c r="KT28" i="8"/>
  <c r="KU28" i="8"/>
  <c r="KV28" i="8"/>
  <c r="KW28" i="8"/>
  <c r="KX28" i="8"/>
  <c r="KY28" i="8"/>
  <c r="KZ28" i="8"/>
  <c r="LA28" i="8"/>
  <c r="LB28" i="8"/>
  <c r="LC28" i="8"/>
  <c r="LD28" i="8"/>
  <c r="LE28" i="8"/>
  <c r="LF28" i="8"/>
  <c r="LG28" i="8"/>
  <c r="LH28" i="8"/>
  <c r="LI28" i="8"/>
  <c r="LJ28" i="8"/>
  <c r="LK28" i="8"/>
  <c r="LL28" i="8"/>
  <c r="LM28" i="8"/>
  <c r="LN28" i="8"/>
  <c r="LO28" i="8"/>
  <c r="LP28" i="8"/>
  <c r="LQ28" i="8"/>
  <c r="LR28" i="8"/>
  <c r="LS28" i="8"/>
  <c r="LT28" i="8"/>
  <c r="LU28" i="8"/>
  <c r="LV28" i="8"/>
  <c r="LW28" i="8"/>
  <c r="LX28" i="8"/>
  <c r="LY28" i="8"/>
  <c r="LZ28" i="8"/>
  <c r="MA28" i="8"/>
  <c r="MB28" i="8"/>
  <c r="MC28" i="8"/>
  <c r="MD28" i="8"/>
  <c r="ME28" i="8"/>
  <c r="MF28" i="8"/>
  <c r="MG28" i="8"/>
  <c r="MH28" i="8"/>
  <c r="MI28" i="8"/>
  <c r="MJ28" i="8"/>
  <c r="MK28" i="8"/>
  <c r="ML28" i="8"/>
  <c r="MM28" i="8"/>
  <c r="MN28" i="8"/>
  <c r="MO28" i="8"/>
  <c r="MP28" i="8"/>
  <c r="MQ28" i="8"/>
  <c r="MR28" i="8"/>
  <c r="MS28" i="8"/>
  <c r="MT28" i="8"/>
  <c r="MU28" i="8"/>
  <c r="MV28" i="8"/>
  <c r="MW28" i="8"/>
  <c r="MX28" i="8"/>
  <c r="C25" i="8"/>
  <c r="C31" i="8" s="1"/>
  <c r="C22" i="8"/>
  <c r="D22" i="8" s="1"/>
  <c r="E22" i="8" s="1"/>
  <c r="F22" i="8" s="1"/>
  <c r="G22" i="8" s="1"/>
  <c r="H22" i="8" s="1"/>
  <c r="I22" i="8" s="1"/>
  <c r="J22" i="8" s="1"/>
  <c r="K22" i="8" s="1"/>
  <c r="L22" i="8" s="1"/>
  <c r="M22" i="8" s="1"/>
  <c r="N22" i="8" s="1"/>
  <c r="O22" i="8" s="1"/>
  <c r="P22" i="8" s="1"/>
  <c r="Q22" i="8" s="1"/>
  <c r="R22" i="8" s="1"/>
  <c r="S22" i="8" s="1"/>
  <c r="T22" i="8" s="1"/>
  <c r="U22" i="8" s="1"/>
  <c r="V22" i="8" s="1"/>
  <c r="W22" i="8" s="1"/>
  <c r="X22" i="8" s="1"/>
  <c r="Y22" i="8" s="1"/>
  <c r="Z22" i="8" s="1"/>
  <c r="AA22" i="8" s="1"/>
  <c r="AB22" i="8" s="1"/>
  <c r="AC22" i="8" s="1"/>
  <c r="AD22" i="8" s="1"/>
  <c r="AE22" i="8" s="1"/>
  <c r="AF22" i="8" s="1"/>
  <c r="AG22" i="8" s="1"/>
  <c r="AH22" i="8" s="1"/>
  <c r="AI22" i="8" s="1"/>
  <c r="AJ22" i="8" s="1"/>
  <c r="AK22" i="8" s="1"/>
  <c r="AL22" i="8" s="1"/>
  <c r="AM22" i="8" s="1"/>
  <c r="AN22" i="8" s="1"/>
  <c r="AO22" i="8" s="1"/>
  <c r="AP22" i="8" s="1"/>
  <c r="AQ22" i="8" s="1"/>
  <c r="AR22" i="8" s="1"/>
  <c r="AS22" i="8" s="1"/>
  <c r="AT22" i="8" s="1"/>
  <c r="AU22" i="8" s="1"/>
  <c r="AV22" i="8" s="1"/>
  <c r="AW22" i="8" s="1"/>
  <c r="AX22" i="8" s="1"/>
  <c r="AY22" i="8" s="1"/>
  <c r="AZ22" i="8" s="1"/>
  <c r="BA22" i="8" s="1"/>
  <c r="BB22" i="8" s="1"/>
  <c r="BC22" i="8" s="1"/>
  <c r="BD22" i="8" s="1"/>
  <c r="BE22" i="8" s="1"/>
  <c r="BF22" i="8" s="1"/>
  <c r="BG22" i="8" s="1"/>
  <c r="BH22" i="8" s="1"/>
  <c r="BI22" i="8" s="1"/>
  <c r="BJ22" i="8" s="1"/>
  <c r="BK22" i="8" s="1"/>
  <c r="BL22" i="8" s="1"/>
  <c r="BM22" i="8" s="1"/>
  <c r="BN22" i="8" s="1"/>
  <c r="BO22" i="8" s="1"/>
  <c r="BP22" i="8" s="1"/>
  <c r="BQ22" i="8" s="1"/>
  <c r="BR22" i="8" s="1"/>
  <c r="BS22" i="8" s="1"/>
  <c r="BT22" i="8" s="1"/>
  <c r="BU22" i="8" s="1"/>
  <c r="BV22" i="8" s="1"/>
  <c r="BW22" i="8" s="1"/>
  <c r="BX22" i="8" s="1"/>
  <c r="BY22" i="8" s="1"/>
  <c r="BZ22" i="8" s="1"/>
  <c r="CA22" i="8" s="1"/>
  <c r="CB22" i="8" s="1"/>
  <c r="CC22" i="8" s="1"/>
  <c r="CD22" i="8" s="1"/>
  <c r="CE22" i="8" s="1"/>
  <c r="CF22" i="8" s="1"/>
  <c r="CG22" i="8" s="1"/>
  <c r="CH22" i="8" s="1"/>
  <c r="CI22" i="8" s="1"/>
  <c r="CJ22" i="8" s="1"/>
  <c r="CK22" i="8" s="1"/>
  <c r="CL22" i="8" s="1"/>
  <c r="CM22" i="8" s="1"/>
  <c r="CN22" i="8" s="1"/>
  <c r="CO22" i="8" s="1"/>
  <c r="CP22" i="8" s="1"/>
  <c r="CQ22" i="8" s="1"/>
  <c r="CR22" i="8" s="1"/>
  <c r="CS22" i="8" s="1"/>
  <c r="CT22" i="8" s="1"/>
  <c r="CU22" i="8" s="1"/>
  <c r="CV22" i="8" s="1"/>
  <c r="CW22" i="8" s="1"/>
  <c r="CX22" i="8" s="1"/>
  <c r="CY22" i="8" s="1"/>
  <c r="CZ22" i="8" s="1"/>
  <c r="DA22" i="8" s="1"/>
  <c r="DB22" i="8" s="1"/>
  <c r="DC22" i="8" s="1"/>
  <c r="DD22" i="8" s="1"/>
  <c r="DE22" i="8" s="1"/>
  <c r="DF22" i="8" s="1"/>
  <c r="DG22" i="8" s="1"/>
  <c r="DH22" i="8" s="1"/>
  <c r="DI22" i="8" s="1"/>
  <c r="DJ22" i="8" s="1"/>
  <c r="DK22" i="8" s="1"/>
  <c r="DL22" i="8" s="1"/>
  <c r="DM22" i="8" s="1"/>
  <c r="DN22" i="8" s="1"/>
  <c r="DO22" i="8" s="1"/>
  <c r="DP22" i="8" s="1"/>
  <c r="DQ22" i="8" s="1"/>
  <c r="DR22" i="8" s="1"/>
  <c r="DS22" i="8" s="1"/>
  <c r="DT22" i="8" s="1"/>
  <c r="DU22" i="8" s="1"/>
  <c r="DV22" i="8" s="1"/>
  <c r="DW22" i="8" s="1"/>
  <c r="DX22" i="8" s="1"/>
  <c r="DY22" i="8" s="1"/>
  <c r="DZ22" i="8" s="1"/>
  <c r="EA22" i="8" s="1"/>
  <c r="EB22" i="8" s="1"/>
  <c r="EC22" i="8" s="1"/>
  <c r="ED22" i="8" s="1"/>
  <c r="EE22" i="8" s="1"/>
  <c r="EF22" i="8" s="1"/>
  <c r="EG22" i="8" s="1"/>
  <c r="EH22" i="8" s="1"/>
  <c r="EI22" i="8" s="1"/>
  <c r="EJ22" i="8" s="1"/>
  <c r="EK22" i="8" s="1"/>
  <c r="EL22" i="8" s="1"/>
  <c r="EM22" i="8" s="1"/>
  <c r="EN22" i="8" s="1"/>
  <c r="EO22" i="8" s="1"/>
  <c r="EP22" i="8" s="1"/>
  <c r="EQ22" i="8" s="1"/>
  <c r="ER22" i="8" s="1"/>
  <c r="ES22" i="8" s="1"/>
  <c r="ET22" i="8" s="1"/>
  <c r="EU22" i="8" s="1"/>
  <c r="EV22" i="8" s="1"/>
  <c r="EW22" i="8" s="1"/>
  <c r="EX22" i="8" s="1"/>
  <c r="EY22" i="8" s="1"/>
  <c r="EZ22" i="8" s="1"/>
  <c r="FA22" i="8" s="1"/>
  <c r="FB22" i="8" s="1"/>
  <c r="FC22" i="8" s="1"/>
  <c r="FD22" i="8" s="1"/>
  <c r="FE22" i="8" s="1"/>
  <c r="FF22" i="8" s="1"/>
  <c r="FG22" i="8" s="1"/>
  <c r="FH22" i="8" s="1"/>
  <c r="FI22" i="8" s="1"/>
  <c r="FJ22" i="8" s="1"/>
  <c r="FK22" i="8" s="1"/>
  <c r="FL22" i="8" s="1"/>
  <c r="FM22" i="8" s="1"/>
  <c r="FN22" i="8" s="1"/>
  <c r="FO22" i="8" s="1"/>
  <c r="FP22" i="8" s="1"/>
  <c r="FQ22" i="8" s="1"/>
  <c r="FR22" i="8" s="1"/>
  <c r="FS22" i="8" s="1"/>
  <c r="FT22" i="8" s="1"/>
  <c r="FU22" i="8" s="1"/>
  <c r="FV22" i="8" s="1"/>
  <c r="FW22" i="8" s="1"/>
  <c r="FX22" i="8" s="1"/>
  <c r="FY22" i="8" s="1"/>
  <c r="FZ22" i="8" s="1"/>
  <c r="GA22" i="8" s="1"/>
  <c r="GB22" i="8" s="1"/>
  <c r="GC22" i="8" s="1"/>
  <c r="GD22" i="8" s="1"/>
  <c r="GE22" i="8" s="1"/>
  <c r="GF22" i="8" s="1"/>
  <c r="GG22" i="8" s="1"/>
  <c r="GH22" i="8" s="1"/>
  <c r="GI22" i="8" s="1"/>
  <c r="GJ22" i="8" s="1"/>
  <c r="GK22" i="8" s="1"/>
  <c r="GL22" i="8" s="1"/>
  <c r="GM22" i="8" s="1"/>
  <c r="GN22" i="8" s="1"/>
  <c r="GO22" i="8" s="1"/>
  <c r="GP22" i="8" s="1"/>
  <c r="GQ22" i="8" s="1"/>
  <c r="GR22" i="8" s="1"/>
  <c r="GS22" i="8" s="1"/>
  <c r="GT22" i="8" s="1"/>
  <c r="GU22" i="8" s="1"/>
  <c r="GV22" i="8" s="1"/>
  <c r="GW22" i="8" s="1"/>
  <c r="GX22" i="8" s="1"/>
  <c r="GY22" i="8" s="1"/>
  <c r="GZ22" i="8" s="1"/>
  <c r="HA22" i="8" s="1"/>
  <c r="HB22" i="8" s="1"/>
  <c r="HC22" i="8" s="1"/>
  <c r="HD22" i="8" s="1"/>
  <c r="HE22" i="8" s="1"/>
  <c r="HF22" i="8" s="1"/>
  <c r="HG22" i="8" s="1"/>
  <c r="HH22" i="8" s="1"/>
  <c r="HI22" i="8" s="1"/>
  <c r="HJ22" i="8" s="1"/>
  <c r="HK22" i="8" s="1"/>
  <c r="HL22" i="8" s="1"/>
  <c r="HM22" i="8" s="1"/>
  <c r="HN22" i="8" s="1"/>
  <c r="HO22" i="8" s="1"/>
  <c r="HP22" i="8" s="1"/>
  <c r="HQ22" i="8" s="1"/>
  <c r="HR22" i="8" s="1"/>
  <c r="HS22" i="8" s="1"/>
  <c r="HT22" i="8" s="1"/>
  <c r="HU22" i="8" s="1"/>
  <c r="HV22" i="8" s="1"/>
  <c r="HW22" i="8" s="1"/>
  <c r="HX22" i="8" s="1"/>
  <c r="HY22" i="8" s="1"/>
  <c r="HZ22" i="8" s="1"/>
  <c r="IA22" i="8" s="1"/>
  <c r="IB22" i="8" s="1"/>
  <c r="IC22" i="8" s="1"/>
  <c r="ID22" i="8" s="1"/>
  <c r="IE22" i="8" s="1"/>
  <c r="IF22" i="8" s="1"/>
  <c r="IG22" i="8" s="1"/>
  <c r="IH22" i="8" s="1"/>
  <c r="II22" i="8" s="1"/>
  <c r="IJ22" i="8" s="1"/>
  <c r="IK22" i="8" s="1"/>
  <c r="IL22" i="8" s="1"/>
  <c r="IM22" i="8" s="1"/>
  <c r="IN22" i="8" s="1"/>
  <c r="IO22" i="8" s="1"/>
  <c r="IP22" i="8" s="1"/>
  <c r="IQ22" i="8" s="1"/>
  <c r="IR22" i="8" s="1"/>
  <c r="IS22" i="8" s="1"/>
  <c r="IT22" i="8" s="1"/>
  <c r="IU22" i="8" s="1"/>
  <c r="IV22" i="8" s="1"/>
  <c r="IW22" i="8" s="1"/>
  <c r="IX22" i="8" s="1"/>
  <c r="IY22" i="8" s="1"/>
  <c r="IZ22" i="8" s="1"/>
  <c r="JA22" i="8" s="1"/>
  <c r="JB22" i="8" s="1"/>
  <c r="JC22" i="8" s="1"/>
  <c r="JD22" i="8" s="1"/>
  <c r="JE22" i="8" s="1"/>
  <c r="JF22" i="8" s="1"/>
  <c r="JG22" i="8" s="1"/>
  <c r="JH22" i="8" s="1"/>
  <c r="JI22" i="8" s="1"/>
  <c r="JJ22" i="8" s="1"/>
  <c r="JK22" i="8" s="1"/>
  <c r="JL22" i="8" s="1"/>
  <c r="JM22" i="8" s="1"/>
  <c r="JN22" i="8" s="1"/>
  <c r="JO22" i="8" s="1"/>
  <c r="JP22" i="8" s="1"/>
  <c r="JQ22" i="8" s="1"/>
  <c r="JR22" i="8" s="1"/>
  <c r="JS22" i="8" s="1"/>
  <c r="JT22" i="8" s="1"/>
  <c r="JU22" i="8" s="1"/>
  <c r="JV22" i="8" s="1"/>
  <c r="JW22" i="8" s="1"/>
  <c r="JX22" i="8" s="1"/>
  <c r="JY22" i="8" s="1"/>
  <c r="JZ22" i="8" s="1"/>
  <c r="KA22" i="8" s="1"/>
  <c r="KB22" i="8" s="1"/>
  <c r="KC22" i="8" s="1"/>
  <c r="KD22" i="8" s="1"/>
  <c r="KE22" i="8" s="1"/>
  <c r="KF22" i="8" s="1"/>
  <c r="KG22" i="8" s="1"/>
  <c r="KH22" i="8" s="1"/>
  <c r="KI22" i="8" s="1"/>
  <c r="KJ22" i="8" s="1"/>
  <c r="KK22" i="8" s="1"/>
  <c r="KL22" i="8" s="1"/>
  <c r="KM22" i="8" s="1"/>
  <c r="KN22" i="8" s="1"/>
  <c r="KO22" i="8" s="1"/>
  <c r="KP22" i="8" s="1"/>
  <c r="KQ22" i="8" s="1"/>
  <c r="KR22" i="8" s="1"/>
  <c r="KS22" i="8" s="1"/>
  <c r="KT22" i="8" s="1"/>
  <c r="KU22" i="8" s="1"/>
  <c r="KV22" i="8" s="1"/>
  <c r="KW22" i="8" s="1"/>
  <c r="KX22" i="8" s="1"/>
  <c r="KY22" i="8" s="1"/>
  <c r="KZ22" i="8" s="1"/>
  <c r="LA22" i="8" s="1"/>
  <c r="LB22" i="8" s="1"/>
  <c r="LC22" i="8" s="1"/>
  <c r="LD22" i="8" s="1"/>
  <c r="LE22" i="8" s="1"/>
  <c r="LF22" i="8" s="1"/>
  <c r="LG22" i="8" s="1"/>
  <c r="LH22" i="8" s="1"/>
  <c r="LI22" i="8" s="1"/>
  <c r="LJ22" i="8" s="1"/>
  <c r="LK22" i="8" s="1"/>
  <c r="LL22" i="8" s="1"/>
  <c r="LM22" i="8" s="1"/>
  <c r="LN22" i="8" s="1"/>
  <c r="LO22" i="8" s="1"/>
  <c r="LP22" i="8" s="1"/>
  <c r="LQ22" i="8" s="1"/>
  <c r="LR22" i="8" s="1"/>
  <c r="LS22" i="8" s="1"/>
  <c r="LT22" i="8" s="1"/>
  <c r="LU22" i="8" s="1"/>
  <c r="LV22" i="8" s="1"/>
  <c r="LW22" i="8" s="1"/>
  <c r="LX22" i="8" s="1"/>
  <c r="LY22" i="8" s="1"/>
  <c r="LZ22" i="8" s="1"/>
  <c r="MA22" i="8" s="1"/>
  <c r="MB22" i="8" s="1"/>
  <c r="MC22" i="8" s="1"/>
  <c r="MD22" i="8" s="1"/>
  <c r="ME22" i="8" s="1"/>
  <c r="MF22" i="8" s="1"/>
  <c r="MG22" i="8" s="1"/>
  <c r="MH22" i="8" s="1"/>
  <c r="MI22" i="8" s="1"/>
  <c r="MJ22" i="8" s="1"/>
  <c r="MK22" i="8" s="1"/>
  <c r="ML22" i="8" s="1"/>
  <c r="MM22" i="8" s="1"/>
  <c r="MN22" i="8" s="1"/>
  <c r="MO22" i="8" s="1"/>
  <c r="MP22" i="8" s="1"/>
  <c r="MQ22" i="8" s="1"/>
  <c r="MR22" i="8" s="1"/>
  <c r="MS22" i="8" s="1"/>
  <c r="MT22" i="8" s="1"/>
  <c r="MU22" i="8" s="1"/>
  <c r="MV22" i="8" s="1"/>
  <c r="MW22" i="8" s="1"/>
  <c r="MX22" i="8" s="1"/>
  <c r="B24" i="8"/>
  <c r="B23" i="8"/>
  <c r="B22" i="8"/>
  <c r="D4" i="8" l="1"/>
  <c r="C37" i="13"/>
  <c r="D37" i="13" s="1"/>
  <c r="E37" i="13" s="1"/>
  <c r="F37" i="13" s="1"/>
  <c r="G37" i="13" s="1"/>
  <c r="H37" i="13" s="1"/>
  <c r="I37" i="13" s="1"/>
  <c r="J37" i="13" s="1"/>
  <c r="K37" i="13" s="1"/>
  <c r="L37" i="13" s="1"/>
  <c r="M37" i="13" s="1"/>
  <c r="N37" i="13" s="1"/>
  <c r="O37" i="13" s="1"/>
  <c r="P37" i="13" s="1"/>
  <c r="Q37" i="13" s="1"/>
  <c r="R37" i="13" s="1"/>
  <c r="S37" i="13" s="1"/>
  <c r="T37" i="13" s="1"/>
  <c r="U37" i="13" s="1"/>
  <c r="V37" i="13" s="1"/>
  <c r="W37" i="13" s="1"/>
  <c r="X37" i="13" s="1"/>
  <c r="Y37" i="13" s="1"/>
  <c r="Z37" i="13" s="1"/>
  <c r="AA37" i="13" s="1"/>
  <c r="AB37" i="13" s="1"/>
  <c r="AC37" i="13" s="1"/>
  <c r="AD37" i="13" s="1"/>
  <c r="AE37" i="13" s="1"/>
  <c r="AF37" i="13" s="1"/>
  <c r="AG37" i="13" s="1"/>
  <c r="AH37" i="13" s="1"/>
  <c r="AI37" i="13" s="1"/>
  <c r="AJ37" i="13" s="1"/>
  <c r="AK37" i="13" s="1"/>
  <c r="AL37" i="13" s="1"/>
  <c r="AM37" i="13" s="1"/>
  <c r="AN37" i="13" s="1"/>
  <c r="AO37" i="13" s="1"/>
  <c r="AP37" i="13" s="1"/>
  <c r="AQ37" i="13" s="1"/>
  <c r="AR37" i="13" s="1"/>
  <c r="AS37" i="13" s="1"/>
  <c r="AT37" i="13" s="1"/>
  <c r="AU37" i="13" s="1"/>
  <c r="AV37" i="13" s="1"/>
  <c r="AW37" i="13" s="1"/>
  <c r="AX37" i="13" s="1"/>
  <c r="AY37" i="13" s="1"/>
  <c r="AZ37" i="13" s="1"/>
  <c r="BA37" i="13" s="1"/>
  <c r="BB37" i="13" s="1"/>
  <c r="BC37" i="13" s="1"/>
  <c r="BD37" i="13" s="1"/>
  <c r="BE37" i="13" s="1"/>
  <c r="BF37" i="13" s="1"/>
  <c r="BG37" i="13" s="1"/>
  <c r="BH37" i="13" s="1"/>
  <c r="BI37" i="13" s="1"/>
  <c r="BJ37" i="13" s="1"/>
  <c r="BK37" i="13" s="1"/>
  <c r="BL37" i="13" s="1"/>
  <c r="BM37" i="13" s="1"/>
  <c r="BN37" i="13" s="1"/>
  <c r="BO37" i="13" s="1"/>
  <c r="BP37" i="13" s="1"/>
  <c r="BQ37" i="13" s="1"/>
  <c r="BR37" i="13" s="1"/>
  <c r="BS37" i="13" s="1"/>
  <c r="BT37" i="13" s="1"/>
  <c r="BU37" i="13" s="1"/>
  <c r="BV37" i="13" s="1"/>
  <c r="BW37" i="13" s="1"/>
  <c r="BX37" i="13" s="1"/>
  <c r="BY37" i="13" s="1"/>
  <c r="BZ37" i="13" s="1"/>
  <c r="CA37" i="13" s="1"/>
  <c r="CB37" i="13" s="1"/>
  <c r="CC37" i="13" s="1"/>
  <c r="CD37" i="13" s="1"/>
  <c r="CE37" i="13" s="1"/>
  <c r="CF37" i="13" s="1"/>
  <c r="CG37" i="13" s="1"/>
  <c r="CH37" i="13" s="1"/>
  <c r="CI37" i="13" s="1"/>
  <c r="CJ37" i="13" s="1"/>
  <c r="CK37" i="13" s="1"/>
  <c r="CL37" i="13" s="1"/>
  <c r="CM37" i="13" s="1"/>
  <c r="CN37" i="13" s="1"/>
  <c r="CO37" i="13" s="1"/>
  <c r="CP37" i="13" s="1"/>
  <c r="CQ37" i="13" s="1"/>
  <c r="CR37" i="13" s="1"/>
  <c r="CS37" i="13" s="1"/>
  <c r="CT37" i="13" s="1"/>
  <c r="CU37" i="13" s="1"/>
  <c r="CV37" i="13" s="1"/>
  <c r="CW37" i="13" s="1"/>
  <c r="CX37" i="13" s="1"/>
  <c r="CY37" i="13" s="1"/>
  <c r="CZ37" i="13" s="1"/>
  <c r="DA37" i="13" s="1"/>
  <c r="DB37" i="13" s="1"/>
  <c r="DC37" i="13" s="1"/>
  <c r="DD37" i="13" s="1"/>
  <c r="DE37" i="13" s="1"/>
  <c r="DF37" i="13" s="1"/>
  <c r="DG37" i="13" s="1"/>
  <c r="DH37" i="13" s="1"/>
  <c r="DI37" i="13" s="1"/>
  <c r="DJ37" i="13" s="1"/>
  <c r="DK37" i="13" s="1"/>
  <c r="DL37" i="13" s="1"/>
  <c r="DM37" i="13" s="1"/>
  <c r="DN37" i="13" s="1"/>
  <c r="DO37" i="13" s="1"/>
  <c r="DP37" i="13" s="1"/>
  <c r="DQ37" i="13" s="1"/>
  <c r="DR37" i="13" s="1"/>
  <c r="DS37" i="13" s="1"/>
  <c r="DT37" i="13" s="1"/>
  <c r="DU37" i="13" s="1"/>
  <c r="DV37" i="13" s="1"/>
  <c r="DW37" i="13" s="1"/>
  <c r="DX37" i="13" s="1"/>
  <c r="DY37" i="13" s="1"/>
  <c r="DZ37" i="13" s="1"/>
  <c r="EA37" i="13" s="1"/>
  <c r="EB37" i="13" s="1"/>
  <c r="EC37" i="13" s="1"/>
  <c r="ED37" i="13" s="1"/>
  <c r="EE37" i="13" s="1"/>
  <c r="EF37" i="13" s="1"/>
  <c r="EG37" i="13" s="1"/>
  <c r="EH37" i="13" s="1"/>
  <c r="EI37" i="13" s="1"/>
  <c r="EJ37" i="13" s="1"/>
  <c r="EK37" i="13" s="1"/>
  <c r="EL37" i="13" s="1"/>
  <c r="EM37" i="13" s="1"/>
  <c r="EN37" i="13" s="1"/>
  <c r="EO37" i="13" s="1"/>
  <c r="EP37" i="13" s="1"/>
  <c r="EQ37" i="13" s="1"/>
  <c r="ER37" i="13" s="1"/>
  <c r="ES37" i="13" s="1"/>
  <c r="ET37" i="13" s="1"/>
  <c r="EU37" i="13" s="1"/>
  <c r="EV37" i="13" s="1"/>
  <c r="EW37" i="13" s="1"/>
  <c r="EX37" i="13" s="1"/>
  <c r="EY37" i="13" s="1"/>
  <c r="EZ37" i="13" s="1"/>
  <c r="FA37" i="13" s="1"/>
  <c r="FB37" i="13" s="1"/>
  <c r="FC37" i="13" s="1"/>
  <c r="FD37" i="13" s="1"/>
  <c r="FE37" i="13" s="1"/>
  <c r="FF37" i="13" s="1"/>
  <c r="FG37" i="13" s="1"/>
  <c r="FH37" i="13" s="1"/>
  <c r="FI37" i="13" s="1"/>
  <c r="FJ37" i="13" s="1"/>
  <c r="FK37" i="13" s="1"/>
  <c r="FL37" i="13" s="1"/>
  <c r="FM37" i="13" s="1"/>
  <c r="FN37" i="13" s="1"/>
  <c r="FO37" i="13" s="1"/>
  <c r="FP37" i="13" s="1"/>
  <c r="FQ37" i="13" s="1"/>
  <c r="FR37" i="13" s="1"/>
  <c r="FS37" i="13" s="1"/>
  <c r="FT37" i="13" s="1"/>
  <c r="FU37" i="13" s="1"/>
  <c r="FV37" i="13" s="1"/>
  <c r="FW37" i="13" s="1"/>
  <c r="FX37" i="13" s="1"/>
  <c r="FY37" i="13" s="1"/>
  <c r="FZ37" i="13" s="1"/>
  <c r="GA37" i="13" s="1"/>
  <c r="GB37" i="13" s="1"/>
  <c r="GC37" i="13" s="1"/>
  <c r="GD37" i="13" s="1"/>
  <c r="GE37" i="13" s="1"/>
  <c r="GF37" i="13" s="1"/>
  <c r="GG37" i="13" s="1"/>
  <c r="GH37" i="13" s="1"/>
  <c r="GI37" i="13" s="1"/>
  <c r="GJ37" i="13" s="1"/>
  <c r="GK37" i="13" s="1"/>
  <c r="GL37" i="13" s="1"/>
  <c r="GM37" i="13" s="1"/>
  <c r="GN37" i="13" s="1"/>
  <c r="GO37" i="13" s="1"/>
  <c r="GP37" i="13" s="1"/>
  <c r="GQ37" i="13" s="1"/>
  <c r="GR37" i="13" s="1"/>
  <c r="GS37" i="13" s="1"/>
  <c r="GT37" i="13" s="1"/>
  <c r="GU37" i="13" s="1"/>
  <c r="GV37" i="13" s="1"/>
  <c r="GW37" i="13" s="1"/>
  <c r="GX37" i="13" s="1"/>
  <c r="GY37" i="13" s="1"/>
  <c r="GZ37" i="13" s="1"/>
  <c r="HA37" i="13" s="1"/>
  <c r="HB37" i="13" s="1"/>
  <c r="HC37" i="13" s="1"/>
  <c r="HD37" i="13" s="1"/>
  <c r="HE37" i="13" s="1"/>
  <c r="HF37" i="13" s="1"/>
  <c r="HG37" i="13" s="1"/>
  <c r="HH37" i="13" s="1"/>
  <c r="HI37" i="13" s="1"/>
  <c r="HJ37" i="13" s="1"/>
  <c r="HK37" i="13" s="1"/>
  <c r="HL37" i="13" s="1"/>
  <c r="HM37" i="13" s="1"/>
  <c r="HN37" i="13" s="1"/>
  <c r="HO37" i="13" s="1"/>
  <c r="HP37" i="13" s="1"/>
  <c r="HQ37" i="13" s="1"/>
  <c r="HR37" i="13" s="1"/>
  <c r="HS37" i="13" s="1"/>
  <c r="HT37" i="13" s="1"/>
  <c r="HU37" i="13" s="1"/>
  <c r="HV37" i="13" s="1"/>
  <c r="HW37" i="13" s="1"/>
  <c r="HX37" i="13" s="1"/>
  <c r="HY37" i="13" s="1"/>
  <c r="HZ37" i="13" s="1"/>
  <c r="IA37" i="13" s="1"/>
  <c r="IB37" i="13" s="1"/>
  <c r="IC37" i="13" s="1"/>
  <c r="ID37" i="13" s="1"/>
  <c r="IE37" i="13" s="1"/>
  <c r="IF37" i="13" s="1"/>
  <c r="IG37" i="13" s="1"/>
  <c r="IH37" i="13" s="1"/>
  <c r="II37" i="13" s="1"/>
  <c r="IJ37" i="13" s="1"/>
  <c r="IK37" i="13" s="1"/>
  <c r="IL37" i="13" s="1"/>
  <c r="IM37" i="13" s="1"/>
  <c r="IN37" i="13" s="1"/>
  <c r="IO37" i="13" s="1"/>
  <c r="IP37" i="13" s="1"/>
  <c r="IQ37" i="13" s="1"/>
  <c r="IR37" i="13" s="1"/>
  <c r="IS37" i="13" s="1"/>
  <c r="IT37" i="13" s="1"/>
  <c r="IU37" i="13" s="1"/>
  <c r="IV37" i="13" s="1"/>
  <c r="IW37" i="13" s="1"/>
  <c r="IX37" i="13" s="1"/>
  <c r="IY37" i="13" s="1"/>
  <c r="IZ37" i="13" s="1"/>
  <c r="JA37" i="13" s="1"/>
  <c r="JB37" i="13" s="1"/>
  <c r="JC37" i="13" s="1"/>
  <c r="JD37" i="13" s="1"/>
  <c r="JE37" i="13" s="1"/>
  <c r="JF37" i="13" s="1"/>
  <c r="JG37" i="13" s="1"/>
  <c r="JH37" i="13" s="1"/>
  <c r="JI37" i="13" s="1"/>
  <c r="JJ37" i="13" s="1"/>
  <c r="JK37" i="13" s="1"/>
  <c r="JL37" i="13" s="1"/>
  <c r="JM37" i="13" s="1"/>
  <c r="JN37" i="13" s="1"/>
  <c r="JO37" i="13" s="1"/>
  <c r="JP37" i="13" s="1"/>
  <c r="JQ37" i="13" s="1"/>
  <c r="JR37" i="13" s="1"/>
  <c r="JS37" i="13" s="1"/>
  <c r="JT37" i="13" s="1"/>
  <c r="JU37" i="13" s="1"/>
  <c r="JV37" i="13" s="1"/>
  <c r="JW37" i="13" s="1"/>
  <c r="JX37" i="13" s="1"/>
  <c r="JY37" i="13" s="1"/>
  <c r="JZ37" i="13" s="1"/>
  <c r="KA37" i="13" s="1"/>
  <c r="KB37" i="13" s="1"/>
  <c r="KC37" i="13" s="1"/>
  <c r="KD37" i="13" s="1"/>
  <c r="KE37" i="13" s="1"/>
  <c r="KF37" i="13" s="1"/>
  <c r="KG37" i="13" s="1"/>
  <c r="KH37" i="13" s="1"/>
  <c r="KI37" i="13" s="1"/>
  <c r="KJ37" i="13" s="1"/>
  <c r="KK37" i="13" s="1"/>
  <c r="KL37" i="13" s="1"/>
  <c r="KM37" i="13" s="1"/>
  <c r="KN37" i="13" s="1"/>
  <c r="KO37" i="13" s="1"/>
  <c r="KP37" i="13" s="1"/>
  <c r="KQ37" i="13" s="1"/>
  <c r="KR37" i="13" s="1"/>
  <c r="KS37" i="13" s="1"/>
  <c r="KT37" i="13" s="1"/>
  <c r="KU37" i="13" s="1"/>
  <c r="KV37" i="13" s="1"/>
  <c r="KW37" i="13" s="1"/>
  <c r="KX37" i="13" s="1"/>
  <c r="KY37" i="13" s="1"/>
  <c r="KZ37" i="13" s="1"/>
  <c r="LA37" i="13" s="1"/>
  <c r="LB37" i="13" s="1"/>
  <c r="LC37" i="13" s="1"/>
  <c r="LD37" i="13" s="1"/>
  <c r="LE37" i="13" s="1"/>
  <c r="LF37" i="13" s="1"/>
  <c r="LG37" i="13" s="1"/>
  <c r="LH37" i="13" s="1"/>
  <c r="LI37" i="13" s="1"/>
  <c r="LJ37" i="13" s="1"/>
  <c r="LK37" i="13" s="1"/>
  <c r="LL37" i="13" s="1"/>
  <c r="LM37" i="13" s="1"/>
  <c r="LN37" i="13" s="1"/>
  <c r="LO37" i="13" s="1"/>
  <c r="LP37" i="13" s="1"/>
  <c r="LQ37" i="13" s="1"/>
  <c r="LR37" i="13" s="1"/>
  <c r="LS37" i="13" s="1"/>
  <c r="LT37" i="13" s="1"/>
  <c r="LU37" i="13" s="1"/>
  <c r="LV37" i="13" s="1"/>
  <c r="LW37" i="13" s="1"/>
  <c r="LX37" i="13" s="1"/>
  <c r="LY37" i="13" s="1"/>
  <c r="LZ37" i="13" s="1"/>
  <c r="MA37" i="13" s="1"/>
  <c r="MB37" i="13" s="1"/>
  <c r="MC37" i="13" s="1"/>
  <c r="MD37" i="13" s="1"/>
  <c r="ME37" i="13" s="1"/>
  <c r="MF37" i="13" s="1"/>
  <c r="MG37" i="13" s="1"/>
  <c r="MH37" i="13" s="1"/>
  <c r="MI37" i="13" s="1"/>
  <c r="MJ37" i="13" s="1"/>
  <c r="MK37" i="13" s="1"/>
  <c r="ML37" i="13" s="1"/>
  <c r="MM37" i="13" s="1"/>
  <c r="MN37" i="13" s="1"/>
  <c r="MO37" i="13" s="1"/>
  <c r="MP37" i="13" s="1"/>
  <c r="MQ37" i="13" s="1"/>
  <c r="MR37" i="13" s="1"/>
  <c r="MS37" i="13" s="1"/>
  <c r="MT37" i="13" s="1"/>
  <c r="MU37" i="13" s="1"/>
  <c r="MV37" i="13" s="1"/>
  <c r="MW37" i="13" s="1"/>
  <c r="MX37" i="13" s="1"/>
  <c r="B37" i="13"/>
  <c r="C28" i="13"/>
  <c r="D28" i="13"/>
  <c r="E28" i="13"/>
  <c r="F28" i="13"/>
  <c r="G28" i="13"/>
  <c r="H28" i="13"/>
  <c r="I28" i="13"/>
  <c r="J28" i="13"/>
  <c r="K28" i="13"/>
  <c r="L28" i="13"/>
  <c r="M28" i="13"/>
  <c r="N28" i="13"/>
  <c r="O28" i="13"/>
  <c r="P28" i="13"/>
  <c r="Q28" i="13"/>
  <c r="R28" i="13"/>
  <c r="S28" i="13"/>
  <c r="T28" i="13"/>
  <c r="U28" i="13"/>
  <c r="V28" i="13"/>
  <c r="W28" i="13"/>
  <c r="X28" i="13"/>
  <c r="Y28" i="13"/>
  <c r="Z28" i="13"/>
  <c r="AA28" i="13"/>
  <c r="AB28" i="13"/>
  <c r="AC28" i="13"/>
  <c r="AD28" i="13"/>
  <c r="AE28" i="13"/>
  <c r="AF28" i="13"/>
  <c r="AG28" i="13"/>
  <c r="AH28" i="13"/>
  <c r="AI28" i="13"/>
  <c r="AJ28" i="13"/>
  <c r="AK28" i="13"/>
  <c r="AL28" i="13"/>
  <c r="AM28" i="13"/>
  <c r="AN28" i="13"/>
  <c r="AO28" i="13"/>
  <c r="AP28" i="13"/>
  <c r="AQ28" i="13"/>
  <c r="AR28" i="13"/>
  <c r="AS28" i="13"/>
  <c r="AT28" i="13"/>
  <c r="AU28" i="13"/>
  <c r="AV28" i="13"/>
  <c r="AW28" i="13"/>
  <c r="AX28" i="13"/>
  <c r="AY28" i="13"/>
  <c r="AZ28" i="13"/>
  <c r="BA28" i="13"/>
  <c r="BB28" i="13"/>
  <c r="BC28" i="13"/>
  <c r="BD28" i="13"/>
  <c r="BE28" i="13"/>
  <c r="BF28" i="13"/>
  <c r="BG28" i="13"/>
  <c r="BH28" i="13"/>
  <c r="BI28" i="13"/>
  <c r="BJ28" i="13"/>
  <c r="BK28" i="13"/>
  <c r="BL28" i="13"/>
  <c r="BM28" i="13"/>
  <c r="BN28" i="13"/>
  <c r="BO28" i="13"/>
  <c r="BP28" i="13"/>
  <c r="BQ28" i="13"/>
  <c r="BR28" i="13"/>
  <c r="BS28" i="13"/>
  <c r="BT28" i="13"/>
  <c r="BU28" i="13"/>
  <c r="BV28" i="13"/>
  <c r="BW28" i="13"/>
  <c r="BX28" i="13"/>
  <c r="BY28" i="13"/>
  <c r="BZ28"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CZ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DZ28" i="13"/>
  <c r="EA28" i="13"/>
  <c r="EB28" i="13"/>
  <c r="EC28" i="13"/>
  <c r="ED28" i="13"/>
  <c r="EE28" i="13"/>
  <c r="EF28" i="13"/>
  <c r="EG28" i="13"/>
  <c r="EH28" i="13"/>
  <c r="EI28" i="13"/>
  <c r="EJ28" i="13"/>
  <c r="EK28" i="13"/>
  <c r="EL28" i="13"/>
  <c r="EM28" i="13"/>
  <c r="EN28" i="13"/>
  <c r="EO28" i="13"/>
  <c r="EP28" i="13"/>
  <c r="EQ28" i="13"/>
  <c r="ER28" i="13"/>
  <c r="ES28" i="13"/>
  <c r="ET28" i="13"/>
  <c r="EU28" i="13"/>
  <c r="EV28" i="13"/>
  <c r="EW28" i="13"/>
  <c r="EX28" i="13"/>
  <c r="EY28" i="13"/>
  <c r="EZ28" i="13"/>
  <c r="FA28" i="13"/>
  <c r="FB28" i="13"/>
  <c r="FC28" i="13"/>
  <c r="FD28" i="13"/>
  <c r="FE28" i="13"/>
  <c r="FF28" i="13"/>
  <c r="FG28" i="13"/>
  <c r="FH28" i="13"/>
  <c r="FI28" i="13"/>
  <c r="FJ28" i="13"/>
  <c r="FK28" i="13"/>
  <c r="FL28" i="13"/>
  <c r="FM28" i="13"/>
  <c r="FN28" i="13"/>
  <c r="FO28" i="13"/>
  <c r="FP28" i="13"/>
  <c r="FQ28" i="13"/>
  <c r="FR28" i="13"/>
  <c r="FS28" i="13"/>
  <c r="FT28" i="13"/>
  <c r="FU28" i="13"/>
  <c r="FV28" i="13"/>
  <c r="FW28" i="13"/>
  <c r="FX28" i="13"/>
  <c r="FY28" i="13"/>
  <c r="FZ28" i="13"/>
  <c r="GA28" i="13"/>
  <c r="GB28" i="13"/>
  <c r="GC28" i="13"/>
  <c r="GD28" i="13"/>
  <c r="GE28" i="13"/>
  <c r="GF28" i="13"/>
  <c r="GG28" i="13"/>
  <c r="GH28" i="13"/>
  <c r="GI28" i="13"/>
  <c r="GJ28" i="13"/>
  <c r="GK28" i="13"/>
  <c r="GL28" i="13"/>
  <c r="GM28" i="13"/>
  <c r="GN28" i="13"/>
  <c r="GO28" i="13"/>
  <c r="GP28" i="13"/>
  <c r="GQ28" i="13"/>
  <c r="GR28" i="13"/>
  <c r="GS28" i="13"/>
  <c r="GT28" i="13"/>
  <c r="GU28" i="13"/>
  <c r="GV28" i="13"/>
  <c r="GW28" i="13"/>
  <c r="GX28" i="13"/>
  <c r="GY28" i="13"/>
  <c r="GZ28" i="13"/>
  <c r="HA28" i="13"/>
  <c r="HB28" i="13"/>
  <c r="HC28" i="13"/>
  <c r="HD28" i="13"/>
  <c r="HE28" i="13"/>
  <c r="HF28" i="13"/>
  <c r="HG28" i="13"/>
  <c r="HH28" i="13"/>
  <c r="HI28" i="13"/>
  <c r="HJ28" i="13"/>
  <c r="HK28" i="13"/>
  <c r="HL28" i="13"/>
  <c r="HM28" i="13"/>
  <c r="HN28" i="13"/>
  <c r="HO28" i="13"/>
  <c r="HP28" i="13"/>
  <c r="HQ28" i="13"/>
  <c r="HR28" i="13"/>
  <c r="HS28" i="13"/>
  <c r="HT28" i="13"/>
  <c r="HU28" i="13"/>
  <c r="HV28" i="13"/>
  <c r="HW28" i="13"/>
  <c r="HX28" i="13"/>
  <c r="HY28" i="13"/>
  <c r="HZ28" i="13"/>
  <c r="IA28" i="13"/>
  <c r="IB28" i="13"/>
  <c r="IC28" i="13"/>
  <c r="ID28" i="13"/>
  <c r="IE28" i="13"/>
  <c r="IF28" i="13"/>
  <c r="IG28" i="13"/>
  <c r="IH28" i="13"/>
  <c r="II28" i="13"/>
  <c r="IJ28" i="13"/>
  <c r="IK28" i="13"/>
  <c r="IL28" i="13"/>
  <c r="IM28" i="13"/>
  <c r="IN28" i="13"/>
  <c r="IO28" i="13"/>
  <c r="IP28" i="13"/>
  <c r="IQ28" i="13"/>
  <c r="IR28" i="13"/>
  <c r="IS28" i="13"/>
  <c r="IT28" i="13"/>
  <c r="IU28" i="13"/>
  <c r="IV28" i="13"/>
  <c r="IW28" i="13"/>
  <c r="IX28" i="13"/>
  <c r="IY28" i="13"/>
  <c r="IZ28" i="13"/>
  <c r="JA28" i="13"/>
  <c r="JB28" i="13"/>
  <c r="JC28" i="13"/>
  <c r="JD28" i="13"/>
  <c r="JE28" i="13"/>
  <c r="JF28" i="13"/>
  <c r="JG28" i="13"/>
  <c r="JH28" i="13"/>
  <c r="JI28" i="13"/>
  <c r="JJ28" i="13"/>
  <c r="JK28" i="13"/>
  <c r="JL28" i="13"/>
  <c r="JM28" i="13"/>
  <c r="JN28" i="13"/>
  <c r="JO28" i="13"/>
  <c r="JP28" i="13"/>
  <c r="JQ28" i="13"/>
  <c r="JR28" i="13"/>
  <c r="JS28" i="13"/>
  <c r="JT28" i="13"/>
  <c r="JU28" i="13"/>
  <c r="JV28" i="13"/>
  <c r="JW28" i="13"/>
  <c r="JX28" i="13"/>
  <c r="JY28" i="13"/>
  <c r="JZ28" i="13"/>
  <c r="KA28" i="13"/>
  <c r="KB28" i="13"/>
  <c r="KC28" i="13"/>
  <c r="KD28" i="13"/>
  <c r="KE28" i="13"/>
  <c r="KF28" i="13"/>
  <c r="KG28" i="13"/>
  <c r="KH28" i="13"/>
  <c r="KI28" i="13"/>
  <c r="KJ28" i="13"/>
  <c r="KK28" i="13"/>
  <c r="KL28" i="13"/>
  <c r="KM28" i="13"/>
  <c r="KN28" i="13"/>
  <c r="KO28" i="13"/>
  <c r="KP28" i="13"/>
  <c r="KQ28" i="13"/>
  <c r="KR28" i="13"/>
  <c r="KS28" i="13"/>
  <c r="KT28" i="13"/>
  <c r="KU28" i="13"/>
  <c r="KV28" i="13"/>
  <c r="KW28" i="13"/>
  <c r="KX28" i="13"/>
  <c r="KY28" i="13"/>
  <c r="KZ28" i="13"/>
  <c r="LA28" i="13"/>
  <c r="LB28" i="13"/>
  <c r="LC28" i="13"/>
  <c r="LD28" i="13"/>
  <c r="LE28" i="13"/>
  <c r="LF28" i="13"/>
  <c r="LG28" i="13"/>
  <c r="LH28" i="13"/>
  <c r="LI28" i="13"/>
  <c r="LJ28" i="13"/>
  <c r="LK28" i="13"/>
  <c r="LL28" i="13"/>
  <c r="LM28" i="13"/>
  <c r="LN28" i="13"/>
  <c r="LO28" i="13"/>
  <c r="LP28" i="13"/>
  <c r="LQ28" i="13"/>
  <c r="LR28" i="13"/>
  <c r="LS28" i="13"/>
  <c r="LT28" i="13"/>
  <c r="LU28" i="13"/>
  <c r="LV28" i="13"/>
  <c r="LW28" i="13"/>
  <c r="LX28" i="13"/>
  <c r="LY28" i="13"/>
  <c r="LZ28" i="13"/>
  <c r="MA28" i="13"/>
  <c r="MB28" i="13"/>
  <c r="MC28" i="13"/>
  <c r="MD28" i="13"/>
  <c r="ME28" i="13"/>
  <c r="MF28" i="13"/>
  <c r="MG28" i="13"/>
  <c r="MH28" i="13"/>
  <c r="MI28" i="13"/>
  <c r="MJ28" i="13"/>
  <c r="MK28" i="13"/>
  <c r="ML28" i="13"/>
  <c r="MM28" i="13"/>
  <c r="MN28" i="13"/>
  <c r="MO28" i="13"/>
  <c r="MP28" i="13"/>
  <c r="MQ28" i="13"/>
  <c r="MR28" i="13"/>
  <c r="MS28" i="13"/>
  <c r="MT28" i="13"/>
  <c r="MU28" i="13"/>
  <c r="MV28" i="13"/>
  <c r="MW28" i="13"/>
  <c r="MX28" i="13"/>
  <c r="B22" i="13"/>
  <c r="C30" i="13" s="1"/>
  <c r="D3" i="8"/>
  <c r="B4" i="8"/>
  <c r="C22" i="13" l="1"/>
  <c r="NH127" i="13"/>
  <c r="NG127" i="13"/>
  <c r="NH126" i="13"/>
  <c r="NG126" i="13"/>
  <c r="NH125" i="13"/>
  <c r="NG125" i="13"/>
  <c r="NH124" i="13"/>
  <c r="NG124" i="13"/>
  <c r="NH123" i="13"/>
  <c r="NG123" i="13"/>
  <c r="NH122" i="13"/>
  <c r="NG122" i="13"/>
  <c r="NH121" i="13"/>
  <c r="NG121" i="13"/>
  <c r="NH120" i="13"/>
  <c r="NG120" i="13"/>
  <c r="NH119" i="13"/>
  <c r="NG119" i="13"/>
  <c r="NH118" i="13"/>
  <c r="NG118" i="13"/>
  <c r="NH117" i="13"/>
  <c r="NG117" i="13"/>
  <c r="NH116" i="13"/>
  <c r="NG116" i="13"/>
  <c r="NH115" i="13"/>
  <c r="NG115" i="13"/>
  <c r="NH114" i="13"/>
  <c r="NG114" i="13"/>
  <c r="NH113" i="13"/>
  <c r="NG113" i="13"/>
  <c r="NH112" i="13"/>
  <c r="NG112" i="13"/>
  <c r="NH111" i="13"/>
  <c r="NG111" i="13"/>
  <c r="NH110" i="13"/>
  <c r="NG110" i="13"/>
  <c r="NH109" i="13"/>
  <c r="NG109" i="13"/>
  <c r="NH108" i="13"/>
  <c r="NG108" i="13"/>
  <c r="NH107" i="13"/>
  <c r="NG107" i="13"/>
  <c r="NH106" i="13"/>
  <c r="NG106" i="13"/>
  <c r="NH105" i="13"/>
  <c r="NG105" i="13"/>
  <c r="NH104" i="13"/>
  <c r="NG104" i="13"/>
  <c r="NH103" i="13"/>
  <c r="NG103" i="13"/>
  <c r="NH102" i="13"/>
  <c r="NG102" i="13"/>
  <c r="NH101" i="13"/>
  <c r="NG101" i="13"/>
  <c r="NH100" i="13"/>
  <c r="NG100" i="13"/>
  <c r="NH99" i="13"/>
  <c r="NG99" i="13"/>
  <c r="NH98" i="13"/>
  <c r="NG98" i="13"/>
  <c r="NH97" i="13"/>
  <c r="NG97" i="13"/>
  <c r="NH96" i="13"/>
  <c r="NG96" i="13"/>
  <c r="NH95" i="13"/>
  <c r="NG95" i="13"/>
  <c r="NH94" i="13"/>
  <c r="NG94" i="13"/>
  <c r="NH93" i="13"/>
  <c r="NG93" i="13"/>
  <c r="NH92" i="13"/>
  <c r="NG92" i="13"/>
  <c r="NH91" i="13"/>
  <c r="NG91" i="13"/>
  <c r="NH90" i="13"/>
  <c r="NG90" i="13"/>
  <c r="NH89" i="13"/>
  <c r="NG89" i="13"/>
  <c r="NH88" i="13"/>
  <c r="NG88" i="13"/>
  <c r="NH87" i="13"/>
  <c r="NG87" i="13"/>
  <c r="NH86" i="13"/>
  <c r="NG86" i="13"/>
  <c r="NH85" i="13"/>
  <c r="NG85" i="13"/>
  <c r="NH84" i="13"/>
  <c r="NG84" i="13"/>
  <c r="NH83" i="13"/>
  <c r="NG83" i="13"/>
  <c r="NH82" i="13"/>
  <c r="NG82" i="13"/>
  <c r="NH81" i="13"/>
  <c r="NG81" i="13"/>
  <c r="NH80" i="13"/>
  <c r="NG80" i="13"/>
  <c r="NH79" i="13"/>
  <c r="NG79" i="13"/>
  <c r="NH78" i="13"/>
  <c r="NG78" i="13"/>
  <c r="NH77" i="13"/>
  <c r="NG77" i="13"/>
  <c r="NH76" i="13"/>
  <c r="NG76" i="13"/>
  <c r="NH75" i="13"/>
  <c r="NG75" i="13"/>
  <c r="NH74" i="13"/>
  <c r="NG74" i="13"/>
  <c r="NH73" i="13"/>
  <c r="NG73" i="13"/>
  <c r="NH72" i="13"/>
  <c r="NG72" i="13"/>
  <c r="NH71" i="13"/>
  <c r="NG71" i="13"/>
  <c r="NH70" i="13"/>
  <c r="NG70" i="13"/>
  <c r="NH69" i="13"/>
  <c r="NG69" i="13"/>
  <c r="NH68" i="13"/>
  <c r="NG68" i="13"/>
  <c r="NH67" i="13"/>
  <c r="NG67" i="13"/>
  <c r="NH66" i="13"/>
  <c r="NG66" i="13"/>
  <c r="NH65" i="13"/>
  <c r="NG65" i="13"/>
  <c r="NH64" i="13"/>
  <c r="NG64" i="13"/>
  <c r="NH63" i="13"/>
  <c r="NG63" i="13"/>
  <c r="NH62" i="13"/>
  <c r="NG62" i="13"/>
  <c r="NH61" i="13"/>
  <c r="NG61" i="13"/>
  <c r="NH60" i="13"/>
  <c r="NG60" i="13"/>
  <c r="NH59" i="13"/>
  <c r="NG59" i="13"/>
  <c r="NH58" i="13"/>
  <c r="NG58" i="13"/>
  <c r="NH57" i="13"/>
  <c r="NG57" i="13"/>
  <c r="NH56" i="13"/>
  <c r="NG56" i="13"/>
  <c r="NH55" i="13"/>
  <c r="NG55" i="13"/>
  <c r="NH54" i="13"/>
  <c r="NG54" i="13"/>
  <c r="NH53" i="13"/>
  <c r="NG53" i="13"/>
  <c r="NH52" i="13"/>
  <c r="NG52" i="13"/>
  <c r="NH51" i="13"/>
  <c r="NG51" i="13"/>
  <c r="NH50" i="13"/>
  <c r="NG50" i="13"/>
  <c r="NH49" i="13"/>
  <c r="NG49" i="13"/>
  <c r="NH48" i="13"/>
  <c r="NG48" i="13"/>
  <c r="NH47" i="13"/>
  <c r="NG47" i="13"/>
  <c r="NH46" i="13"/>
  <c r="NG46" i="13"/>
  <c r="NH45" i="13"/>
  <c r="NG45" i="13"/>
  <c r="NH44" i="13"/>
  <c r="NG44" i="13"/>
  <c r="NH43" i="13"/>
  <c r="NG43" i="13"/>
  <c r="NH42" i="13"/>
  <c r="NG42" i="13"/>
  <c r="NH41" i="13"/>
  <c r="NG41" i="13"/>
  <c r="NH40" i="13"/>
  <c r="NG40" i="13"/>
  <c r="NH39" i="13"/>
  <c r="NG39" i="13"/>
  <c r="NH38" i="13"/>
  <c r="NG38" i="13"/>
  <c r="NH37" i="13"/>
  <c r="NG37" i="13"/>
  <c r="NH36" i="13"/>
  <c r="NG36" i="13"/>
  <c r="NH35" i="13"/>
  <c r="NG35" i="13"/>
  <c r="NH34" i="13"/>
  <c r="NG34" i="13"/>
  <c r="NH33" i="13"/>
  <c r="NG33" i="13"/>
  <c r="NH32" i="13"/>
  <c r="NG32" i="13"/>
  <c r="NH31" i="13"/>
  <c r="NG31" i="13"/>
  <c r="NH30" i="13"/>
  <c r="NG30" i="13"/>
  <c r="NH29" i="13"/>
  <c r="NG29" i="13"/>
  <c r="NH28" i="13"/>
  <c r="NG28" i="13"/>
  <c r="NH27" i="13"/>
  <c r="NG27" i="13"/>
  <c r="NH26" i="13"/>
  <c r="NG26" i="13"/>
  <c r="NH25" i="13"/>
  <c r="NG25" i="13"/>
  <c r="NH24" i="13"/>
  <c r="NG24" i="13"/>
  <c r="NH23" i="13"/>
  <c r="NG23" i="13"/>
  <c r="NH22" i="13"/>
  <c r="NG22" i="13"/>
  <c r="NH21" i="13"/>
  <c r="NG21" i="13"/>
  <c r="NH20" i="13"/>
  <c r="NG20" i="13"/>
  <c r="NH19" i="13"/>
  <c r="NG19" i="13"/>
  <c r="NH18" i="13"/>
  <c r="NG18" i="13"/>
  <c r="NH17" i="13"/>
  <c r="NG17" i="13"/>
  <c r="NH16" i="13"/>
  <c r="NG16" i="13"/>
  <c r="NH15" i="13"/>
  <c r="NG15" i="13"/>
  <c r="NH14" i="13"/>
  <c r="NG14" i="13"/>
  <c r="NH13" i="13"/>
  <c r="NG13" i="13"/>
  <c r="NH12" i="13"/>
  <c r="NG12" i="13"/>
  <c r="NH11" i="13"/>
  <c r="NG11" i="13"/>
  <c r="NH10" i="13"/>
  <c r="NG10" i="13"/>
  <c r="NH9" i="13"/>
  <c r="NG9" i="13"/>
  <c r="NH8" i="13"/>
  <c r="NG8" i="13"/>
  <c r="NH7" i="13"/>
  <c r="NG7" i="13"/>
  <c r="NH6" i="13"/>
  <c r="NG6" i="13"/>
  <c r="NH5" i="13"/>
  <c r="NG5" i="13"/>
  <c r="NH4" i="13"/>
  <c r="NG4" i="13"/>
  <c r="NH3" i="13"/>
  <c r="NG3" i="13"/>
  <c r="D22" i="13" l="1"/>
  <c r="D30" i="13"/>
  <c r="B10" i="13"/>
  <c r="B6" i="13"/>
  <c r="E22" i="13" l="1"/>
  <c r="E30" i="13"/>
  <c r="B23" i="13"/>
  <c r="C25" i="13" s="1"/>
  <c r="C31" i="13" s="1"/>
  <c r="B24" i="13"/>
  <c r="B38" i="13" s="1"/>
  <c r="H29" i="13"/>
  <c r="P29" i="13"/>
  <c r="X29" i="13"/>
  <c r="AF29" i="13"/>
  <c r="AN29" i="13"/>
  <c r="AV29" i="13"/>
  <c r="BD29" i="13"/>
  <c r="BL29" i="13"/>
  <c r="BT29" i="13"/>
  <c r="CB29" i="13"/>
  <c r="CJ29" i="13"/>
  <c r="CR29" i="13"/>
  <c r="CZ29" i="13"/>
  <c r="DH29" i="13"/>
  <c r="DP29" i="13"/>
  <c r="DX29" i="13"/>
  <c r="EF29" i="13"/>
  <c r="J29" i="13"/>
  <c r="R29" i="13"/>
  <c r="Z29" i="13"/>
  <c r="AH29" i="13"/>
  <c r="AP29" i="13"/>
  <c r="AX29" i="13"/>
  <c r="BF29" i="13"/>
  <c r="BN29" i="13"/>
  <c r="BV29" i="13"/>
  <c r="CD29" i="13"/>
  <c r="CL29" i="13"/>
  <c r="CT29" i="13"/>
  <c r="DB29" i="13"/>
  <c r="DJ29" i="13"/>
  <c r="DR29" i="13"/>
  <c r="DZ29" i="13"/>
  <c r="EH29" i="13"/>
  <c r="EP29" i="13"/>
  <c r="EX29" i="13"/>
  <c r="FF29" i="13"/>
  <c r="FN29" i="13"/>
  <c r="FV29" i="13"/>
  <c r="GD29" i="13"/>
  <c r="GL29" i="13"/>
  <c r="GT29" i="13"/>
  <c r="HB29" i="13"/>
  <c r="HJ29" i="13"/>
  <c r="HR29" i="13"/>
  <c r="HZ29" i="13"/>
  <c r="IH29" i="13"/>
  <c r="IP29" i="13"/>
  <c r="IX29" i="13"/>
  <c r="JF29" i="13"/>
  <c r="JN29" i="13"/>
  <c r="JV29" i="13"/>
  <c r="KD29" i="13"/>
  <c r="KL29" i="13"/>
  <c r="KT29" i="13"/>
  <c r="C29" i="13"/>
  <c r="K29" i="13"/>
  <c r="S29" i="13"/>
  <c r="AA29" i="13"/>
  <c r="AI29" i="13"/>
  <c r="AQ29" i="13"/>
  <c r="AY29" i="13"/>
  <c r="BG29" i="13"/>
  <c r="BO29" i="13"/>
  <c r="BW29" i="13"/>
  <c r="CE29" i="13"/>
  <c r="CM29" i="13"/>
  <c r="CU29" i="13"/>
  <c r="DC29" i="13"/>
  <c r="DK29" i="13"/>
  <c r="DS29" i="13"/>
  <c r="EA29" i="13"/>
  <c r="EI29" i="13"/>
  <c r="EQ29" i="13"/>
  <c r="EY29" i="13"/>
  <c r="FG29" i="13"/>
  <c r="FO29" i="13"/>
  <c r="FW29" i="13"/>
  <c r="GE29" i="13"/>
  <c r="GM29" i="13"/>
  <c r="GU29" i="13"/>
  <c r="HC29" i="13"/>
  <c r="HK29" i="13"/>
  <c r="HS29" i="13"/>
  <c r="IA29" i="13"/>
  <c r="II29" i="13"/>
  <c r="IQ29" i="13"/>
  <c r="IY29" i="13"/>
  <c r="JG29" i="13"/>
  <c r="JO29" i="13"/>
  <c r="JW29" i="13"/>
  <c r="KE29" i="13"/>
  <c r="KM29" i="13"/>
  <c r="KU29" i="13"/>
  <c r="LC29" i="13"/>
  <c r="D29" i="13"/>
  <c r="L29" i="13"/>
  <c r="T29" i="13"/>
  <c r="AB29" i="13"/>
  <c r="AJ29" i="13"/>
  <c r="AR29" i="13"/>
  <c r="AZ29" i="13"/>
  <c r="BH29" i="13"/>
  <c r="BP29" i="13"/>
  <c r="BX29" i="13"/>
  <c r="CF29" i="13"/>
  <c r="CN29" i="13"/>
  <c r="CV29" i="13"/>
  <c r="DD29" i="13"/>
  <c r="DL29" i="13"/>
  <c r="DT29" i="13"/>
  <c r="EB29" i="13"/>
  <c r="EJ29" i="13"/>
  <c r="ER29" i="13"/>
  <c r="EZ29" i="13"/>
  <c r="FH29" i="13"/>
  <c r="FP29" i="13"/>
  <c r="FX29" i="13"/>
  <c r="GF29" i="13"/>
  <c r="F29" i="13"/>
  <c r="N29" i="13"/>
  <c r="V29" i="13"/>
  <c r="AD29" i="13"/>
  <c r="AL29" i="13"/>
  <c r="AT29" i="13"/>
  <c r="BB29" i="13"/>
  <c r="BJ29" i="13"/>
  <c r="BR29" i="13"/>
  <c r="BZ29" i="13"/>
  <c r="CH29" i="13"/>
  <c r="CP29" i="13"/>
  <c r="CX29" i="13"/>
  <c r="DF29" i="13"/>
  <c r="DN29" i="13"/>
  <c r="DV29" i="13"/>
  <c r="ED29" i="13"/>
  <c r="EL29" i="13"/>
  <c r="ET29" i="13"/>
  <c r="FB29" i="13"/>
  <c r="FJ29" i="13"/>
  <c r="FR29" i="13"/>
  <c r="FZ29" i="13"/>
  <c r="GH29" i="13"/>
  <c r="GP29" i="13"/>
  <c r="GX29" i="13"/>
  <c r="HF29" i="13"/>
  <c r="HN29" i="13"/>
  <c r="HV29" i="13"/>
  <c r="ID29" i="13"/>
  <c r="IL29" i="13"/>
  <c r="IT29" i="13"/>
  <c r="JB29" i="13"/>
  <c r="JJ29" i="13"/>
  <c r="JR29" i="13"/>
  <c r="JZ29" i="13"/>
  <c r="KH29" i="13"/>
  <c r="KP29" i="13"/>
  <c r="G29" i="13"/>
  <c r="O29" i="13"/>
  <c r="W29" i="13"/>
  <c r="AE29" i="13"/>
  <c r="AM29" i="13"/>
  <c r="AU29" i="13"/>
  <c r="BC29" i="13"/>
  <c r="BK29" i="13"/>
  <c r="BS29" i="13"/>
  <c r="CA29" i="13"/>
  <c r="CI29" i="13"/>
  <c r="CQ29" i="13"/>
  <c r="CY29" i="13"/>
  <c r="DG29" i="13"/>
  <c r="DO29" i="13"/>
  <c r="DW29" i="13"/>
  <c r="EE29" i="13"/>
  <c r="EM29" i="13"/>
  <c r="EU29" i="13"/>
  <c r="FC29" i="13"/>
  <c r="FK29" i="13"/>
  <c r="FS29" i="13"/>
  <c r="GA29" i="13"/>
  <c r="GI29" i="13"/>
  <c r="GQ29" i="13"/>
  <c r="GY29" i="13"/>
  <c r="HG29" i="13"/>
  <c r="HO29" i="13"/>
  <c r="HW29" i="13"/>
  <c r="IE29" i="13"/>
  <c r="IM29" i="13"/>
  <c r="IU29" i="13"/>
  <c r="JC29" i="13"/>
  <c r="JK29" i="13"/>
  <c r="JS29" i="13"/>
  <c r="KA29" i="13"/>
  <c r="KI29" i="13"/>
  <c r="U29" i="13"/>
  <c r="BA29" i="13"/>
  <c r="CG29" i="13"/>
  <c r="DM29" i="13"/>
  <c r="EO29" i="13"/>
  <c r="FL29" i="13"/>
  <c r="GG29" i="13"/>
  <c r="GW29" i="13"/>
  <c r="HM29" i="13"/>
  <c r="IC29" i="13"/>
  <c r="IS29" i="13"/>
  <c r="JI29" i="13"/>
  <c r="JY29" i="13"/>
  <c r="KO29" i="13"/>
  <c r="KZ29" i="13"/>
  <c r="LI29" i="13"/>
  <c r="LQ29" i="13"/>
  <c r="LY29" i="13"/>
  <c r="MG29" i="13"/>
  <c r="MO29" i="13"/>
  <c r="MW29" i="13"/>
  <c r="Y29" i="13"/>
  <c r="BE29" i="13"/>
  <c r="CK29" i="13"/>
  <c r="DQ29" i="13"/>
  <c r="ES29" i="13"/>
  <c r="FM29" i="13"/>
  <c r="GJ29" i="13"/>
  <c r="GZ29" i="13"/>
  <c r="HP29" i="13"/>
  <c r="IF29" i="13"/>
  <c r="IV29" i="13"/>
  <c r="JL29" i="13"/>
  <c r="KB29" i="13"/>
  <c r="KQ29" i="13"/>
  <c r="LA29" i="13"/>
  <c r="LJ29" i="13"/>
  <c r="LR29" i="13"/>
  <c r="LZ29" i="13"/>
  <c r="MH29" i="13"/>
  <c r="MP29" i="13"/>
  <c r="MX29" i="13"/>
  <c r="ML29" i="13"/>
  <c r="AC29" i="13"/>
  <c r="BI29" i="13"/>
  <c r="CO29" i="13"/>
  <c r="DU29" i="13"/>
  <c r="EV29" i="13"/>
  <c r="FQ29" i="13"/>
  <c r="GK29" i="13"/>
  <c r="HA29" i="13"/>
  <c r="HQ29" i="13"/>
  <c r="IG29" i="13"/>
  <c r="IW29" i="13"/>
  <c r="JM29" i="13"/>
  <c r="KC29" i="13"/>
  <c r="KR29" i="13"/>
  <c r="LB29" i="13"/>
  <c r="LK29" i="13"/>
  <c r="LS29" i="13"/>
  <c r="MA29" i="13"/>
  <c r="MI29" i="13"/>
  <c r="MQ29" i="13"/>
  <c r="MT29" i="13"/>
  <c r="AG29" i="13"/>
  <c r="BM29" i="13"/>
  <c r="CS29" i="13"/>
  <c r="DY29" i="13"/>
  <c r="EW29" i="13"/>
  <c r="FT29" i="13"/>
  <c r="GN29" i="13"/>
  <c r="HD29" i="13"/>
  <c r="HT29" i="13"/>
  <c r="IJ29" i="13"/>
  <c r="IZ29" i="13"/>
  <c r="JP29" i="13"/>
  <c r="KF29" i="13"/>
  <c r="KS29" i="13"/>
  <c r="LD29" i="13"/>
  <c r="LL29" i="13"/>
  <c r="LT29" i="13"/>
  <c r="MB29" i="13"/>
  <c r="MJ29" i="13"/>
  <c r="MR29" i="13"/>
  <c r="I29" i="13"/>
  <c r="LN29" i="13"/>
  <c r="E29" i="13"/>
  <c r="AK29" i="13"/>
  <c r="BQ29" i="13"/>
  <c r="CW29" i="13"/>
  <c r="EC29" i="13"/>
  <c r="FA29" i="13"/>
  <c r="FU29" i="13"/>
  <c r="GO29" i="13"/>
  <c r="HE29" i="13"/>
  <c r="HU29" i="13"/>
  <c r="IK29" i="13"/>
  <c r="JA29" i="13"/>
  <c r="JQ29" i="13"/>
  <c r="KG29" i="13"/>
  <c r="KV29" i="13"/>
  <c r="LE29" i="13"/>
  <c r="LM29" i="13"/>
  <c r="LU29" i="13"/>
  <c r="MC29" i="13"/>
  <c r="MK29" i="13"/>
  <c r="MS29" i="13"/>
  <c r="AO29" i="13"/>
  <c r="BU29" i="13"/>
  <c r="DA29" i="13"/>
  <c r="EG29" i="13"/>
  <c r="FD29" i="13"/>
  <c r="FY29" i="13"/>
  <c r="GR29" i="13"/>
  <c r="HH29" i="13"/>
  <c r="HX29" i="13"/>
  <c r="IN29" i="13"/>
  <c r="JD29" i="13"/>
  <c r="JT29" i="13"/>
  <c r="KJ29" i="13"/>
  <c r="KW29" i="13"/>
  <c r="LF29" i="13"/>
  <c r="LV29" i="13"/>
  <c r="MD29" i="13"/>
  <c r="M29" i="13"/>
  <c r="AS29" i="13"/>
  <c r="BY29" i="13"/>
  <c r="DE29" i="13"/>
  <c r="EK29" i="13"/>
  <c r="FE29" i="13"/>
  <c r="GB29" i="13"/>
  <c r="GS29" i="13"/>
  <c r="HI29" i="13"/>
  <c r="HY29" i="13"/>
  <c r="IO29" i="13"/>
  <c r="JE29" i="13"/>
  <c r="JU29" i="13"/>
  <c r="KK29" i="13"/>
  <c r="KX29" i="13"/>
  <c r="LG29" i="13"/>
  <c r="LO29" i="13"/>
  <c r="LW29" i="13"/>
  <c r="ME29" i="13"/>
  <c r="MM29" i="13"/>
  <c r="MU29" i="13"/>
  <c r="Q29" i="13"/>
  <c r="AW29" i="13"/>
  <c r="CC29" i="13"/>
  <c r="DI29" i="13"/>
  <c r="EN29" i="13"/>
  <c r="FI29" i="13"/>
  <c r="GC29" i="13"/>
  <c r="GV29" i="13"/>
  <c r="HL29" i="13"/>
  <c r="IB29" i="13"/>
  <c r="IR29" i="13"/>
  <c r="JH29" i="13"/>
  <c r="JX29" i="13"/>
  <c r="KN29" i="13"/>
  <c r="KY29" i="13"/>
  <c r="LH29" i="13"/>
  <c r="LP29" i="13"/>
  <c r="LX29" i="13"/>
  <c r="MF29" i="13"/>
  <c r="MN29" i="13"/>
  <c r="MV29" i="13"/>
  <c r="B15" i="13"/>
  <c r="NJ127" i="8"/>
  <c r="NI127" i="8"/>
  <c r="NJ126" i="8"/>
  <c r="NI126" i="8"/>
  <c r="NJ125" i="8"/>
  <c r="NI125" i="8"/>
  <c r="NJ124" i="8"/>
  <c r="NI124" i="8"/>
  <c r="NJ123" i="8"/>
  <c r="NI123" i="8"/>
  <c r="NJ122" i="8"/>
  <c r="NI122" i="8"/>
  <c r="NJ121" i="8"/>
  <c r="NI121" i="8"/>
  <c r="NJ120" i="8"/>
  <c r="NI120" i="8"/>
  <c r="NJ119" i="8"/>
  <c r="NI119" i="8"/>
  <c r="NJ118" i="8"/>
  <c r="NI118" i="8"/>
  <c r="NJ117" i="8"/>
  <c r="NI117" i="8"/>
  <c r="NJ116" i="8"/>
  <c r="NI116" i="8"/>
  <c r="NJ115" i="8"/>
  <c r="NI115" i="8"/>
  <c r="NJ114" i="8"/>
  <c r="NI114" i="8"/>
  <c r="NJ113" i="8"/>
  <c r="NI113" i="8"/>
  <c r="NJ112" i="8"/>
  <c r="NI112" i="8"/>
  <c r="NJ111" i="8"/>
  <c r="NI111" i="8"/>
  <c r="NJ110" i="8"/>
  <c r="NI110" i="8"/>
  <c r="NJ109" i="8"/>
  <c r="NI109" i="8"/>
  <c r="NJ108" i="8"/>
  <c r="NI108" i="8"/>
  <c r="NJ107" i="8"/>
  <c r="NI107" i="8"/>
  <c r="NJ106" i="8"/>
  <c r="NI106" i="8"/>
  <c r="NJ105" i="8"/>
  <c r="NI105" i="8"/>
  <c r="NJ104" i="8"/>
  <c r="NI104" i="8"/>
  <c r="NJ103" i="8"/>
  <c r="NI103" i="8"/>
  <c r="NJ102" i="8"/>
  <c r="NI102" i="8"/>
  <c r="NJ101" i="8"/>
  <c r="NI101" i="8"/>
  <c r="NJ100" i="8"/>
  <c r="NI100" i="8"/>
  <c r="NJ99" i="8"/>
  <c r="NI99" i="8"/>
  <c r="NJ98" i="8"/>
  <c r="NI98" i="8"/>
  <c r="NJ97" i="8"/>
  <c r="NI97" i="8"/>
  <c r="NJ96" i="8"/>
  <c r="NI96" i="8"/>
  <c r="NJ95" i="8"/>
  <c r="NI95" i="8"/>
  <c r="NJ94" i="8"/>
  <c r="NI94" i="8"/>
  <c r="NJ93" i="8"/>
  <c r="NI93" i="8"/>
  <c r="NJ92" i="8"/>
  <c r="NI92" i="8"/>
  <c r="NJ91" i="8"/>
  <c r="NI91" i="8"/>
  <c r="NJ90" i="8"/>
  <c r="NI90" i="8"/>
  <c r="NJ89" i="8"/>
  <c r="NI89" i="8"/>
  <c r="NJ88" i="8"/>
  <c r="NI88" i="8"/>
  <c r="NJ87" i="8"/>
  <c r="NI87" i="8"/>
  <c r="NJ86" i="8"/>
  <c r="NI86" i="8"/>
  <c r="NJ85" i="8"/>
  <c r="NI85" i="8"/>
  <c r="NJ84" i="8"/>
  <c r="NI84" i="8"/>
  <c r="NJ83" i="8"/>
  <c r="NI83" i="8"/>
  <c r="NJ82" i="8"/>
  <c r="NI82" i="8"/>
  <c r="NJ81" i="8"/>
  <c r="NI81" i="8"/>
  <c r="NJ80" i="8"/>
  <c r="NI80" i="8"/>
  <c r="NJ79" i="8"/>
  <c r="NI79" i="8"/>
  <c r="NJ78" i="8"/>
  <c r="NI78" i="8"/>
  <c r="NJ77" i="8"/>
  <c r="NI77" i="8"/>
  <c r="NJ76" i="8"/>
  <c r="NI76" i="8"/>
  <c r="NJ75" i="8"/>
  <c r="NI75" i="8"/>
  <c r="NJ74" i="8"/>
  <c r="NI74" i="8"/>
  <c r="NJ73" i="8"/>
  <c r="NI73" i="8"/>
  <c r="NJ72" i="8"/>
  <c r="NI72" i="8"/>
  <c r="NJ71" i="8"/>
  <c r="NI71" i="8"/>
  <c r="NJ70" i="8"/>
  <c r="NI70" i="8"/>
  <c r="NJ69" i="8"/>
  <c r="NI69" i="8"/>
  <c r="NJ68" i="8"/>
  <c r="NI68" i="8"/>
  <c r="NJ67" i="8"/>
  <c r="NI67" i="8"/>
  <c r="NJ66" i="8"/>
  <c r="NI66" i="8"/>
  <c r="NJ65" i="8"/>
  <c r="NI65" i="8"/>
  <c r="NJ64" i="8"/>
  <c r="NI64" i="8"/>
  <c r="NJ63" i="8"/>
  <c r="NI63" i="8"/>
  <c r="NJ62" i="8"/>
  <c r="NI62" i="8"/>
  <c r="NJ61" i="8"/>
  <c r="NI61" i="8"/>
  <c r="NJ60" i="8"/>
  <c r="NI60" i="8"/>
  <c r="NJ59" i="8"/>
  <c r="NI59" i="8"/>
  <c r="NJ58" i="8"/>
  <c r="NI58" i="8"/>
  <c r="NJ57" i="8"/>
  <c r="NI57" i="8"/>
  <c r="NJ56" i="8"/>
  <c r="NI56" i="8"/>
  <c r="NJ55" i="8"/>
  <c r="NI55" i="8"/>
  <c r="NJ54" i="8"/>
  <c r="NI54" i="8"/>
  <c r="NJ53" i="8"/>
  <c r="NI53" i="8"/>
  <c r="NJ52" i="8"/>
  <c r="NI52" i="8"/>
  <c r="NJ51" i="8"/>
  <c r="NI51" i="8"/>
  <c r="NJ50" i="8"/>
  <c r="NI50" i="8"/>
  <c r="NJ49" i="8"/>
  <c r="NI49" i="8"/>
  <c r="NJ48" i="8"/>
  <c r="NI48" i="8"/>
  <c r="NJ47" i="8"/>
  <c r="NI47" i="8"/>
  <c r="NJ46" i="8"/>
  <c r="NI46" i="8"/>
  <c r="NJ45" i="8"/>
  <c r="NI45" i="8"/>
  <c r="NJ44" i="8"/>
  <c r="NI44" i="8"/>
  <c r="NJ43" i="8"/>
  <c r="NI43" i="8"/>
  <c r="NJ42" i="8"/>
  <c r="NI42" i="8"/>
  <c r="NJ41" i="8"/>
  <c r="NI41" i="8"/>
  <c r="NJ40" i="8"/>
  <c r="NI40" i="8"/>
  <c r="NJ39" i="8"/>
  <c r="NI39" i="8"/>
  <c r="NJ38" i="8"/>
  <c r="NI38" i="8"/>
  <c r="NJ37" i="8"/>
  <c r="NI37" i="8"/>
  <c r="NJ36" i="8"/>
  <c r="NI36" i="8"/>
  <c r="NJ35" i="8"/>
  <c r="NI35" i="8"/>
  <c r="NJ34" i="8"/>
  <c r="NI34" i="8"/>
  <c r="NJ33" i="8"/>
  <c r="NI33" i="8"/>
  <c r="NJ32" i="8"/>
  <c r="NI32" i="8"/>
  <c r="NJ31" i="8"/>
  <c r="NI31" i="8"/>
  <c r="NJ30" i="8"/>
  <c r="NI30" i="8"/>
  <c r="NJ29" i="8"/>
  <c r="NI29" i="8"/>
  <c r="NJ28" i="8"/>
  <c r="NI28" i="8"/>
  <c r="NJ27" i="8"/>
  <c r="NI27" i="8"/>
  <c r="NJ26" i="8"/>
  <c r="NI26" i="8"/>
  <c r="NJ25" i="8"/>
  <c r="NI25" i="8"/>
  <c r="NJ24" i="8"/>
  <c r="NI24" i="8"/>
  <c r="NJ23" i="8"/>
  <c r="NI23" i="8"/>
  <c r="NJ22" i="8"/>
  <c r="NI22" i="8"/>
  <c r="NJ21" i="8"/>
  <c r="NI21" i="8"/>
  <c r="NJ20" i="8"/>
  <c r="NI20" i="8"/>
  <c r="NJ19" i="8"/>
  <c r="NI19" i="8"/>
  <c r="NJ18" i="8"/>
  <c r="NI18" i="8"/>
  <c r="NJ17" i="8"/>
  <c r="NI17" i="8"/>
  <c r="NJ16" i="8"/>
  <c r="NI16" i="8"/>
  <c r="B16" i="8" a="1"/>
  <c r="B16" i="8" s="1"/>
  <c r="NJ15" i="8"/>
  <c r="NI15" i="8"/>
  <c r="NJ14" i="8"/>
  <c r="NI14" i="8"/>
  <c r="NJ13" i="8"/>
  <c r="NI13" i="8"/>
  <c r="NJ12" i="8"/>
  <c r="NI12" i="8"/>
  <c r="NJ11" i="8"/>
  <c r="NI11" i="8"/>
  <c r="NJ10" i="8"/>
  <c r="NI10" i="8"/>
  <c r="NJ9" i="8"/>
  <c r="NI9" i="8"/>
  <c r="NJ8" i="8"/>
  <c r="NI8" i="8"/>
  <c r="NJ7" i="8"/>
  <c r="NI7" i="8"/>
  <c r="NJ6" i="8"/>
  <c r="NI6" i="8"/>
  <c r="NJ5" i="8"/>
  <c r="NI5" i="8"/>
  <c r="NJ4" i="8"/>
  <c r="NI4" i="8"/>
  <c r="NH3" i="8"/>
  <c r="NG3" i="8"/>
  <c r="N127" i="1"/>
  <c r="L127" i="1"/>
  <c r="K127" i="1"/>
  <c r="J127" i="1"/>
  <c r="N126" i="1"/>
  <c r="L126" i="1"/>
  <c r="K126" i="1"/>
  <c r="J126" i="1"/>
  <c r="N125" i="1"/>
  <c r="L125" i="1"/>
  <c r="K125" i="1"/>
  <c r="J125" i="1"/>
  <c r="N124" i="1"/>
  <c r="L124" i="1"/>
  <c r="K124" i="1"/>
  <c r="J124" i="1"/>
  <c r="N123" i="1"/>
  <c r="L123" i="1"/>
  <c r="K123" i="1"/>
  <c r="J123" i="1"/>
  <c r="N122" i="1"/>
  <c r="L122" i="1"/>
  <c r="K122" i="1"/>
  <c r="J122" i="1"/>
  <c r="N121" i="1"/>
  <c r="L121" i="1"/>
  <c r="K121" i="1"/>
  <c r="J121" i="1"/>
  <c r="N120" i="1"/>
  <c r="L120" i="1"/>
  <c r="K120" i="1"/>
  <c r="J120" i="1"/>
  <c r="N119" i="1"/>
  <c r="L119" i="1"/>
  <c r="K119" i="1"/>
  <c r="J119" i="1"/>
  <c r="N118" i="1"/>
  <c r="L118" i="1"/>
  <c r="K118" i="1"/>
  <c r="J118" i="1"/>
  <c r="N117" i="1"/>
  <c r="L117" i="1"/>
  <c r="K117" i="1"/>
  <c r="J117" i="1"/>
  <c r="N116" i="1"/>
  <c r="L116" i="1"/>
  <c r="K116" i="1"/>
  <c r="J116" i="1"/>
  <c r="N115" i="1"/>
  <c r="L115" i="1"/>
  <c r="K115" i="1"/>
  <c r="J115" i="1"/>
  <c r="N114" i="1"/>
  <c r="L114" i="1"/>
  <c r="K114" i="1"/>
  <c r="J114" i="1"/>
  <c r="N113" i="1"/>
  <c r="L113" i="1"/>
  <c r="K113" i="1"/>
  <c r="J113" i="1"/>
  <c r="N112" i="1"/>
  <c r="L112" i="1"/>
  <c r="K112" i="1"/>
  <c r="J112" i="1"/>
  <c r="N111" i="1"/>
  <c r="L111" i="1"/>
  <c r="K111" i="1"/>
  <c r="J111" i="1"/>
  <c r="N110" i="1"/>
  <c r="L110" i="1"/>
  <c r="K110" i="1"/>
  <c r="J110" i="1"/>
  <c r="N109" i="1"/>
  <c r="L109" i="1"/>
  <c r="K109" i="1"/>
  <c r="J109" i="1"/>
  <c r="N108" i="1"/>
  <c r="L108" i="1"/>
  <c r="K108" i="1"/>
  <c r="J108" i="1"/>
  <c r="N107" i="1"/>
  <c r="L107" i="1"/>
  <c r="K107" i="1"/>
  <c r="J107" i="1"/>
  <c r="N106" i="1"/>
  <c r="L106" i="1"/>
  <c r="K106" i="1"/>
  <c r="J106" i="1"/>
  <c r="N105" i="1"/>
  <c r="L105" i="1"/>
  <c r="K105" i="1"/>
  <c r="J105" i="1"/>
  <c r="N104" i="1"/>
  <c r="L104" i="1"/>
  <c r="K104" i="1"/>
  <c r="J104" i="1"/>
  <c r="N103" i="1"/>
  <c r="L103" i="1"/>
  <c r="K103" i="1"/>
  <c r="J103" i="1"/>
  <c r="N102" i="1"/>
  <c r="L102" i="1"/>
  <c r="K102" i="1"/>
  <c r="J102" i="1"/>
  <c r="N101" i="1"/>
  <c r="L101" i="1"/>
  <c r="K101" i="1"/>
  <c r="J101" i="1"/>
  <c r="N100" i="1"/>
  <c r="L100" i="1"/>
  <c r="K100" i="1"/>
  <c r="J100" i="1"/>
  <c r="N99" i="1"/>
  <c r="L99" i="1"/>
  <c r="K99" i="1"/>
  <c r="J99" i="1"/>
  <c r="N98" i="1"/>
  <c r="L98" i="1"/>
  <c r="K98" i="1"/>
  <c r="J98" i="1"/>
  <c r="N97" i="1"/>
  <c r="L97" i="1"/>
  <c r="K97" i="1"/>
  <c r="J97" i="1"/>
  <c r="N96" i="1"/>
  <c r="L96" i="1"/>
  <c r="K96" i="1"/>
  <c r="J96" i="1"/>
  <c r="N95" i="1"/>
  <c r="L95" i="1"/>
  <c r="K95" i="1"/>
  <c r="J95" i="1"/>
  <c r="N94" i="1"/>
  <c r="L94" i="1"/>
  <c r="K94" i="1"/>
  <c r="J94" i="1"/>
  <c r="N93" i="1"/>
  <c r="L93" i="1"/>
  <c r="K93" i="1"/>
  <c r="J93" i="1"/>
  <c r="N92" i="1"/>
  <c r="L92" i="1"/>
  <c r="K92" i="1"/>
  <c r="J92" i="1"/>
  <c r="N91" i="1"/>
  <c r="L91" i="1"/>
  <c r="K91" i="1"/>
  <c r="J91" i="1"/>
  <c r="N90" i="1"/>
  <c r="L90" i="1"/>
  <c r="K90" i="1"/>
  <c r="J90" i="1"/>
  <c r="N89" i="1"/>
  <c r="L89" i="1"/>
  <c r="K89" i="1"/>
  <c r="J89" i="1"/>
  <c r="N88" i="1"/>
  <c r="L88" i="1"/>
  <c r="K88" i="1"/>
  <c r="J88" i="1"/>
  <c r="N87" i="1"/>
  <c r="L87" i="1"/>
  <c r="K87" i="1"/>
  <c r="J87" i="1"/>
  <c r="N86" i="1"/>
  <c r="L86" i="1"/>
  <c r="K86" i="1"/>
  <c r="J86" i="1"/>
  <c r="N85" i="1"/>
  <c r="L85" i="1"/>
  <c r="K85" i="1"/>
  <c r="J85" i="1"/>
  <c r="N84" i="1"/>
  <c r="L84" i="1"/>
  <c r="K84" i="1"/>
  <c r="J84" i="1"/>
  <c r="N83" i="1"/>
  <c r="L83" i="1"/>
  <c r="K83" i="1"/>
  <c r="J83" i="1"/>
  <c r="N82" i="1"/>
  <c r="L82" i="1"/>
  <c r="K82" i="1"/>
  <c r="J82" i="1"/>
  <c r="N81" i="1"/>
  <c r="L81" i="1"/>
  <c r="K81" i="1"/>
  <c r="J81" i="1"/>
  <c r="N80" i="1"/>
  <c r="L80" i="1"/>
  <c r="K80" i="1"/>
  <c r="J80" i="1"/>
  <c r="N79" i="1"/>
  <c r="L79" i="1"/>
  <c r="K79" i="1"/>
  <c r="J79" i="1"/>
  <c r="N78" i="1"/>
  <c r="L78" i="1"/>
  <c r="K78" i="1"/>
  <c r="J78" i="1"/>
  <c r="N77" i="1"/>
  <c r="L77" i="1"/>
  <c r="K77" i="1"/>
  <c r="J77" i="1"/>
  <c r="N76" i="1"/>
  <c r="L76" i="1"/>
  <c r="K76" i="1"/>
  <c r="J76" i="1"/>
  <c r="N75" i="1"/>
  <c r="L75" i="1"/>
  <c r="K75" i="1"/>
  <c r="J75" i="1"/>
  <c r="N74" i="1"/>
  <c r="L74" i="1"/>
  <c r="K74" i="1"/>
  <c r="J74" i="1"/>
  <c r="N73" i="1"/>
  <c r="L73" i="1"/>
  <c r="K73" i="1"/>
  <c r="J73" i="1"/>
  <c r="N72" i="1"/>
  <c r="L72" i="1"/>
  <c r="K72" i="1"/>
  <c r="J72" i="1"/>
  <c r="N71" i="1"/>
  <c r="L71" i="1"/>
  <c r="K71" i="1"/>
  <c r="J71" i="1"/>
  <c r="N70" i="1"/>
  <c r="L70" i="1"/>
  <c r="K70" i="1"/>
  <c r="J70" i="1"/>
  <c r="N69" i="1"/>
  <c r="L69" i="1"/>
  <c r="K69" i="1"/>
  <c r="J69" i="1"/>
  <c r="N68" i="1"/>
  <c r="L68" i="1"/>
  <c r="K68" i="1"/>
  <c r="J68" i="1"/>
  <c r="N67" i="1"/>
  <c r="L67" i="1"/>
  <c r="K67" i="1"/>
  <c r="J67" i="1"/>
  <c r="N66" i="1"/>
  <c r="L66" i="1"/>
  <c r="K66" i="1"/>
  <c r="J66" i="1"/>
  <c r="N65" i="1"/>
  <c r="L65" i="1"/>
  <c r="K65" i="1"/>
  <c r="J65" i="1"/>
  <c r="N64" i="1"/>
  <c r="L64" i="1"/>
  <c r="K64" i="1"/>
  <c r="J64" i="1"/>
  <c r="N63" i="1"/>
  <c r="L63" i="1"/>
  <c r="K63" i="1"/>
  <c r="J63" i="1"/>
  <c r="N62" i="1"/>
  <c r="L62" i="1"/>
  <c r="K62" i="1"/>
  <c r="J62" i="1"/>
  <c r="N61" i="1"/>
  <c r="L61" i="1"/>
  <c r="K61" i="1"/>
  <c r="J61" i="1"/>
  <c r="N60" i="1"/>
  <c r="L60" i="1"/>
  <c r="K60" i="1"/>
  <c r="J60" i="1"/>
  <c r="N59" i="1"/>
  <c r="L59" i="1"/>
  <c r="K59" i="1"/>
  <c r="J59" i="1"/>
  <c r="N58" i="1"/>
  <c r="L58" i="1"/>
  <c r="K58" i="1"/>
  <c r="J58" i="1"/>
  <c r="N57" i="1"/>
  <c r="L57" i="1"/>
  <c r="K57" i="1"/>
  <c r="J57" i="1"/>
  <c r="N56" i="1"/>
  <c r="L56" i="1"/>
  <c r="K56" i="1"/>
  <c r="J56" i="1"/>
  <c r="N55" i="1"/>
  <c r="L55" i="1"/>
  <c r="K55" i="1"/>
  <c r="J55" i="1"/>
  <c r="N54" i="1"/>
  <c r="L54" i="1"/>
  <c r="K54" i="1"/>
  <c r="J54" i="1"/>
  <c r="N53" i="1"/>
  <c r="L53" i="1"/>
  <c r="K53" i="1"/>
  <c r="J53" i="1"/>
  <c r="N52" i="1"/>
  <c r="L52" i="1"/>
  <c r="K52" i="1"/>
  <c r="J52" i="1"/>
  <c r="N51" i="1"/>
  <c r="L51" i="1"/>
  <c r="K51" i="1"/>
  <c r="J51" i="1"/>
  <c r="N50" i="1"/>
  <c r="L50" i="1"/>
  <c r="K50" i="1"/>
  <c r="J50" i="1"/>
  <c r="N49" i="1"/>
  <c r="L49" i="1"/>
  <c r="K49" i="1"/>
  <c r="J49" i="1"/>
  <c r="N48" i="1"/>
  <c r="L48" i="1"/>
  <c r="K48" i="1"/>
  <c r="J48" i="1"/>
  <c r="N47" i="1"/>
  <c r="L47" i="1"/>
  <c r="K47" i="1"/>
  <c r="J47" i="1"/>
  <c r="N46" i="1"/>
  <c r="L46" i="1"/>
  <c r="K46" i="1"/>
  <c r="J46" i="1"/>
  <c r="N45" i="1"/>
  <c r="L45" i="1"/>
  <c r="K45" i="1"/>
  <c r="J45" i="1"/>
  <c r="N44" i="1"/>
  <c r="L44" i="1"/>
  <c r="K44" i="1"/>
  <c r="J44" i="1"/>
  <c r="N43" i="1"/>
  <c r="L43" i="1"/>
  <c r="K43" i="1"/>
  <c r="J43" i="1"/>
  <c r="N42" i="1"/>
  <c r="L42" i="1"/>
  <c r="K42" i="1"/>
  <c r="J42" i="1"/>
  <c r="N41" i="1"/>
  <c r="L41" i="1"/>
  <c r="K41" i="1"/>
  <c r="J41" i="1"/>
  <c r="N40" i="1"/>
  <c r="L40" i="1"/>
  <c r="K40" i="1"/>
  <c r="J40" i="1"/>
  <c r="N39" i="1"/>
  <c r="L39" i="1"/>
  <c r="K39" i="1"/>
  <c r="J39" i="1"/>
  <c r="N38" i="1"/>
  <c r="L38" i="1"/>
  <c r="K38" i="1"/>
  <c r="J38" i="1"/>
  <c r="N37" i="1"/>
  <c r="L37" i="1"/>
  <c r="K37" i="1"/>
  <c r="J37" i="1"/>
  <c r="N36" i="1"/>
  <c r="L36" i="1"/>
  <c r="K36" i="1"/>
  <c r="J36" i="1"/>
  <c r="N35" i="1"/>
  <c r="L35" i="1"/>
  <c r="K35" i="1"/>
  <c r="J35" i="1"/>
  <c r="N34" i="1"/>
  <c r="L34" i="1"/>
  <c r="K34" i="1"/>
  <c r="J34" i="1"/>
  <c r="N33" i="1"/>
  <c r="L33" i="1"/>
  <c r="K33" i="1"/>
  <c r="J33" i="1"/>
  <c r="N32" i="1"/>
  <c r="L32" i="1"/>
  <c r="K32" i="1"/>
  <c r="J32" i="1"/>
  <c r="N31" i="1"/>
  <c r="L31" i="1"/>
  <c r="K31" i="1"/>
  <c r="J31" i="1"/>
  <c r="N30" i="1"/>
  <c r="L30" i="1"/>
  <c r="K30" i="1"/>
  <c r="J30" i="1"/>
  <c r="N29" i="1"/>
  <c r="L29" i="1"/>
  <c r="K29" i="1"/>
  <c r="J29" i="1"/>
  <c r="N28" i="1"/>
  <c r="L28" i="1"/>
  <c r="K28" i="1"/>
  <c r="J28" i="1"/>
  <c r="N27" i="1"/>
  <c r="L27" i="1"/>
  <c r="K27" i="1"/>
  <c r="J27" i="1"/>
  <c r="N26" i="1"/>
  <c r="L26" i="1"/>
  <c r="K26" i="1"/>
  <c r="J26" i="1"/>
  <c r="N25" i="1"/>
  <c r="L25" i="1"/>
  <c r="K25" i="1"/>
  <c r="J25" i="1"/>
  <c r="N24" i="1"/>
  <c r="L24" i="1"/>
  <c r="K24" i="1"/>
  <c r="J24" i="1"/>
  <c r="N23" i="1"/>
  <c r="L23" i="1"/>
  <c r="K23" i="1"/>
  <c r="J23" i="1"/>
  <c r="N22" i="1"/>
  <c r="L22" i="1"/>
  <c r="K22" i="1"/>
  <c r="J22" i="1"/>
  <c r="N21" i="1"/>
  <c r="L21" i="1"/>
  <c r="K21" i="1"/>
  <c r="J21" i="1"/>
  <c r="N20" i="1"/>
  <c r="L20" i="1"/>
  <c r="K20" i="1"/>
  <c r="J20" i="1"/>
  <c r="N19" i="1"/>
  <c r="L19" i="1"/>
  <c r="K19" i="1"/>
  <c r="J19" i="1"/>
  <c r="N18" i="1"/>
  <c r="L18" i="1"/>
  <c r="K18" i="1"/>
  <c r="J18" i="1"/>
  <c r="N17" i="1"/>
  <c r="L17" i="1"/>
  <c r="K17" i="1"/>
  <c r="J17" i="1"/>
  <c r="N16" i="1"/>
  <c r="L16" i="1"/>
  <c r="K16" i="1"/>
  <c r="J16" i="1"/>
  <c r="N15" i="1"/>
  <c r="L15" i="1"/>
  <c r="K15" i="1"/>
  <c r="J15" i="1"/>
  <c r="N14" i="1"/>
  <c r="L14" i="1"/>
  <c r="K14" i="1"/>
  <c r="J14" i="1"/>
  <c r="N13" i="1"/>
  <c r="L13" i="1"/>
  <c r="K13" i="1"/>
  <c r="J13" i="1"/>
  <c r="N12" i="1"/>
  <c r="L12" i="1"/>
  <c r="K12" i="1"/>
  <c r="J12" i="1"/>
  <c r="N11" i="1"/>
  <c r="L11" i="1"/>
  <c r="K11" i="1"/>
  <c r="J11" i="1"/>
  <c r="N10" i="1"/>
  <c r="L10" i="1"/>
  <c r="K10" i="1"/>
  <c r="J10" i="1"/>
  <c r="N9" i="1"/>
  <c r="L9" i="1"/>
  <c r="K9" i="1"/>
  <c r="J9" i="1"/>
  <c r="N8" i="1"/>
  <c r="L8" i="1"/>
  <c r="K8" i="1"/>
  <c r="J8" i="1"/>
  <c r="N7" i="1"/>
  <c r="L7" i="1"/>
  <c r="K7" i="1"/>
  <c r="J7" i="1"/>
  <c r="N6" i="1"/>
  <c r="L6" i="1"/>
  <c r="K6" i="1"/>
  <c r="J6" i="1"/>
  <c r="N5" i="1"/>
  <c r="L5" i="1"/>
  <c r="K5" i="1"/>
  <c r="J5" i="1"/>
  <c r="N4" i="1"/>
  <c r="L4" i="1"/>
  <c r="K4" i="1"/>
  <c r="J4" i="1"/>
  <c r="N3" i="1"/>
  <c r="L3" i="1"/>
  <c r="K3" i="1"/>
  <c r="J3" i="1"/>
  <c r="N2" i="1"/>
  <c r="L2" i="1"/>
  <c r="K2" i="1"/>
  <c r="J2" i="1"/>
  <c r="F22" i="13" l="1"/>
  <c r="F30" i="13"/>
  <c r="C26" i="13"/>
  <c r="K26" i="13"/>
  <c r="S26" i="13"/>
  <c r="AA26" i="13"/>
  <c r="AI26" i="13"/>
  <c r="AQ26" i="13"/>
  <c r="AY26" i="13"/>
  <c r="BG26" i="13"/>
  <c r="BO26" i="13"/>
  <c r="BW26" i="13"/>
  <c r="CE26" i="13"/>
  <c r="CM26" i="13"/>
  <c r="CU26" i="13"/>
  <c r="DC26" i="13"/>
  <c r="DK26" i="13"/>
  <c r="DS26" i="13"/>
  <c r="EA26" i="13"/>
  <c r="EI26" i="13"/>
  <c r="EQ26" i="13"/>
  <c r="EY26" i="13"/>
  <c r="FG26" i="13"/>
  <c r="FO26" i="13"/>
  <c r="FW26" i="13"/>
  <c r="GE26" i="13"/>
  <c r="GM26" i="13"/>
  <c r="GU26" i="13"/>
  <c r="HC26" i="13"/>
  <c r="HK26" i="13"/>
  <c r="HS26" i="13"/>
  <c r="IA26" i="13"/>
  <c r="II26" i="13"/>
  <c r="IQ26" i="13"/>
  <c r="IY26" i="13"/>
  <c r="JG26" i="13"/>
  <c r="JO26" i="13"/>
  <c r="JW26" i="13"/>
  <c r="KU26" i="13"/>
  <c r="LC26" i="13"/>
  <c r="LK26" i="13"/>
  <c r="LS26" i="13"/>
  <c r="MA26" i="13"/>
  <c r="MI26" i="13"/>
  <c r="MQ26" i="13"/>
  <c r="D26" i="13"/>
  <c r="L26" i="13"/>
  <c r="T26" i="13"/>
  <c r="AB26" i="13"/>
  <c r="AJ26" i="13"/>
  <c r="AR26" i="13"/>
  <c r="AZ26" i="13"/>
  <c r="BH26" i="13"/>
  <c r="BP26" i="13"/>
  <c r="BX26" i="13"/>
  <c r="CF26" i="13"/>
  <c r="CN26" i="13"/>
  <c r="CV26" i="13"/>
  <c r="DD26" i="13"/>
  <c r="DL26" i="13"/>
  <c r="DT26" i="13"/>
  <c r="EB26" i="13"/>
  <c r="EJ26" i="13"/>
  <c r="ER26" i="13"/>
  <c r="EZ26" i="13"/>
  <c r="FH26" i="13"/>
  <c r="FP26" i="13"/>
  <c r="FX26" i="13"/>
  <c r="GF26" i="13"/>
  <c r="GN26" i="13"/>
  <c r="GV26" i="13"/>
  <c r="HD26" i="13"/>
  <c r="HL26" i="13"/>
  <c r="HT26" i="13"/>
  <c r="IB26" i="13"/>
  <c r="IJ26" i="13"/>
  <c r="IR26" i="13"/>
  <c r="IZ26" i="13"/>
  <c r="JH26" i="13"/>
  <c r="JP26" i="13"/>
  <c r="JX26" i="13"/>
  <c r="KF26" i="13"/>
  <c r="KN26" i="13"/>
  <c r="KV26" i="13"/>
  <c r="LD26" i="13"/>
  <c r="LL26" i="13"/>
  <c r="LT26" i="13"/>
  <c r="MB26" i="13"/>
  <c r="MJ26" i="13"/>
  <c r="MR26" i="13"/>
  <c r="E26" i="13"/>
  <c r="M26" i="13"/>
  <c r="U26" i="13"/>
  <c r="AC26" i="13"/>
  <c r="AK26" i="13"/>
  <c r="AS26" i="13"/>
  <c r="BA26" i="13"/>
  <c r="BI26" i="13"/>
  <c r="BQ26" i="13"/>
  <c r="BY26" i="13"/>
  <c r="CG26" i="13"/>
  <c r="CO26" i="13"/>
  <c r="CW26" i="13"/>
  <c r="DE26" i="13"/>
  <c r="DM26" i="13"/>
  <c r="DU26" i="13"/>
  <c r="EC26" i="13"/>
  <c r="EK26" i="13"/>
  <c r="ES26" i="13"/>
  <c r="FA26" i="13"/>
  <c r="FI26" i="13"/>
  <c r="FQ26" i="13"/>
  <c r="FY26" i="13"/>
  <c r="GG26" i="13"/>
  <c r="GO26" i="13"/>
  <c r="GW26" i="13"/>
  <c r="HE26" i="13"/>
  <c r="HM26" i="13"/>
  <c r="HU26" i="13"/>
  <c r="IC26" i="13"/>
  <c r="IK26" i="13"/>
  <c r="IS26" i="13"/>
  <c r="JA26" i="13"/>
  <c r="JI26" i="13"/>
  <c r="JQ26" i="13"/>
  <c r="JY26" i="13"/>
  <c r="KG26" i="13"/>
  <c r="KO26" i="13"/>
  <c r="KW26" i="13"/>
  <c r="LE26" i="13"/>
  <c r="LM26" i="13"/>
  <c r="LU26" i="13"/>
  <c r="MC26" i="13"/>
  <c r="MK26" i="13"/>
  <c r="MS26" i="13"/>
  <c r="F26" i="13"/>
  <c r="N26" i="13"/>
  <c r="V26" i="13"/>
  <c r="AD26" i="13"/>
  <c r="AL26" i="13"/>
  <c r="AT26" i="13"/>
  <c r="BB26" i="13"/>
  <c r="BJ26" i="13"/>
  <c r="BR26" i="13"/>
  <c r="BZ26" i="13"/>
  <c r="CH26" i="13"/>
  <c r="CP26" i="13"/>
  <c r="CX26" i="13"/>
  <c r="DF26" i="13"/>
  <c r="DN26" i="13"/>
  <c r="DV26" i="13"/>
  <c r="ED26" i="13"/>
  <c r="EL26" i="13"/>
  <c r="ET26" i="13"/>
  <c r="FB26" i="13"/>
  <c r="FJ26" i="13"/>
  <c r="FR26" i="13"/>
  <c r="FZ26" i="13"/>
  <c r="GH26" i="13"/>
  <c r="GP26" i="13"/>
  <c r="GX26" i="13"/>
  <c r="HF26" i="13"/>
  <c r="HN26" i="13"/>
  <c r="HV26" i="13"/>
  <c r="ID26" i="13"/>
  <c r="IL26" i="13"/>
  <c r="IT26" i="13"/>
  <c r="JB26" i="13"/>
  <c r="JJ26" i="13"/>
  <c r="JR26" i="13"/>
  <c r="JZ26" i="13"/>
  <c r="KH26" i="13"/>
  <c r="KP26" i="13"/>
  <c r="KX26" i="13"/>
  <c r="LF26" i="13"/>
  <c r="LN26" i="13"/>
  <c r="LV26" i="13"/>
  <c r="MD26" i="13"/>
  <c r="ML26" i="13"/>
  <c r="MT26" i="13"/>
  <c r="G26" i="13"/>
  <c r="O26" i="13"/>
  <c r="W26" i="13"/>
  <c r="AE26" i="13"/>
  <c r="AM26" i="13"/>
  <c r="AU26" i="13"/>
  <c r="BC26" i="13"/>
  <c r="BK26" i="13"/>
  <c r="BS26" i="13"/>
  <c r="CA26" i="13"/>
  <c r="CI26" i="13"/>
  <c r="CQ26" i="13"/>
  <c r="CY26" i="13"/>
  <c r="DG26" i="13"/>
  <c r="DO26" i="13"/>
  <c r="DW26" i="13"/>
  <c r="EE26" i="13"/>
  <c r="EM26" i="13"/>
  <c r="EU26" i="13"/>
  <c r="FC26" i="13"/>
  <c r="FK26" i="13"/>
  <c r="FS26" i="13"/>
  <c r="GA26" i="13"/>
  <c r="GI26" i="13"/>
  <c r="GQ26" i="13"/>
  <c r="GY26" i="13"/>
  <c r="HG26" i="13"/>
  <c r="HO26" i="13"/>
  <c r="HW26" i="13"/>
  <c r="IE26" i="13"/>
  <c r="IM26" i="13"/>
  <c r="IU26" i="13"/>
  <c r="JC26" i="13"/>
  <c r="JK26" i="13"/>
  <c r="JS26" i="13"/>
  <c r="KA26" i="13"/>
  <c r="KI26" i="13"/>
  <c r="KQ26" i="13"/>
  <c r="KY26" i="13"/>
  <c r="LG26" i="13"/>
  <c r="LO26" i="13"/>
  <c r="LW26" i="13"/>
  <c r="ME26" i="13"/>
  <c r="MM26" i="13"/>
  <c r="MU26" i="13"/>
  <c r="H26" i="13"/>
  <c r="P26" i="13"/>
  <c r="X26" i="13"/>
  <c r="AF26" i="13"/>
  <c r="AN26" i="13"/>
  <c r="AV26" i="13"/>
  <c r="BD26" i="13"/>
  <c r="BL26" i="13"/>
  <c r="BT26" i="13"/>
  <c r="CB26" i="13"/>
  <c r="CJ26" i="13"/>
  <c r="CR26" i="13"/>
  <c r="CZ26" i="13"/>
  <c r="DH26" i="13"/>
  <c r="DP26" i="13"/>
  <c r="DX26" i="13"/>
  <c r="EF26" i="13"/>
  <c r="EN26" i="13"/>
  <c r="EV26" i="13"/>
  <c r="FD26" i="13"/>
  <c r="FL26" i="13"/>
  <c r="FT26" i="13"/>
  <c r="GB26" i="13"/>
  <c r="GJ26" i="13"/>
  <c r="GR26" i="13"/>
  <c r="GZ26" i="13"/>
  <c r="HH26" i="13"/>
  <c r="HP26" i="13"/>
  <c r="HX26" i="13"/>
  <c r="IF26" i="13"/>
  <c r="IN26" i="13"/>
  <c r="IV26" i="13"/>
  <c r="JD26" i="13"/>
  <c r="JL26" i="13"/>
  <c r="JT26" i="13"/>
  <c r="KB26" i="13"/>
  <c r="KJ26" i="13"/>
  <c r="KR26" i="13"/>
  <c r="KZ26" i="13"/>
  <c r="LH26" i="13"/>
  <c r="LP26" i="13"/>
  <c r="LX26" i="13"/>
  <c r="MF26" i="13"/>
  <c r="MN26" i="13"/>
  <c r="MV26" i="13"/>
  <c r="I26" i="13"/>
  <c r="Q26" i="13"/>
  <c r="Y26" i="13"/>
  <c r="AG26" i="13"/>
  <c r="AO26" i="13"/>
  <c r="AW26" i="13"/>
  <c r="BE26" i="13"/>
  <c r="BM26" i="13"/>
  <c r="BU26" i="13"/>
  <c r="CC26" i="13"/>
  <c r="CK26" i="13"/>
  <c r="CS26" i="13"/>
  <c r="DA26" i="13"/>
  <c r="DI26" i="13"/>
  <c r="DQ26" i="13"/>
  <c r="DY26" i="13"/>
  <c r="EG26" i="13"/>
  <c r="EO26" i="13"/>
  <c r="EW26" i="13"/>
  <c r="FE26" i="13"/>
  <c r="FM26" i="13"/>
  <c r="FU26" i="13"/>
  <c r="GC26" i="13"/>
  <c r="GK26" i="13"/>
  <c r="GS26" i="13"/>
  <c r="HA26" i="13"/>
  <c r="HI26" i="13"/>
  <c r="HQ26" i="13"/>
  <c r="HY26" i="13"/>
  <c r="IG26" i="13"/>
  <c r="IO26" i="13"/>
  <c r="IW26" i="13"/>
  <c r="JE26" i="13"/>
  <c r="JM26" i="13"/>
  <c r="JU26" i="13"/>
  <c r="KC26" i="13"/>
  <c r="KK26" i="13"/>
  <c r="KS26" i="13"/>
  <c r="LA26" i="13"/>
  <c r="LI26" i="13"/>
  <c r="LQ26" i="13"/>
  <c r="LY26" i="13"/>
  <c r="MG26" i="13"/>
  <c r="MO26" i="13"/>
  <c r="MW26" i="13"/>
  <c r="KM26" i="13"/>
  <c r="J26" i="13"/>
  <c r="R26" i="13"/>
  <c r="Z26" i="13"/>
  <c r="AH26" i="13"/>
  <c r="AP26" i="13"/>
  <c r="AX26" i="13"/>
  <c r="BF26" i="13"/>
  <c r="BN26" i="13"/>
  <c r="BV26" i="13"/>
  <c r="CD26" i="13"/>
  <c r="CL26" i="13"/>
  <c r="CT26" i="13"/>
  <c r="DB26" i="13"/>
  <c r="DJ26" i="13"/>
  <c r="DR26" i="13"/>
  <c r="DZ26" i="13"/>
  <c r="EH26" i="13"/>
  <c r="EP26" i="13"/>
  <c r="EX26" i="13"/>
  <c r="FF26" i="13"/>
  <c r="FN26" i="13"/>
  <c r="FV26" i="13"/>
  <c r="GD26" i="13"/>
  <c r="GL26" i="13"/>
  <c r="GT26" i="13"/>
  <c r="HB26" i="13"/>
  <c r="HJ26" i="13"/>
  <c r="HR26" i="13"/>
  <c r="HZ26" i="13"/>
  <c r="IH26" i="13"/>
  <c r="IP26" i="13"/>
  <c r="IX26" i="13"/>
  <c r="JF26" i="13"/>
  <c r="JN26" i="13"/>
  <c r="JV26" i="13"/>
  <c r="KD26" i="13"/>
  <c r="KL26" i="13"/>
  <c r="KT26" i="13"/>
  <c r="LB26" i="13"/>
  <c r="LJ26" i="13"/>
  <c r="LR26" i="13"/>
  <c r="LZ26" i="13"/>
  <c r="MH26" i="13"/>
  <c r="MP26" i="13"/>
  <c r="MX26" i="13"/>
  <c r="KE26" i="13"/>
  <c r="B6" i="8"/>
  <c r="B10" i="8"/>
  <c r="G22" i="13" l="1"/>
  <c r="G30" i="13"/>
  <c r="C27" i="13"/>
  <c r="C23" i="13" s="1"/>
  <c r="D25" i="13" s="1"/>
  <c r="C32" i="13"/>
  <c r="C36" i="13" s="1"/>
  <c r="C38" i="13" s="1"/>
  <c r="B15" i="8"/>
  <c r="C26" i="8" l="1"/>
  <c r="K26" i="8"/>
  <c r="S26" i="8"/>
  <c r="AA26" i="8"/>
  <c r="AI26" i="8"/>
  <c r="AQ26" i="8"/>
  <c r="AY26" i="8"/>
  <c r="BG26" i="8"/>
  <c r="BO26" i="8"/>
  <c r="BW26" i="8"/>
  <c r="CE26" i="8"/>
  <c r="CM26" i="8"/>
  <c r="CU26" i="8"/>
  <c r="DC26" i="8"/>
  <c r="DK26" i="8"/>
  <c r="DS26" i="8"/>
  <c r="EA26" i="8"/>
  <c r="EI26" i="8"/>
  <c r="EQ26" i="8"/>
  <c r="EY26" i="8"/>
  <c r="FG26" i="8"/>
  <c r="FO26" i="8"/>
  <c r="FW26" i="8"/>
  <c r="GE26" i="8"/>
  <c r="GM26" i="8"/>
  <c r="GU26" i="8"/>
  <c r="HC26" i="8"/>
  <c r="HK26" i="8"/>
  <c r="HS26" i="8"/>
  <c r="IA26" i="8"/>
  <c r="II26" i="8"/>
  <c r="IQ26" i="8"/>
  <c r="IY26" i="8"/>
  <c r="JG26" i="8"/>
  <c r="JO26" i="8"/>
  <c r="JW26" i="8"/>
  <c r="KE26" i="8"/>
  <c r="KM26" i="8"/>
  <c r="KU26" i="8"/>
  <c r="LC26" i="8"/>
  <c r="LK26" i="8"/>
  <c r="LS26" i="8"/>
  <c r="MA26" i="8"/>
  <c r="MI26" i="8"/>
  <c r="MQ26" i="8"/>
  <c r="HH26" i="8"/>
  <c r="KB26" i="8"/>
  <c r="LY26" i="8"/>
  <c r="Z26" i="8"/>
  <c r="BN26" i="8"/>
  <c r="CD26" i="8"/>
  <c r="CT26" i="8"/>
  <c r="DJ26" i="8"/>
  <c r="EH26" i="8"/>
  <c r="GD26" i="8"/>
  <c r="HJ26" i="8"/>
  <c r="IH26" i="8"/>
  <c r="JF26" i="8"/>
  <c r="KT26" i="8"/>
  <c r="LZ26" i="8"/>
  <c r="MP26" i="8"/>
  <c r="D26" i="8"/>
  <c r="L26" i="8"/>
  <c r="T26" i="8"/>
  <c r="AB26" i="8"/>
  <c r="AJ26" i="8"/>
  <c r="AR26" i="8"/>
  <c r="AZ26" i="8"/>
  <c r="BH26" i="8"/>
  <c r="BP26" i="8"/>
  <c r="BX26" i="8"/>
  <c r="CF26" i="8"/>
  <c r="CN26" i="8"/>
  <c r="CV26" i="8"/>
  <c r="DD26" i="8"/>
  <c r="DL26" i="8"/>
  <c r="DT26" i="8"/>
  <c r="EB26" i="8"/>
  <c r="EJ26" i="8"/>
  <c r="ER26" i="8"/>
  <c r="EZ26" i="8"/>
  <c r="FH26" i="8"/>
  <c r="FP26" i="8"/>
  <c r="FX26" i="8"/>
  <c r="GF26" i="8"/>
  <c r="GN26" i="8"/>
  <c r="GV26" i="8"/>
  <c r="HD26" i="8"/>
  <c r="HL26" i="8"/>
  <c r="HT26" i="8"/>
  <c r="IB26" i="8"/>
  <c r="IJ26" i="8"/>
  <c r="IR26" i="8"/>
  <c r="IZ26" i="8"/>
  <c r="JH26" i="8"/>
  <c r="JP26" i="8"/>
  <c r="JX26" i="8"/>
  <c r="KF26" i="8"/>
  <c r="KN26" i="8"/>
  <c r="KV26" i="8"/>
  <c r="LD26" i="8"/>
  <c r="LL26" i="8"/>
  <c r="LT26" i="8"/>
  <c r="MB26" i="8"/>
  <c r="MJ26" i="8"/>
  <c r="MR26" i="8"/>
  <c r="KJ26" i="8"/>
  <c r="LP26" i="8"/>
  <c r="KK26" i="8"/>
  <c r="MO26" i="8"/>
  <c r="AH26" i="8"/>
  <c r="FN26" i="8"/>
  <c r="JV26" i="8"/>
  <c r="E26" i="8"/>
  <c r="M26" i="8"/>
  <c r="U26" i="8"/>
  <c r="AC26" i="8"/>
  <c r="AK26" i="8"/>
  <c r="AS26" i="8"/>
  <c r="BA26" i="8"/>
  <c r="BI26" i="8"/>
  <c r="BQ26" i="8"/>
  <c r="BY26" i="8"/>
  <c r="CG26" i="8"/>
  <c r="CO26" i="8"/>
  <c r="CW26" i="8"/>
  <c r="DE26" i="8"/>
  <c r="DM26" i="8"/>
  <c r="DU26" i="8"/>
  <c r="EC26" i="8"/>
  <c r="EK26" i="8"/>
  <c r="ES26" i="8"/>
  <c r="FA26" i="8"/>
  <c r="FI26" i="8"/>
  <c r="FQ26" i="8"/>
  <c r="FY26" i="8"/>
  <c r="GG26" i="8"/>
  <c r="GO26" i="8"/>
  <c r="GW26" i="8"/>
  <c r="HE26" i="8"/>
  <c r="HM26" i="8"/>
  <c r="HU26" i="8"/>
  <c r="IC26" i="8"/>
  <c r="IK26" i="8"/>
  <c r="IS26" i="8"/>
  <c r="JA26" i="8"/>
  <c r="JI26" i="8"/>
  <c r="JQ26" i="8"/>
  <c r="JY26" i="8"/>
  <c r="KG26" i="8"/>
  <c r="KO26" i="8"/>
  <c r="KW26" i="8"/>
  <c r="LE26" i="8"/>
  <c r="LM26" i="8"/>
  <c r="LU26" i="8"/>
  <c r="MC26" i="8"/>
  <c r="MK26" i="8"/>
  <c r="MS26" i="8"/>
  <c r="LV26" i="8"/>
  <c r="ML26" i="8"/>
  <c r="KY26" i="8"/>
  <c r="LW26" i="8"/>
  <c r="MU26" i="8"/>
  <c r="IF26" i="8"/>
  <c r="KR26" i="8"/>
  <c r="MN26" i="8"/>
  <c r="KS26" i="8"/>
  <c r="MG26" i="8"/>
  <c r="AX26" i="8"/>
  <c r="EP26" i="8"/>
  <c r="HB26" i="8"/>
  <c r="KL26" i="8"/>
  <c r="F26" i="8"/>
  <c r="N26" i="8"/>
  <c r="V26" i="8"/>
  <c r="AD26" i="8"/>
  <c r="AL26" i="8"/>
  <c r="AT26" i="8"/>
  <c r="BB26" i="8"/>
  <c r="BJ26" i="8"/>
  <c r="BR26" i="8"/>
  <c r="BZ26" i="8"/>
  <c r="CH26" i="8"/>
  <c r="CP26" i="8"/>
  <c r="CX26" i="8"/>
  <c r="DF26" i="8"/>
  <c r="DN26" i="8"/>
  <c r="DV26" i="8"/>
  <c r="ED26" i="8"/>
  <c r="EL26" i="8"/>
  <c r="ET26" i="8"/>
  <c r="FB26" i="8"/>
  <c r="FJ26" i="8"/>
  <c r="FR26" i="8"/>
  <c r="FZ26" i="8"/>
  <c r="GH26" i="8"/>
  <c r="GP26" i="8"/>
  <c r="GX26" i="8"/>
  <c r="HF26" i="8"/>
  <c r="HN26" i="8"/>
  <c r="HV26" i="8"/>
  <c r="ID26" i="8"/>
  <c r="IL26" i="8"/>
  <c r="IT26" i="8"/>
  <c r="JB26" i="8"/>
  <c r="JJ26" i="8"/>
  <c r="JR26" i="8"/>
  <c r="JZ26" i="8"/>
  <c r="KH26" i="8"/>
  <c r="KP26" i="8"/>
  <c r="KX26" i="8"/>
  <c r="LF26" i="8"/>
  <c r="LN26" i="8"/>
  <c r="MD26" i="8"/>
  <c r="MT26" i="8"/>
  <c r="LG26" i="8"/>
  <c r="ME26" i="8"/>
  <c r="IN26" i="8"/>
  <c r="LX26" i="8"/>
  <c r="LI26" i="8"/>
  <c r="MW26" i="8"/>
  <c r="R26" i="8"/>
  <c r="FF26" i="8"/>
  <c r="HR26" i="8"/>
  <c r="LB26" i="8"/>
  <c r="MX26" i="8"/>
  <c r="G26" i="8"/>
  <c r="O26" i="8"/>
  <c r="W26" i="8"/>
  <c r="AE26" i="8"/>
  <c r="AM26" i="8"/>
  <c r="AU26" i="8"/>
  <c r="BC26" i="8"/>
  <c r="BK26" i="8"/>
  <c r="BS26" i="8"/>
  <c r="CA26" i="8"/>
  <c r="CI26" i="8"/>
  <c r="CQ26" i="8"/>
  <c r="CY26" i="8"/>
  <c r="DG26" i="8"/>
  <c r="DO26" i="8"/>
  <c r="DW26" i="8"/>
  <c r="EE26" i="8"/>
  <c r="EM26" i="8"/>
  <c r="EU26" i="8"/>
  <c r="FC26" i="8"/>
  <c r="FK26" i="8"/>
  <c r="FS26" i="8"/>
  <c r="GA26" i="8"/>
  <c r="GI26" i="8"/>
  <c r="GQ26" i="8"/>
  <c r="GY26" i="8"/>
  <c r="HG26" i="8"/>
  <c r="HO26" i="8"/>
  <c r="HW26" i="8"/>
  <c r="IE26" i="8"/>
  <c r="IM26" i="8"/>
  <c r="IU26" i="8"/>
  <c r="JC26" i="8"/>
  <c r="JK26" i="8"/>
  <c r="JS26" i="8"/>
  <c r="KA26" i="8"/>
  <c r="KI26" i="8"/>
  <c r="KQ26" i="8"/>
  <c r="LO26" i="8"/>
  <c r="MM26" i="8"/>
  <c r="HX26" i="8"/>
  <c r="JT26" i="8"/>
  <c r="MV26" i="8"/>
  <c r="J26" i="8"/>
  <c r="BV26" i="8"/>
  <c r="CL26" i="8"/>
  <c r="DB26" i="8"/>
  <c r="DZ26" i="8"/>
  <c r="FV26" i="8"/>
  <c r="GT26" i="8"/>
  <c r="HZ26" i="8"/>
  <c r="IP26" i="8"/>
  <c r="KD26" i="8"/>
  <c r="LJ26" i="8"/>
  <c r="MH26" i="8"/>
  <c r="H26" i="8"/>
  <c r="P26" i="8"/>
  <c r="X26" i="8"/>
  <c r="AF26" i="8"/>
  <c r="AN26" i="8"/>
  <c r="AV26" i="8"/>
  <c r="BD26" i="8"/>
  <c r="BL26" i="8"/>
  <c r="BT26" i="8"/>
  <c r="CB26" i="8"/>
  <c r="CJ26" i="8"/>
  <c r="CR26" i="8"/>
  <c r="CZ26" i="8"/>
  <c r="DH26" i="8"/>
  <c r="DP26" i="8"/>
  <c r="DX26" i="8"/>
  <c r="EF26" i="8"/>
  <c r="EN26" i="8"/>
  <c r="EV26" i="8"/>
  <c r="FD26" i="8"/>
  <c r="FL26" i="8"/>
  <c r="FT26" i="8"/>
  <c r="GB26" i="8"/>
  <c r="GJ26" i="8"/>
  <c r="GR26" i="8"/>
  <c r="GZ26" i="8"/>
  <c r="HP26" i="8"/>
  <c r="IV26" i="8"/>
  <c r="JD26" i="8"/>
  <c r="JL26" i="8"/>
  <c r="KZ26" i="8"/>
  <c r="LH26" i="8"/>
  <c r="MF26" i="8"/>
  <c r="LA26" i="8"/>
  <c r="AP26" i="8"/>
  <c r="EX26" i="8"/>
  <c r="IX26" i="8"/>
  <c r="I26" i="8"/>
  <c r="Q26" i="8"/>
  <c r="Y26" i="8"/>
  <c r="AG26" i="8"/>
  <c r="AO26" i="8"/>
  <c r="AW26" i="8"/>
  <c r="BE26" i="8"/>
  <c r="BM26" i="8"/>
  <c r="BU26" i="8"/>
  <c r="CC26" i="8"/>
  <c r="CK26" i="8"/>
  <c r="CS26" i="8"/>
  <c r="DA26" i="8"/>
  <c r="DI26" i="8"/>
  <c r="DQ26" i="8"/>
  <c r="DY26" i="8"/>
  <c r="EG26" i="8"/>
  <c r="EO26" i="8"/>
  <c r="EW26" i="8"/>
  <c r="FE26" i="8"/>
  <c r="FM26" i="8"/>
  <c r="FU26" i="8"/>
  <c r="GC26" i="8"/>
  <c r="GK26" i="8"/>
  <c r="GS26" i="8"/>
  <c r="HA26" i="8"/>
  <c r="HI26" i="8"/>
  <c r="HQ26" i="8"/>
  <c r="HY26" i="8"/>
  <c r="IG26" i="8"/>
  <c r="IO26" i="8"/>
  <c r="IW26" i="8"/>
  <c r="JE26" i="8"/>
  <c r="JM26" i="8"/>
  <c r="JU26" i="8"/>
  <c r="KC26" i="8"/>
  <c r="LQ26" i="8"/>
  <c r="BF26" i="8"/>
  <c r="DR26" i="8"/>
  <c r="GL26" i="8"/>
  <c r="JN26" i="8"/>
  <c r="LR26" i="8"/>
  <c r="H22" i="13"/>
  <c r="H30" i="13"/>
  <c r="D27" i="13"/>
  <c r="D23" i="13" s="1"/>
  <c r="E25" i="13" s="1"/>
  <c r="D31" i="13"/>
  <c r="D32" i="13" s="1"/>
  <c r="D36" i="13" s="1"/>
  <c r="D38" i="13" s="1"/>
  <c r="C24" i="13"/>
  <c r="C27" i="8" l="1"/>
  <c r="C23" i="8" s="1"/>
  <c r="D25" i="8" s="1"/>
  <c r="C32" i="8"/>
  <c r="C36" i="8" s="1"/>
  <c r="C38" i="8" s="1"/>
  <c r="C24" i="8"/>
  <c r="I22" i="13"/>
  <c r="I30" i="13"/>
  <c r="D24" i="13"/>
  <c r="E27" i="13"/>
  <c r="E23" i="13" s="1"/>
  <c r="F25" i="13" s="1"/>
  <c r="E31" i="13"/>
  <c r="E32" i="13" s="1"/>
  <c r="E36" i="13" s="1"/>
  <c r="E38" i="13" s="1"/>
  <c r="D27" i="8" l="1"/>
  <c r="D23" i="8" s="1"/>
  <c r="E25" i="8" s="1"/>
  <c r="D31" i="8"/>
  <c r="D32" i="8" s="1"/>
  <c r="D36" i="8" s="1"/>
  <c r="D38" i="8" s="1"/>
  <c r="D24" i="8"/>
  <c r="J22" i="13"/>
  <c r="J30" i="13"/>
  <c r="F27" i="13"/>
  <c r="F23" i="13" s="1"/>
  <c r="F31" i="13"/>
  <c r="F32" i="13" s="1"/>
  <c r="F36" i="13" s="1"/>
  <c r="F38" i="13" s="1"/>
  <c r="E24" i="13"/>
  <c r="E38" i="8" l="1"/>
  <c r="E27" i="8"/>
  <c r="E23" i="8" s="1"/>
  <c r="F25" i="8" s="1"/>
  <c r="E31" i="8"/>
  <c r="E32" i="8" s="1"/>
  <c r="E36" i="8" s="1"/>
  <c r="K22" i="13"/>
  <c r="K30" i="13"/>
  <c r="G25" i="13"/>
  <c r="F24" i="13"/>
  <c r="F27" i="8" l="1"/>
  <c r="F23" i="8" s="1"/>
  <c r="F31" i="8"/>
  <c r="F32" i="8" s="1"/>
  <c r="F36" i="8" s="1"/>
  <c r="F38" i="8" s="1"/>
  <c r="E24" i="8"/>
  <c r="L22" i="13"/>
  <c r="L30" i="13"/>
  <c r="G27" i="13"/>
  <c r="G23" i="13" s="1"/>
  <c r="G31" i="13"/>
  <c r="G32" i="13" s="1"/>
  <c r="G36" i="13" s="1"/>
  <c r="G38" i="13" s="1"/>
  <c r="G25" i="8" l="1"/>
  <c r="F24" i="8"/>
  <c r="M22" i="13"/>
  <c r="M30" i="13"/>
  <c r="H25" i="13"/>
  <c r="G24" i="13"/>
  <c r="G27" i="8" l="1"/>
  <c r="G23" i="8" s="1"/>
  <c r="G31" i="8"/>
  <c r="G32" i="8" s="1"/>
  <c r="G36" i="8" s="1"/>
  <c r="G38" i="8" s="1"/>
  <c r="N22" i="13"/>
  <c r="N30" i="13"/>
  <c r="H27" i="13"/>
  <c r="H23" i="13" s="1"/>
  <c r="H31" i="13"/>
  <c r="H32" i="13" s="1"/>
  <c r="H36" i="13" s="1"/>
  <c r="H38" i="13" s="1"/>
  <c r="H25" i="8" l="1"/>
  <c r="G24" i="8"/>
  <c r="O22" i="13"/>
  <c r="O30" i="13"/>
  <c r="I25" i="13"/>
  <c r="H24" i="13"/>
  <c r="H27" i="8" l="1"/>
  <c r="H23" i="8" s="1"/>
  <c r="H31" i="8"/>
  <c r="H32" i="8" s="1"/>
  <c r="H36" i="8" s="1"/>
  <c r="H38" i="8" s="1"/>
  <c r="P22" i="13"/>
  <c r="P30" i="13"/>
  <c r="I27" i="13"/>
  <c r="I23" i="13" s="1"/>
  <c r="I31" i="13"/>
  <c r="I32" i="13" s="1"/>
  <c r="I36" i="13" s="1"/>
  <c r="I38" i="13" s="1"/>
  <c r="I25" i="8" l="1"/>
  <c r="H24" i="8"/>
  <c r="Q22" i="13"/>
  <c r="Q30" i="13"/>
  <c r="J25" i="13"/>
  <c r="I24" i="13"/>
  <c r="I27" i="8" l="1"/>
  <c r="I23" i="8" s="1"/>
  <c r="I31" i="8"/>
  <c r="I32" i="8" s="1"/>
  <c r="I36" i="8" s="1"/>
  <c r="I38" i="8" s="1"/>
  <c r="R22" i="13"/>
  <c r="R30" i="13"/>
  <c r="J27" i="13"/>
  <c r="J23" i="13" s="1"/>
  <c r="J31" i="13"/>
  <c r="J32" i="13" s="1"/>
  <c r="J36" i="13" s="1"/>
  <c r="J38" i="13" s="1"/>
  <c r="J25" i="8" l="1"/>
  <c r="I24" i="8"/>
  <c r="S22" i="13"/>
  <c r="S30" i="13"/>
  <c r="K25" i="13"/>
  <c r="J24" i="13"/>
  <c r="J27" i="8" l="1"/>
  <c r="J23" i="8" s="1"/>
  <c r="J31" i="8"/>
  <c r="J32" i="8" s="1"/>
  <c r="J36" i="8" s="1"/>
  <c r="J38" i="8" s="1"/>
  <c r="T22" i="13"/>
  <c r="T30" i="13"/>
  <c r="K27" i="13"/>
  <c r="K23" i="13" s="1"/>
  <c r="K31" i="13"/>
  <c r="K32" i="13" s="1"/>
  <c r="K36" i="13" s="1"/>
  <c r="K38" i="13" s="1"/>
  <c r="K25" i="8" l="1"/>
  <c r="J24" i="8"/>
  <c r="U22" i="13"/>
  <c r="U30" i="13"/>
  <c r="L25" i="13"/>
  <c r="K24" i="13"/>
  <c r="K27" i="8" l="1"/>
  <c r="K23" i="8" s="1"/>
  <c r="K31" i="8"/>
  <c r="K32" i="8" s="1"/>
  <c r="K36" i="8" s="1"/>
  <c r="K38" i="8" s="1"/>
  <c r="V22" i="13"/>
  <c r="V30" i="13"/>
  <c r="L27" i="13"/>
  <c r="L23" i="13" s="1"/>
  <c r="L31" i="13"/>
  <c r="L32" i="13" s="1"/>
  <c r="L36" i="13" s="1"/>
  <c r="L38" i="13" s="1"/>
  <c r="L25" i="8" l="1"/>
  <c r="K24" i="8"/>
  <c r="W22" i="13"/>
  <c r="W30" i="13"/>
  <c r="M25" i="13"/>
  <c r="L24" i="13"/>
  <c r="L27" i="8" l="1"/>
  <c r="L23" i="8" s="1"/>
  <c r="L31" i="8"/>
  <c r="L32" i="8" s="1"/>
  <c r="L36" i="8" s="1"/>
  <c r="L38" i="8" s="1"/>
  <c r="X22" i="13"/>
  <c r="X30" i="13"/>
  <c r="M27" i="13"/>
  <c r="M23" i="13" s="1"/>
  <c r="M31" i="13"/>
  <c r="M32" i="13" s="1"/>
  <c r="M36" i="13" s="1"/>
  <c r="M38" i="13" s="1"/>
  <c r="M25" i="8" l="1"/>
  <c r="L24" i="8"/>
  <c r="Y22" i="13"/>
  <c r="Y30" i="13"/>
  <c r="N25" i="13"/>
  <c r="M24" i="13"/>
  <c r="M27" i="8" l="1"/>
  <c r="M23" i="8" s="1"/>
  <c r="M31" i="8"/>
  <c r="M32" i="8" s="1"/>
  <c r="M36" i="8" s="1"/>
  <c r="M38" i="8" s="1"/>
  <c r="Z22" i="13"/>
  <c r="Z30" i="13"/>
  <c r="N27" i="13"/>
  <c r="N23" i="13" s="1"/>
  <c r="N31" i="13"/>
  <c r="N32" i="13" s="1"/>
  <c r="N36" i="13" s="1"/>
  <c r="N38" i="13" s="1"/>
  <c r="N25" i="8" l="1"/>
  <c r="M24" i="8"/>
  <c r="AA22" i="13"/>
  <c r="AA30" i="13"/>
  <c r="O25" i="13"/>
  <c r="N24" i="13"/>
  <c r="N27" i="8" l="1"/>
  <c r="N23" i="8" s="1"/>
  <c r="N31" i="8"/>
  <c r="N32" i="8" s="1"/>
  <c r="N36" i="8" s="1"/>
  <c r="N38" i="8" s="1"/>
  <c r="AB22" i="13"/>
  <c r="AB30" i="13"/>
  <c r="O27" i="13"/>
  <c r="O23" i="13" s="1"/>
  <c r="O31" i="13"/>
  <c r="O32" i="13" s="1"/>
  <c r="O36" i="13" s="1"/>
  <c r="O38" i="13" s="1"/>
  <c r="O25" i="8" l="1"/>
  <c r="N24" i="8"/>
  <c r="AC22" i="13"/>
  <c r="AC30" i="13"/>
  <c r="P25" i="13"/>
  <c r="O24" i="13"/>
  <c r="O27" i="8" l="1"/>
  <c r="O23" i="8" s="1"/>
  <c r="O31" i="8"/>
  <c r="O32" i="8" s="1"/>
  <c r="O36" i="8" s="1"/>
  <c r="O38" i="8" s="1"/>
  <c r="AD22" i="13"/>
  <c r="AD30" i="13"/>
  <c r="P27" i="13"/>
  <c r="P23" i="13" s="1"/>
  <c r="P31" i="13"/>
  <c r="P32" i="13" s="1"/>
  <c r="P36" i="13" s="1"/>
  <c r="P38" i="13" s="1"/>
  <c r="P25" i="8" l="1"/>
  <c r="O24" i="8"/>
  <c r="AE22" i="13"/>
  <c r="AE30" i="13"/>
  <c r="Q25" i="13"/>
  <c r="P24" i="13"/>
  <c r="P27" i="8" l="1"/>
  <c r="P23" i="8" s="1"/>
  <c r="P31" i="8"/>
  <c r="P32" i="8" s="1"/>
  <c r="P36" i="8" s="1"/>
  <c r="P38" i="8" s="1"/>
  <c r="AF22" i="13"/>
  <c r="AF30" i="13"/>
  <c r="Q27" i="13"/>
  <c r="Q23" i="13" s="1"/>
  <c r="Q31" i="13"/>
  <c r="Q32" i="13" s="1"/>
  <c r="Q36" i="13" s="1"/>
  <c r="Q38" i="13" s="1"/>
  <c r="Q25" i="8" l="1"/>
  <c r="P24" i="8"/>
  <c r="AG22" i="13"/>
  <c r="AG30" i="13"/>
  <c r="R25" i="13"/>
  <c r="Q24" i="13"/>
  <c r="Q27" i="8" l="1"/>
  <c r="Q23" i="8" s="1"/>
  <c r="Q31" i="8"/>
  <c r="Q32" i="8" s="1"/>
  <c r="Q36" i="8" s="1"/>
  <c r="Q38" i="8" s="1"/>
  <c r="AH22" i="13"/>
  <c r="AH30" i="13"/>
  <c r="R27" i="13"/>
  <c r="R23" i="13" s="1"/>
  <c r="R31" i="13"/>
  <c r="R32" i="13" s="1"/>
  <c r="R36" i="13" s="1"/>
  <c r="R38" i="13" s="1"/>
  <c r="R25" i="8" l="1"/>
  <c r="Q24" i="8"/>
  <c r="AI22" i="13"/>
  <c r="AI30" i="13"/>
  <c r="S25" i="13"/>
  <c r="R24" i="13"/>
  <c r="R27" i="8" l="1"/>
  <c r="R23" i="8" s="1"/>
  <c r="R31" i="8"/>
  <c r="R32" i="8" s="1"/>
  <c r="R36" i="8" s="1"/>
  <c r="R38" i="8" s="1"/>
  <c r="AJ22" i="13"/>
  <c r="AJ30" i="13"/>
  <c r="S27" i="13"/>
  <c r="S23" i="13" s="1"/>
  <c r="S31" i="13"/>
  <c r="S32" i="13" s="1"/>
  <c r="S36" i="13" s="1"/>
  <c r="S38" i="13" s="1"/>
  <c r="S25" i="8" l="1"/>
  <c r="R24" i="8"/>
  <c r="AK22" i="13"/>
  <c r="AK30" i="13"/>
  <c r="T25" i="13"/>
  <c r="S24" i="13"/>
  <c r="S27" i="8" l="1"/>
  <c r="S23" i="8" s="1"/>
  <c r="S31" i="8"/>
  <c r="S32" i="8" s="1"/>
  <c r="S36" i="8" s="1"/>
  <c r="S38" i="8" s="1"/>
  <c r="AL22" i="13"/>
  <c r="AL30" i="13"/>
  <c r="T27" i="13"/>
  <c r="T23" i="13" s="1"/>
  <c r="T31" i="13"/>
  <c r="T32" i="13" s="1"/>
  <c r="T36" i="13" s="1"/>
  <c r="T38" i="13" s="1"/>
  <c r="T25" i="8" l="1"/>
  <c r="S24" i="8"/>
  <c r="AM22" i="13"/>
  <c r="AM30" i="13"/>
  <c r="U25" i="13"/>
  <c r="T24" i="13"/>
  <c r="T27" i="8" l="1"/>
  <c r="T23" i="8" s="1"/>
  <c r="T31" i="8"/>
  <c r="T32" i="8" s="1"/>
  <c r="T36" i="8" s="1"/>
  <c r="T38" i="8" s="1"/>
  <c r="AN22" i="13"/>
  <c r="AN30" i="13"/>
  <c r="U27" i="13"/>
  <c r="U23" i="13" s="1"/>
  <c r="U31" i="13"/>
  <c r="U32" i="13" s="1"/>
  <c r="U36" i="13" s="1"/>
  <c r="U38" i="13" s="1"/>
  <c r="U25" i="8" l="1"/>
  <c r="T24" i="8"/>
  <c r="AO22" i="13"/>
  <c r="AO30" i="13"/>
  <c r="V25" i="13"/>
  <c r="U24" i="13"/>
  <c r="U27" i="8" l="1"/>
  <c r="U23" i="8" s="1"/>
  <c r="U31" i="8"/>
  <c r="U32" i="8" s="1"/>
  <c r="U36" i="8" s="1"/>
  <c r="U38" i="8" s="1"/>
  <c r="AP22" i="13"/>
  <c r="AP30" i="13"/>
  <c r="V27" i="13"/>
  <c r="V23" i="13" s="1"/>
  <c r="V31" i="13"/>
  <c r="V32" i="13" s="1"/>
  <c r="V36" i="13" s="1"/>
  <c r="V38" i="13" s="1"/>
  <c r="V25" i="8" l="1"/>
  <c r="U24" i="8"/>
  <c r="AQ22" i="13"/>
  <c r="AQ30" i="13"/>
  <c r="W25" i="13"/>
  <c r="V24" i="13"/>
  <c r="V27" i="8" l="1"/>
  <c r="V23" i="8" s="1"/>
  <c r="V31" i="8"/>
  <c r="V32" i="8" s="1"/>
  <c r="V36" i="8" s="1"/>
  <c r="V38" i="8" s="1"/>
  <c r="AR22" i="13"/>
  <c r="AR30" i="13"/>
  <c r="W27" i="13"/>
  <c r="W23" i="13" s="1"/>
  <c r="W31" i="13"/>
  <c r="W32" i="13" s="1"/>
  <c r="W36" i="13" s="1"/>
  <c r="W38" i="13" s="1"/>
  <c r="W25" i="8" l="1"/>
  <c r="V24" i="8"/>
  <c r="AS22" i="13"/>
  <c r="AS30" i="13"/>
  <c r="X25" i="13"/>
  <c r="W24" i="13"/>
  <c r="W27" i="8" l="1"/>
  <c r="W23" i="8" s="1"/>
  <c r="W31" i="8"/>
  <c r="W32" i="8" s="1"/>
  <c r="W36" i="8" s="1"/>
  <c r="W38" i="8" s="1"/>
  <c r="AT22" i="13"/>
  <c r="AT30" i="13"/>
  <c r="X27" i="13"/>
  <c r="X23" i="13" s="1"/>
  <c r="X31" i="13"/>
  <c r="X32" i="13" s="1"/>
  <c r="X36" i="13" s="1"/>
  <c r="X38" i="13" s="1"/>
  <c r="X25" i="8" l="1"/>
  <c r="W24" i="8"/>
  <c r="AU22" i="13"/>
  <c r="AU30" i="13"/>
  <c r="Y25" i="13"/>
  <c r="X24" i="13"/>
  <c r="X27" i="8" l="1"/>
  <c r="X23" i="8" s="1"/>
  <c r="X31" i="8"/>
  <c r="X32" i="8" s="1"/>
  <c r="X36" i="8" s="1"/>
  <c r="X38" i="8" s="1"/>
  <c r="AV22" i="13"/>
  <c r="AV30" i="13"/>
  <c r="Y27" i="13"/>
  <c r="Y23" i="13" s="1"/>
  <c r="Y31" i="13"/>
  <c r="Y32" i="13" s="1"/>
  <c r="Y36" i="13" s="1"/>
  <c r="Y38" i="13" s="1"/>
  <c r="Y25" i="8" l="1"/>
  <c r="X24" i="8"/>
  <c r="AW22" i="13"/>
  <c r="AW30" i="13"/>
  <c r="Z25" i="13"/>
  <c r="Y24" i="13"/>
  <c r="Y27" i="8" l="1"/>
  <c r="Y23" i="8" s="1"/>
  <c r="Y31" i="8"/>
  <c r="Y32" i="8" s="1"/>
  <c r="Y36" i="8" s="1"/>
  <c r="Y38" i="8" s="1"/>
  <c r="AX22" i="13"/>
  <c r="AX30" i="13"/>
  <c r="Z27" i="13"/>
  <c r="Z23" i="13" s="1"/>
  <c r="Z31" i="13"/>
  <c r="Z32" i="13" s="1"/>
  <c r="Z36" i="13" s="1"/>
  <c r="Z38" i="13" s="1"/>
  <c r="Z25" i="8" l="1"/>
  <c r="Y24" i="8"/>
  <c r="AY22" i="13"/>
  <c r="AY30" i="13"/>
  <c r="AA25" i="13"/>
  <c r="Z24" i="13"/>
  <c r="Z27" i="8" l="1"/>
  <c r="Z23" i="8" s="1"/>
  <c r="Z31" i="8"/>
  <c r="Z32" i="8" s="1"/>
  <c r="Z36" i="8" s="1"/>
  <c r="Z38" i="8" s="1"/>
  <c r="AZ22" i="13"/>
  <c r="AZ30" i="13"/>
  <c r="AA27" i="13"/>
  <c r="AA23" i="13" s="1"/>
  <c r="AA31" i="13"/>
  <c r="AA32" i="13" s="1"/>
  <c r="AA36" i="13" s="1"/>
  <c r="AA38" i="13" s="1"/>
  <c r="AA25" i="8" l="1"/>
  <c r="Z24" i="8"/>
  <c r="BA22" i="13"/>
  <c r="BA30" i="13"/>
  <c r="AB25" i="13"/>
  <c r="AA24" i="13"/>
  <c r="AA27" i="8" l="1"/>
  <c r="AA23" i="8" s="1"/>
  <c r="AA31" i="8"/>
  <c r="AA32" i="8" s="1"/>
  <c r="AA36" i="8" s="1"/>
  <c r="AA38" i="8" s="1"/>
  <c r="BB22" i="13"/>
  <c r="BB30" i="13"/>
  <c r="AB27" i="13"/>
  <c r="AB23" i="13" s="1"/>
  <c r="AB31" i="13"/>
  <c r="AB32" i="13" s="1"/>
  <c r="AB36" i="13" s="1"/>
  <c r="AB38" i="13" s="1"/>
  <c r="AB25" i="8" l="1"/>
  <c r="AA24" i="8"/>
  <c r="BC22" i="13"/>
  <c r="BC30" i="13"/>
  <c r="AC25" i="13"/>
  <c r="AB24" i="13"/>
  <c r="AB27" i="8" l="1"/>
  <c r="AB23" i="8" s="1"/>
  <c r="AB31" i="8"/>
  <c r="AB32" i="8" s="1"/>
  <c r="AB36" i="8" s="1"/>
  <c r="AB38" i="8" s="1"/>
  <c r="BD22" i="13"/>
  <c r="BD30" i="13"/>
  <c r="AC27" i="13"/>
  <c r="AC23" i="13" s="1"/>
  <c r="AC31" i="13"/>
  <c r="AC32" i="13" s="1"/>
  <c r="AC36" i="13" s="1"/>
  <c r="AC38" i="13" s="1"/>
  <c r="AC25" i="8" l="1"/>
  <c r="AB24" i="8"/>
  <c r="BE22" i="13"/>
  <c r="BE30" i="13"/>
  <c r="AD25" i="13"/>
  <c r="AC24" i="13"/>
  <c r="AC27" i="8" l="1"/>
  <c r="AC23" i="8" s="1"/>
  <c r="AC31" i="8"/>
  <c r="AC32" i="8" s="1"/>
  <c r="AC36" i="8" s="1"/>
  <c r="AC38" i="8" s="1"/>
  <c r="BF22" i="13"/>
  <c r="BF30" i="13"/>
  <c r="AD27" i="13"/>
  <c r="AD23" i="13" s="1"/>
  <c r="AD31" i="13"/>
  <c r="AD32" i="13" s="1"/>
  <c r="AD36" i="13" s="1"/>
  <c r="AD38" i="13" s="1"/>
  <c r="AD25" i="8" l="1"/>
  <c r="AC24" i="8"/>
  <c r="BG22" i="13"/>
  <c r="BG30" i="13"/>
  <c r="AE25" i="13"/>
  <c r="AD24" i="13"/>
  <c r="AD27" i="8" l="1"/>
  <c r="AD23" i="8" s="1"/>
  <c r="AD31" i="8"/>
  <c r="AD32" i="8" s="1"/>
  <c r="AD36" i="8" s="1"/>
  <c r="AD38" i="8" s="1"/>
  <c r="BH22" i="13"/>
  <c r="BH30" i="13"/>
  <c r="AE27" i="13"/>
  <c r="AE23" i="13" s="1"/>
  <c r="AE31" i="13"/>
  <c r="AE32" i="13" s="1"/>
  <c r="AE36" i="13" s="1"/>
  <c r="AE38" i="13" s="1"/>
  <c r="AE25" i="8" l="1"/>
  <c r="AD24" i="8"/>
  <c r="BI22" i="13"/>
  <c r="BI30" i="13"/>
  <c r="AF25" i="13"/>
  <c r="AE24" i="13"/>
  <c r="AE27" i="8" l="1"/>
  <c r="AE23" i="8" s="1"/>
  <c r="AE31" i="8"/>
  <c r="AE32" i="8" s="1"/>
  <c r="AE36" i="8" s="1"/>
  <c r="AE38" i="8" s="1"/>
  <c r="BJ22" i="13"/>
  <c r="BJ30" i="13"/>
  <c r="AF27" i="13"/>
  <c r="AF23" i="13" s="1"/>
  <c r="AF31" i="13"/>
  <c r="AF32" i="13" s="1"/>
  <c r="AF36" i="13" s="1"/>
  <c r="AF38" i="13" s="1"/>
  <c r="AF25" i="8" l="1"/>
  <c r="AE24" i="8"/>
  <c r="BK22" i="13"/>
  <c r="BK30" i="13"/>
  <c r="AG25" i="13"/>
  <c r="AF24" i="13"/>
  <c r="AF27" i="8" l="1"/>
  <c r="AF23" i="8" s="1"/>
  <c r="AF31" i="8"/>
  <c r="AF32" i="8" s="1"/>
  <c r="AF36" i="8" s="1"/>
  <c r="AF38" i="8" s="1"/>
  <c r="BL22" i="13"/>
  <c r="BL30" i="13"/>
  <c r="AG27" i="13"/>
  <c r="AG23" i="13" s="1"/>
  <c r="AG31" i="13"/>
  <c r="AG32" i="13" s="1"/>
  <c r="AG36" i="13" s="1"/>
  <c r="AG38" i="13" s="1"/>
  <c r="AG25" i="8" l="1"/>
  <c r="AF24" i="8"/>
  <c r="BM22" i="13"/>
  <c r="BM30" i="13"/>
  <c r="AH25" i="13"/>
  <c r="AG24" i="13"/>
  <c r="AG27" i="8" l="1"/>
  <c r="AG23" i="8" s="1"/>
  <c r="AG31" i="8"/>
  <c r="AG32" i="8" s="1"/>
  <c r="AG36" i="8" s="1"/>
  <c r="AG38" i="8" s="1"/>
  <c r="BN22" i="13"/>
  <c r="BN30" i="13"/>
  <c r="AH27" i="13"/>
  <c r="AH23" i="13" s="1"/>
  <c r="AH31" i="13"/>
  <c r="AH32" i="13" s="1"/>
  <c r="AH36" i="13" s="1"/>
  <c r="AH38" i="13" s="1"/>
  <c r="AH25" i="8" l="1"/>
  <c r="AG24" i="8"/>
  <c r="BO22" i="13"/>
  <c r="BO30" i="13"/>
  <c r="AI25" i="13"/>
  <c r="AH24" i="13"/>
  <c r="AH27" i="8" l="1"/>
  <c r="AH23" i="8" s="1"/>
  <c r="AH31" i="8"/>
  <c r="AH32" i="8" s="1"/>
  <c r="AH36" i="8" s="1"/>
  <c r="AH38" i="8" s="1"/>
  <c r="BP22" i="13"/>
  <c r="BP30" i="13"/>
  <c r="AI27" i="13"/>
  <c r="AI23" i="13" s="1"/>
  <c r="AI31" i="13"/>
  <c r="AI32" i="13" s="1"/>
  <c r="AI36" i="13" s="1"/>
  <c r="AI38" i="13" s="1"/>
  <c r="AI25" i="8" l="1"/>
  <c r="AH24" i="8"/>
  <c r="BQ22" i="13"/>
  <c r="BQ30" i="13"/>
  <c r="AJ25" i="13"/>
  <c r="AI24" i="13"/>
  <c r="AI27" i="8" l="1"/>
  <c r="AI23" i="8" s="1"/>
  <c r="AI31" i="8"/>
  <c r="AI32" i="8" s="1"/>
  <c r="AI36" i="8" s="1"/>
  <c r="AI38" i="8" s="1"/>
  <c r="BR22" i="13"/>
  <c r="BR30" i="13"/>
  <c r="AJ27" i="13"/>
  <c r="AJ23" i="13" s="1"/>
  <c r="AJ31" i="13"/>
  <c r="AJ32" i="13" s="1"/>
  <c r="AJ36" i="13" s="1"/>
  <c r="AJ38" i="13" s="1"/>
  <c r="AJ25" i="8" l="1"/>
  <c r="AI24" i="8"/>
  <c r="BS22" i="13"/>
  <c r="BS30" i="13"/>
  <c r="AK25" i="13"/>
  <c r="AJ24" i="13"/>
  <c r="AJ27" i="8" l="1"/>
  <c r="AJ23" i="8" s="1"/>
  <c r="AJ31" i="8"/>
  <c r="AJ32" i="8" s="1"/>
  <c r="AJ36" i="8" s="1"/>
  <c r="AJ38" i="8" s="1"/>
  <c r="BT22" i="13"/>
  <c r="BT30" i="13"/>
  <c r="AK27" i="13"/>
  <c r="AK23" i="13" s="1"/>
  <c r="AK31" i="13"/>
  <c r="AK32" i="13" s="1"/>
  <c r="AK36" i="13" s="1"/>
  <c r="AK38" i="13" s="1"/>
  <c r="AK25" i="8" l="1"/>
  <c r="AJ24" i="8"/>
  <c r="BU22" i="13"/>
  <c r="BU30" i="13"/>
  <c r="AL25" i="13"/>
  <c r="AK24" i="13"/>
  <c r="AK27" i="8" l="1"/>
  <c r="AK23" i="8" s="1"/>
  <c r="AK31" i="8"/>
  <c r="AK32" i="8" s="1"/>
  <c r="AK36" i="8" s="1"/>
  <c r="AK38" i="8" s="1"/>
  <c r="BV22" i="13"/>
  <c r="BV30" i="13"/>
  <c r="AL27" i="13"/>
  <c r="AL23" i="13" s="1"/>
  <c r="AL31" i="13"/>
  <c r="AL32" i="13" s="1"/>
  <c r="AL36" i="13" s="1"/>
  <c r="AL38" i="13" s="1"/>
  <c r="AL25" i="8" l="1"/>
  <c r="AK24" i="8"/>
  <c r="BW22" i="13"/>
  <c r="BW30" i="13"/>
  <c r="AM25" i="13"/>
  <c r="AL24" i="13"/>
  <c r="AL27" i="8" l="1"/>
  <c r="AL23" i="8" s="1"/>
  <c r="AL31" i="8"/>
  <c r="AL32" i="8" s="1"/>
  <c r="AL36" i="8" s="1"/>
  <c r="AL38" i="8" s="1"/>
  <c r="BX22" i="13"/>
  <c r="BX30" i="13"/>
  <c r="AM27" i="13"/>
  <c r="AM23" i="13" s="1"/>
  <c r="AM31" i="13"/>
  <c r="AM32" i="13" s="1"/>
  <c r="AM36" i="13" s="1"/>
  <c r="AM38" i="13" s="1"/>
  <c r="AM25" i="8" l="1"/>
  <c r="AL24" i="8"/>
  <c r="BY22" i="13"/>
  <c r="BY30" i="13"/>
  <c r="AN25" i="13"/>
  <c r="AM24" i="13"/>
  <c r="AM27" i="8" l="1"/>
  <c r="AM23" i="8" s="1"/>
  <c r="AM31" i="8"/>
  <c r="AM32" i="8" s="1"/>
  <c r="AM36" i="8" s="1"/>
  <c r="AM38" i="8" s="1"/>
  <c r="BZ22" i="13"/>
  <c r="BZ30" i="13"/>
  <c r="AN27" i="13"/>
  <c r="AN23" i="13" s="1"/>
  <c r="AN31" i="13"/>
  <c r="AN32" i="13" s="1"/>
  <c r="AN36" i="13" s="1"/>
  <c r="AN38" i="13" s="1"/>
  <c r="AN25" i="8" l="1"/>
  <c r="AM24" i="8"/>
  <c r="CA22" i="13"/>
  <c r="CA30" i="13"/>
  <c r="AO25" i="13"/>
  <c r="AN24" i="13"/>
  <c r="AN27" i="8" l="1"/>
  <c r="AN23" i="8" s="1"/>
  <c r="AN31" i="8"/>
  <c r="AN32" i="8" s="1"/>
  <c r="AN36" i="8" s="1"/>
  <c r="AN38" i="8" s="1"/>
  <c r="CB22" i="13"/>
  <c r="CB30" i="13"/>
  <c r="AO27" i="13"/>
  <c r="AO23" i="13" s="1"/>
  <c r="AO31" i="13"/>
  <c r="AO32" i="13" s="1"/>
  <c r="AO36" i="13" s="1"/>
  <c r="AO38" i="13" s="1"/>
  <c r="AO25" i="8" l="1"/>
  <c r="AN24" i="8"/>
  <c r="CC22" i="13"/>
  <c r="CC30" i="13"/>
  <c r="AP25" i="13"/>
  <c r="AO24" i="13"/>
  <c r="AO27" i="8" l="1"/>
  <c r="AO23" i="8" s="1"/>
  <c r="AO31" i="8"/>
  <c r="AO32" i="8" s="1"/>
  <c r="AO36" i="8" s="1"/>
  <c r="AO38" i="8" s="1"/>
  <c r="CD22" i="13"/>
  <c r="CD30" i="13"/>
  <c r="AP27" i="13"/>
  <c r="AP23" i="13" s="1"/>
  <c r="AP31" i="13"/>
  <c r="AP32" i="13" s="1"/>
  <c r="AP36" i="13" s="1"/>
  <c r="AP38" i="13" s="1"/>
  <c r="AP25" i="8" l="1"/>
  <c r="AO24" i="8"/>
  <c r="CE22" i="13"/>
  <c r="CE30" i="13"/>
  <c r="AQ25" i="13"/>
  <c r="AP24" i="13"/>
  <c r="AP27" i="8" l="1"/>
  <c r="AP23" i="8" s="1"/>
  <c r="AP31" i="8"/>
  <c r="AP32" i="8" s="1"/>
  <c r="AP36" i="8" s="1"/>
  <c r="AP38" i="8" s="1"/>
  <c r="CF22" i="13"/>
  <c r="CF30" i="13"/>
  <c r="AQ27" i="13"/>
  <c r="AQ23" i="13" s="1"/>
  <c r="AQ31" i="13"/>
  <c r="AQ32" i="13" s="1"/>
  <c r="AQ36" i="13" s="1"/>
  <c r="AQ38" i="13" s="1"/>
  <c r="AQ25" i="8" l="1"/>
  <c r="AP24" i="8"/>
  <c r="CG22" i="13"/>
  <c r="CG30" i="13"/>
  <c r="AR25" i="13"/>
  <c r="AQ24" i="13"/>
  <c r="AQ27" i="8" l="1"/>
  <c r="AQ23" i="8" s="1"/>
  <c r="AQ31" i="8"/>
  <c r="AQ32" i="8" s="1"/>
  <c r="AQ36" i="8" s="1"/>
  <c r="AQ38" i="8" s="1"/>
  <c r="CH22" i="13"/>
  <c r="CH30" i="13"/>
  <c r="AR27" i="13"/>
  <c r="AR23" i="13" s="1"/>
  <c r="AR31" i="13"/>
  <c r="AR32" i="13" s="1"/>
  <c r="AR36" i="13" s="1"/>
  <c r="AR38" i="13" s="1"/>
  <c r="AR25" i="8" l="1"/>
  <c r="AQ24" i="8"/>
  <c r="CI22" i="13"/>
  <c r="CI30" i="13"/>
  <c r="AS25" i="13"/>
  <c r="AR24" i="13"/>
  <c r="AR27" i="8" l="1"/>
  <c r="AR23" i="8" s="1"/>
  <c r="AR31" i="8"/>
  <c r="AR32" i="8" s="1"/>
  <c r="AR36" i="8" s="1"/>
  <c r="AR38" i="8" s="1"/>
  <c r="CJ22" i="13"/>
  <c r="CJ30" i="13"/>
  <c r="AS27" i="13"/>
  <c r="AS23" i="13" s="1"/>
  <c r="AS31" i="13"/>
  <c r="AS32" i="13" s="1"/>
  <c r="AS36" i="13" s="1"/>
  <c r="AS38" i="13" s="1"/>
  <c r="AS25" i="8" l="1"/>
  <c r="AR24" i="8"/>
  <c r="CK22" i="13"/>
  <c r="CK30" i="13"/>
  <c r="AT25" i="13"/>
  <c r="AS24" i="13"/>
  <c r="AS27" i="8" l="1"/>
  <c r="AS23" i="8" s="1"/>
  <c r="AS31" i="8"/>
  <c r="AS32" i="8" s="1"/>
  <c r="AS36" i="8" s="1"/>
  <c r="AS38" i="8" s="1"/>
  <c r="CL22" i="13"/>
  <c r="CL30" i="13"/>
  <c r="AT27" i="13"/>
  <c r="AT23" i="13" s="1"/>
  <c r="AT31" i="13"/>
  <c r="AT32" i="13" s="1"/>
  <c r="AT36" i="13" s="1"/>
  <c r="AT38" i="13" s="1"/>
  <c r="AT25" i="8" l="1"/>
  <c r="AS24" i="8"/>
  <c r="CM22" i="13"/>
  <c r="CM30" i="13"/>
  <c r="AU25" i="13"/>
  <c r="AT24" i="13"/>
  <c r="AT27" i="8" l="1"/>
  <c r="AT23" i="8" s="1"/>
  <c r="AT31" i="8"/>
  <c r="AT32" i="8" s="1"/>
  <c r="AT36" i="8" s="1"/>
  <c r="AT38" i="8" s="1"/>
  <c r="CN22" i="13"/>
  <c r="CN30" i="13"/>
  <c r="AU27" i="13"/>
  <c r="AU23" i="13" s="1"/>
  <c r="AU31" i="13"/>
  <c r="AU32" i="13" s="1"/>
  <c r="AU36" i="13" s="1"/>
  <c r="AU38" i="13" s="1"/>
  <c r="AU25" i="8" l="1"/>
  <c r="AT24" i="8"/>
  <c r="CO22" i="13"/>
  <c r="CO30" i="13"/>
  <c r="AV25" i="13"/>
  <c r="AU24" i="13"/>
  <c r="AU27" i="8" l="1"/>
  <c r="AU23" i="8" s="1"/>
  <c r="AU31" i="8"/>
  <c r="AU32" i="8" s="1"/>
  <c r="AU36" i="8" s="1"/>
  <c r="AU38" i="8" s="1"/>
  <c r="CP22" i="13"/>
  <c r="CP30" i="13"/>
  <c r="AV27" i="13"/>
  <c r="AV23" i="13" s="1"/>
  <c r="AV31" i="13"/>
  <c r="AV32" i="13" s="1"/>
  <c r="AV36" i="13" s="1"/>
  <c r="AV38" i="13" s="1"/>
  <c r="AV25" i="8" l="1"/>
  <c r="AU24" i="8"/>
  <c r="CQ22" i="13"/>
  <c r="CQ30" i="13"/>
  <c r="AW25" i="13"/>
  <c r="AV24" i="13"/>
  <c r="AV27" i="8" l="1"/>
  <c r="AV23" i="8" s="1"/>
  <c r="AV31" i="8"/>
  <c r="AV32" i="8" s="1"/>
  <c r="AV36" i="8" s="1"/>
  <c r="AV38" i="8" s="1"/>
  <c r="CR22" i="13"/>
  <c r="CR30" i="13"/>
  <c r="AW27" i="13"/>
  <c r="AW23" i="13" s="1"/>
  <c r="AW31" i="13"/>
  <c r="AW32" i="13" s="1"/>
  <c r="AW36" i="13" s="1"/>
  <c r="AW38" i="13" s="1"/>
  <c r="AW25" i="8" l="1"/>
  <c r="AV24" i="8"/>
  <c r="CS22" i="13"/>
  <c r="CS30" i="13"/>
  <c r="AX25" i="13"/>
  <c r="AW24" i="13"/>
  <c r="AW27" i="8" l="1"/>
  <c r="AW23" i="8" s="1"/>
  <c r="AW31" i="8"/>
  <c r="AW32" i="8" s="1"/>
  <c r="AW36" i="8" s="1"/>
  <c r="AW38" i="8" s="1"/>
  <c r="CT22" i="13"/>
  <c r="CT30" i="13"/>
  <c r="AX27" i="13"/>
  <c r="AX23" i="13" s="1"/>
  <c r="AX31" i="13"/>
  <c r="AX32" i="13" s="1"/>
  <c r="AX36" i="13" s="1"/>
  <c r="AX38" i="13" s="1"/>
  <c r="AX25" i="8" l="1"/>
  <c r="AW24" i="8"/>
  <c r="CU22" i="13"/>
  <c r="CU30" i="13"/>
  <c r="AY25" i="13"/>
  <c r="AX24" i="13"/>
  <c r="AX27" i="8" l="1"/>
  <c r="AX23" i="8" s="1"/>
  <c r="AX31" i="8"/>
  <c r="AX32" i="8" s="1"/>
  <c r="AX36" i="8" s="1"/>
  <c r="AX38" i="8" s="1"/>
  <c r="CV22" i="13"/>
  <c r="CV30" i="13"/>
  <c r="AY27" i="13"/>
  <c r="AY23" i="13" s="1"/>
  <c r="AY31" i="13"/>
  <c r="AY32" i="13" s="1"/>
  <c r="AY36" i="13" s="1"/>
  <c r="AY38" i="13" s="1"/>
  <c r="AY25" i="8" l="1"/>
  <c r="AX24" i="8"/>
  <c r="CW22" i="13"/>
  <c r="CW30" i="13"/>
  <c r="AZ25" i="13"/>
  <c r="AY24" i="13"/>
  <c r="AY27" i="8" l="1"/>
  <c r="AY23" i="8" s="1"/>
  <c r="AY31" i="8"/>
  <c r="AY32" i="8" s="1"/>
  <c r="AY36" i="8" s="1"/>
  <c r="AY38" i="8" s="1"/>
  <c r="CX22" i="13"/>
  <c r="CX30" i="13"/>
  <c r="AZ27" i="13"/>
  <c r="AZ23" i="13" s="1"/>
  <c r="AZ31" i="13"/>
  <c r="AZ32" i="13" s="1"/>
  <c r="AZ36" i="13" s="1"/>
  <c r="AZ38" i="13" s="1"/>
  <c r="AZ25" i="8" l="1"/>
  <c r="AY24" i="8"/>
  <c r="CY22" i="13"/>
  <c r="CY30" i="13"/>
  <c r="BA25" i="13"/>
  <c r="AZ24" i="13"/>
  <c r="AZ27" i="8" l="1"/>
  <c r="AZ23" i="8" s="1"/>
  <c r="AZ31" i="8"/>
  <c r="AZ32" i="8" s="1"/>
  <c r="AZ36" i="8" s="1"/>
  <c r="AZ38" i="8" s="1"/>
  <c r="CZ22" i="13"/>
  <c r="CZ30" i="13"/>
  <c r="BA27" i="13"/>
  <c r="BA23" i="13" s="1"/>
  <c r="BA31" i="13"/>
  <c r="BA32" i="13" s="1"/>
  <c r="BA36" i="13" s="1"/>
  <c r="BA38" i="13" s="1"/>
  <c r="BA25" i="8" l="1"/>
  <c r="AZ24" i="8"/>
  <c r="DA22" i="13"/>
  <c r="DA30" i="13"/>
  <c r="BB25" i="13"/>
  <c r="BA24" i="13"/>
  <c r="BA27" i="8" l="1"/>
  <c r="BA23" i="8" s="1"/>
  <c r="BA31" i="8"/>
  <c r="BA32" i="8" s="1"/>
  <c r="BA36" i="8" s="1"/>
  <c r="BA38" i="8" s="1"/>
  <c r="DB22" i="13"/>
  <c r="DB30" i="13"/>
  <c r="BB27" i="13"/>
  <c r="BB23" i="13" s="1"/>
  <c r="BB31" i="13"/>
  <c r="BB32" i="13" s="1"/>
  <c r="BB36" i="13" s="1"/>
  <c r="BB38" i="13" s="1"/>
  <c r="BB25" i="8" l="1"/>
  <c r="BA24" i="8"/>
  <c r="DC22" i="13"/>
  <c r="DC30" i="13"/>
  <c r="BC25" i="13"/>
  <c r="BB24" i="13"/>
  <c r="BB27" i="8" l="1"/>
  <c r="BB23" i="8" s="1"/>
  <c r="BB31" i="8"/>
  <c r="BB32" i="8" s="1"/>
  <c r="BB36" i="8" s="1"/>
  <c r="BB38" i="8" s="1"/>
  <c r="DD22" i="13"/>
  <c r="DD30" i="13"/>
  <c r="BC27" i="13"/>
  <c r="BC23" i="13" s="1"/>
  <c r="BC31" i="13"/>
  <c r="BC32" i="13" s="1"/>
  <c r="BC36" i="13" s="1"/>
  <c r="BC38" i="13" s="1"/>
  <c r="BC25" i="8" l="1"/>
  <c r="BB24" i="8"/>
  <c r="DE22" i="13"/>
  <c r="DE30" i="13"/>
  <c r="BD25" i="13"/>
  <c r="BC24" i="13"/>
  <c r="BC27" i="8" l="1"/>
  <c r="BC23" i="8" s="1"/>
  <c r="BC31" i="8"/>
  <c r="BC32" i="8" s="1"/>
  <c r="BC36" i="8" s="1"/>
  <c r="BC38" i="8" s="1"/>
  <c r="DF22" i="13"/>
  <c r="DF30" i="13"/>
  <c r="BD27" i="13"/>
  <c r="BD23" i="13" s="1"/>
  <c r="BD31" i="13"/>
  <c r="BD32" i="13" s="1"/>
  <c r="BD36" i="13" s="1"/>
  <c r="BD38" i="13" s="1"/>
  <c r="BD25" i="8" l="1"/>
  <c r="BC24" i="8"/>
  <c r="DG22" i="13"/>
  <c r="DG30" i="13"/>
  <c r="BE25" i="13"/>
  <c r="BD24" i="13"/>
  <c r="BD27" i="8" l="1"/>
  <c r="BD23" i="8" s="1"/>
  <c r="BD31" i="8"/>
  <c r="BD32" i="8" s="1"/>
  <c r="BD36" i="8" s="1"/>
  <c r="BD38" i="8" s="1"/>
  <c r="DH22" i="13"/>
  <c r="DH30" i="13"/>
  <c r="BE27" i="13"/>
  <c r="BE23" i="13" s="1"/>
  <c r="BE31" i="13"/>
  <c r="BE32" i="13" s="1"/>
  <c r="BE36" i="13" s="1"/>
  <c r="BE38" i="13" s="1"/>
  <c r="BE25" i="8" l="1"/>
  <c r="BD24" i="8"/>
  <c r="DI22" i="13"/>
  <c r="DI30" i="13"/>
  <c r="BF25" i="13"/>
  <c r="BE24" i="13"/>
  <c r="BE27" i="8" l="1"/>
  <c r="BE23" i="8" s="1"/>
  <c r="BE31" i="8"/>
  <c r="BE32" i="8" s="1"/>
  <c r="BE36" i="8" s="1"/>
  <c r="BE38" i="8" s="1"/>
  <c r="DJ22" i="13"/>
  <c r="DJ30" i="13"/>
  <c r="BF27" i="13"/>
  <c r="BF23" i="13" s="1"/>
  <c r="BF31" i="13"/>
  <c r="BF32" i="13" s="1"/>
  <c r="BF36" i="13" s="1"/>
  <c r="BF38" i="13" s="1"/>
  <c r="BF25" i="8" l="1"/>
  <c r="BE24" i="8"/>
  <c r="DK22" i="13"/>
  <c r="DK30" i="13"/>
  <c r="BG25" i="13"/>
  <c r="BF24" i="13"/>
  <c r="BF27" i="8" l="1"/>
  <c r="BF23" i="8" s="1"/>
  <c r="BF31" i="8"/>
  <c r="BF32" i="8" s="1"/>
  <c r="BF36" i="8" s="1"/>
  <c r="BF38" i="8" s="1"/>
  <c r="DL22" i="13"/>
  <c r="DL30" i="13"/>
  <c r="BG27" i="13"/>
  <c r="BG23" i="13" s="1"/>
  <c r="BG31" i="13"/>
  <c r="BG32" i="13" s="1"/>
  <c r="BG36" i="13" s="1"/>
  <c r="BG38" i="13" s="1"/>
  <c r="BG25" i="8" l="1"/>
  <c r="BF24" i="8"/>
  <c r="DM22" i="13"/>
  <c r="DM30" i="13"/>
  <c r="BH25" i="13"/>
  <c r="BG24" i="13"/>
  <c r="BG27" i="8" l="1"/>
  <c r="BG23" i="8" s="1"/>
  <c r="BG31" i="8"/>
  <c r="BG32" i="8" s="1"/>
  <c r="BG36" i="8" s="1"/>
  <c r="BG38" i="8" s="1"/>
  <c r="DN22" i="13"/>
  <c r="DN30" i="13"/>
  <c r="BH27" i="13"/>
  <c r="BH23" i="13" s="1"/>
  <c r="BH31" i="13"/>
  <c r="BH32" i="13" s="1"/>
  <c r="BH36" i="13" s="1"/>
  <c r="BH38" i="13" s="1"/>
  <c r="BH25" i="8" l="1"/>
  <c r="BG24" i="8"/>
  <c r="DO22" i="13"/>
  <c r="DO30" i="13"/>
  <c r="BI25" i="13"/>
  <c r="BH24" i="13"/>
  <c r="BH27" i="8" l="1"/>
  <c r="BH23" i="8" s="1"/>
  <c r="BH31" i="8"/>
  <c r="BH32" i="8" s="1"/>
  <c r="BH36" i="8" s="1"/>
  <c r="BH38" i="8" s="1"/>
  <c r="DP22" i="13"/>
  <c r="DP30" i="13"/>
  <c r="BI27" i="13"/>
  <c r="BI23" i="13" s="1"/>
  <c r="BI31" i="13"/>
  <c r="BI32" i="13" s="1"/>
  <c r="BI36" i="13" s="1"/>
  <c r="BI38" i="13" s="1"/>
  <c r="BI25" i="8" l="1"/>
  <c r="BH24" i="8"/>
  <c r="DQ22" i="13"/>
  <c r="DQ30" i="13"/>
  <c r="BJ25" i="13"/>
  <c r="BI24" i="13"/>
  <c r="BI27" i="8" l="1"/>
  <c r="BI23" i="8" s="1"/>
  <c r="BI31" i="8"/>
  <c r="BI32" i="8" s="1"/>
  <c r="BI36" i="8" s="1"/>
  <c r="BI38" i="8" s="1"/>
  <c r="DR22" i="13"/>
  <c r="DR30" i="13"/>
  <c r="BJ27" i="13"/>
  <c r="BJ23" i="13" s="1"/>
  <c r="BJ31" i="13"/>
  <c r="BJ32" i="13" s="1"/>
  <c r="BJ36" i="13" s="1"/>
  <c r="BJ38" i="13" s="1"/>
  <c r="BJ25" i="8" l="1"/>
  <c r="BI24" i="8"/>
  <c r="DS22" i="13"/>
  <c r="DS30" i="13"/>
  <c r="BK25" i="13"/>
  <c r="BJ24" i="13"/>
  <c r="BJ27" i="8" l="1"/>
  <c r="BJ23" i="8" s="1"/>
  <c r="BJ31" i="8"/>
  <c r="BJ32" i="8" s="1"/>
  <c r="BJ36" i="8" s="1"/>
  <c r="BJ38" i="8" s="1"/>
  <c r="DT22" i="13"/>
  <c r="DT30" i="13"/>
  <c r="BK27" i="13"/>
  <c r="BK23" i="13" s="1"/>
  <c r="BK31" i="13"/>
  <c r="BK32" i="13" s="1"/>
  <c r="BK36" i="13" s="1"/>
  <c r="BK38" i="13" s="1"/>
  <c r="B42" i="13"/>
  <c r="B39" i="13"/>
  <c r="BK25" i="8" l="1"/>
  <c r="BJ24" i="8"/>
  <c r="DU22" i="13"/>
  <c r="DU30" i="13"/>
  <c r="BL25" i="13"/>
  <c r="BK24" i="13"/>
  <c r="BK27" i="8" l="1"/>
  <c r="BK23" i="8" s="1"/>
  <c r="BK31" i="8"/>
  <c r="BK32" i="8" s="1"/>
  <c r="BK36" i="8" s="1"/>
  <c r="BK38" i="8" s="1"/>
  <c r="DV22" i="13"/>
  <c r="DV30" i="13"/>
  <c r="BL27" i="13"/>
  <c r="BL23" i="13" s="1"/>
  <c r="BL31" i="13"/>
  <c r="BL32" i="13" s="1"/>
  <c r="BL36" i="13" s="1"/>
  <c r="BL38" i="13" s="1"/>
  <c r="BL25" i="8" l="1"/>
  <c r="BK24" i="8"/>
  <c r="DW22" i="13"/>
  <c r="DW30" i="13"/>
  <c r="BM25" i="13"/>
  <c r="BL24" i="13"/>
  <c r="B39" i="8"/>
  <c r="B42" i="8"/>
  <c r="BL27" i="8" l="1"/>
  <c r="BL23" i="8" s="1"/>
  <c r="BL31" i="8"/>
  <c r="BL32" i="8" s="1"/>
  <c r="BL36" i="8" s="1"/>
  <c r="BL38" i="8" s="1"/>
  <c r="DX22" i="13"/>
  <c r="DX30" i="13"/>
  <c r="BM27" i="13"/>
  <c r="BM23" i="13" s="1"/>
  <c r="BM31" i="13"/>
  <c r="BM32" i="13" s="1"/>
  <c r="BM36" i="13" s="1"/>
  <c r="BM38" i="13" s="1"/>
  <c r="BM25" i="8" l="1"/>
  <c r="BL24" i="8"/>
  <c r="DY22" i="13"/>
  <c r="DY30" i="13"/>
  <c r="BN25" i="13"/>
  <c r="BM24" i="13"/>
  <c r="BM27" i="8" l="1"/>
  <c r="BM23" i="8" s="1"/>
  <c r="BM31" i="8"/>
  <c r="BM32" i="8" s="1"/>
  <c r="BM36" i="8" s="1"/>
  <c r="BM38" i="8" s="1"/>
  <c r="DZ22" i="13"/>
  <c r="DZ30" i="13"/>
  <c r="BN27" i="13"/>
  <c r="BN23" i="13" s="1"/>
  <c r="BN31" i="13"/>
  <c r="BN32" i="13" s="1"/>
  <c r="BN36" i="13" s="1"/>
  <c r="BN38" i="13" s="1"/>
  <c r="BN25" i="8" l="1"/>
  <c r="BM24" i="8"/>
  <c r="EA22" i="13"/>
  <c r="EA30" i="13"/>
  <c r="BO25" i="13"/>
  <c r="BN24" i="13"/>
  <c r="BN27" i="8" l="1"/>
  <c r="BN23" i="8" s="1"/>
  <c r="BN31" i="8"/>
  <c r="BN32" i="8" s="1"/>
  <c r="BN36" i="8" s="1"/>
  <c r="BN38" i="8" s="1"/>
  <c r="EB22" i="13"/>
  <c r="EB30" i="13"/>
  <c r="BO27" i="13"/>
  <c r="BO23" i="13" s="1"/>
  <c r="BO31" i="13"/>
  <c r="BO32" i="13" s="1"/>
  <c r="BO36" i="13" s="1"/>
  <c r="BO38" i="13" s="1"/>
  <c r="BO25" i="8" l="1"/>
  <c r="BN24" i="8"/>
  <c r="EC22" i="13"/>
  <c r="EC30" i="13"/>
  <c r="BP25" i="13"/>
  <c r="BO24" i="13"/>
  <c r="BO27" i="8" l="1"/>
  <c r="BO23" i="8" s="1"/>
  <c r="BO31" i="8"/>
  <c r="BO32" i="8" s="1"/>
  <c r="BO36" i="8" s="1"/>
  <c r="BO38" i="8" s="1"/>
  <c r="ED22" i="13"/>
  <c r="ED30" i="13"/>
  <c r="BP27" i="13"/>
  <c r="BP23" i="13" s="1"/>
  <c r="BP31" i="13"/>
  <c r="BP32" i="13" s="1"/>
  <c r="BP36" i="13" s="1"/>
  <c r="BP38" i="13" s="1"/>
  <c r="BP25" i="8" l="1"/>
  <c r="BO24" i="8"/>
  <c r="EE22" i="13"/>
  <c r="EE30" i="13"/>
  <c r="BQ25" i="13"/>
  <c r="BP24" i="13"/>
  <c r="BP27" i="8" l="1"/>
  <c r="BP23" i="8" s="1"/>
  <c r="BP31" i="8"/>
  <c r="BP32" i="8" s="1"/>
  <c r="BP36" i="8" s="1"/>
  <c r="BP38" i="8" s="1"/>
  <c r="EF22" i="13"/>
  <c r="EF30" i="13"/>
  <c r="BQ27" i="13"/>
  <c r="BQ23" i="13" s="1"/>
  <c r="BQ31" i="13"/>
  <c r="BQ32" i="13" s="1"/>
  <c r="BQ36" i="13" s="1"/>
  <c r="BQ38" i="13" s="1"/>
  <c r="BQ25" i="8" l="1"/>
  <c r="BP24" i="8"/>
  <c r="EG22" i="13"/>
  <c r="EG30" i="13"/>
  <c r="BR25" i="13"/>
  <c r="BQ24" i="13"/>
  <c r="BQ27" i="8" l="1"/>
  <c r="BQ23" i="8" s="1"/>
  <c r="BQ31" i="8"/>
  <c r="BQ32" i="8" s="1"/>
  <c r="BQ36" i="8" s="1"/>
  <c r="BQ38" i="8" s="1"/>
  <c r="EH22" i="13"/>
  <c r="EH30" i="13"/>
  <c r="BR27" i="13"/>
  <c r="BR23" i="13" s="1"/>
  <c r="BR31" i="13"/>
  <c r="BR32" i="13" s="1"/>
  <c r="BR36" i="13" s="1"/>
  <c r="BR38" i="13" s="1"/>
  <c r="BR25" i="8" l="1"/>
  <c r="BQ24" i="8"/>
  <c r="EI22" i="13"/>
  <c r="EI30" i="13"/>
  <c r="BS25" i="13"/>
  <c r="BR24" i="13"/>
  <c r="BR27" i="8" l="1"/>
  <c r="BR23" i="8" s="1"/>
  <c r="BR31" i="8"/>
  <c r="BR32" i="8" s="1"/>
  <c r="BR36" i="8" s="1"/>
  <c r="BR38" i="8" s="1"/>
  <c r="EJ22" i="13"/>
  <c r="EJ30" i="13"/>
  <c r="BS27" i="13"/>
  <c r="BS23" i="13" s="1"/>
  <c r="BS31" i="13"/>
  <c r="BS32" i="13" s="1"/>
  <c r="BS36" i="13" s="1"/>
  <c r="BS38" i="13" s="1"/>
  <c r="BS25" i="8" l="1"/>
  <c r="BR24" i="8"/>
  <c r="EK22" i="13"/>
  <c r="EK30" i="13"/>
  <c r="BT25" i="13"/>
  <c r="BS24" i="13"/>
  <c r="BS27" i="8" l="1"/>
  <c r="BS23" i="8" s="1"/>
  <c r="BS31" i="8"/>
  <c r="BS32" i="8" s="1"/>
  <c r="BS36" i="8" s="1"/>
  <c r="BS38" i="8" s="1"/>
  <c r="EL22" i="13"/>
  <c r="EL30" i="13"/>
  <c r="BT27" i="13"/>
  <c r="BT23" i="13" s="1"/>
  <c r="BT31" i="13"/>
  <c r="BT32" i="13" s="1"/>
  <c r="BT36" i="13" s="1"/>
  <c r="BT38" i="13" s="1"/>
  <c r="BT25" i="8" l="1"/>
  <c r="BS24" i="8"/>
  <c r="EM22" i="13"/>
  <c r="EM30" i="13"/>
  <c r="BU25" i="13"/>
  <c r="BT24" i="13"/>
  <c r="BT27" i="8" l="1"/>
  <c r="BT23" i="8" s="1"/>
  <c r="BT31" i="8"/>
  <c r="BT32" i="8" s="1"/>
  <c r="BT36" i="8" s="1"/>
  <c r="BT38" i="8" s="1"/>
  <c r="EN22" i="13"/>
  <c r="EN30" i="13"/>
  <c r="BU27" i="13"/>
  <c r="BU23" i="13" s="1"/>
  <c r="BU31" i="13"/>
  <c r="BU32" i="13" s="1"/>
  <c r="BU36" i="13" s="1"/>
  <c r="BU38" i="13" s="1"/>
  <c r="BU25" i="8" l="1"/>
  <c r="BT24" i="8"/>
  <c r="EO22" i="13"/>
  <c r="EO30" i="13"/>
  <c r="BV25" i="13"/>
  <c r="BU24" i="13"/>
  <c r="BU27" i="8" l="1"/>
  <c r="BU23" i="8" s="1"/>
  <c r="BU31" i="8"/>
  <c r="BU32" i="8" s="1"/>
  <c r="BU36" i="8" s="1"/>
  <c r="BU38" i="8" s="1"/>
  <c r="EP22" i="13"/>
  <c r="EP30" i="13"/>
  <c r="BV27" i="13"/>
  <c r="BV23" i="13" s="1"/>
  <c r="BV31" i="13"/>
  <c r="BV32" i="13" s="1"/>
  <c r="BV36" i="13" s="1"/>
  <c r="BV38" i="13" s="1"/>
  <c r="BV25" i="8" l="1"/>
  <c r="BU24" i="8"/>
  <c r="EQ22" i="13"/>
  <c r="EQ30" i="13"/>
  <c r="BW25" i="13"/>
  <c r="BV24" i="13"/>
  <c r="BV27" i="8" l="1"/>
  <c r="BV23" i="8" s="1"/>
  <c r="BV31" i="8"/>
  <c r="BV32" i="8" s="1"/>
  <c r="BV36" i="8" s="1"/>
  <c r="BV38" i="8" s="1"/>
  <c r="ER22" i="13"/>
  <c r="ER30" i="13"/>
  <c r="BW27" i="13"/>
  <c r="BW23" i="13" s="1"/>
  <c r="BW31" i="13"/>
  <c r="BW32" i="13" s="1"/>
  <c r="BW36" i="13" s="1"/>
  <c r="BW38" i="13" s="1"/>
  <c r="BW25" i="8" l="1"/>
  <c r="BV24" i="8"/>
  <c r="ES22" i="13"/>
  <c r="ES30" i="13"/>
  <c r="BX25" i="13"/>
  <c r="BW24" i="13"/>
  <c r="BW27" i="8" l="1"/>
  <c r="BW23" i="8" s="1"/>
  <c r="BW31" i="8"/>
  <c r="BW32" i="8" s="1"/>
  <c r="BW36" i="8" s="1"/>
  <c r="BW38" i="8" s="1"/>
  <c r="ET22" i="13"/>
  <c r="ET30" i="13"/>
  <c r="BX27" i="13"/>
  <c r="BX23" i="13" s="1"/>
  <c r="BX31" i="13"/>
  <c r="BX32" i="13" s="1"/>
  <c r="BX36" i="13" s="1"/>
  <c r="BX38" i="13" s="1"/>
  <c r="BX25" i="8" l="1"/>
  <c r="BW24" i="8"/>
  <c r="EU22" i="13"/>
  <c r="EU30" i="13"/>
  <c r="BY25" i="13"/>
  <c r="BX24" i="13"/>
  <c r="BX27" i="8" l="1"/>
  <c r="BX23" i="8" s="1"/>
  <c r="BX31" i="8"/>
  <c r="BX32" i="8" s="1"/>
  <c r="BX36" i="8" s="1"/>
  <c r="BX38" i="8" s="1"/>
  <c r="EV22" i="13"/>
  <c r="EV30" i="13"/>
  <c r="BY27" i="13"/>
  <c r="BY23" i="13" s="1"/>
  <c r="BY31" i="13"/>
  <c r="BY32" i="13" s="1"/>
  <c r="BY36" i="13" s="1"/>
  <c r="BY38" i="13" s="1"/>
  <c r="BY25" i="8" l="1"/>
  <c r="BX24" i="8"/>
  <c r="EW22" i="13"/>
  <c r="EW30" i="13"/>
  <c r="BZ25" i="13"/>
  <c r="BY24" i="13"/>
  <c r="BY27" i="8" l="1"/>
  <c r="BY23" i="8" s="1"/>
  <c r="BY31" i="8"/>
  <c r="BY32" i="8" s="1"/>
  <c r="BY36" i="8" s="1"/>
  <c r="BY38" i="8" s="1"/>
  <c r="EX22" i="13"/>
  <c r="EX30" i="13"/>
  <c r="BZ27" i="13"/>
  <c r="BZ23" i="13" s="1"/>
  <c r="BZ31" i="13"/>
  <c r="BZ32" i="13" s="1"/>
  <c r="BZ36" i="13" s="1"/>
  <c r="BZ38" i="13" s="1"/>
  <c r="BZ25" i="8" l="1"/>
  <c r="BY24" i="8"/>
  <c r="EY22" i="13"/>
  <c r="EY30" i="13"/>
  <c r="CA25" i="13"/>
  <c r="BZ24" i="13"/>
  <c r="BZ27" i="8" l="1"/>
  <c r="BZ23" i="8" s="1"/>
  <c r="BZ31" i="8"/>
  <c r="BZ32" i="8" s="1"/>
  <c r="BZ36" i="8" s="1"/>
  <c r="BZ38" i="8" s="1"/>
  <c r="EZ22" i="13"/>
  <c r="EZ30" i="13"/>
  <c r="CA27" i="13"/>
  <c r="CA23" i="13" s="1"/>
  <c r="CA31" i="13"/>
  <c r="CA32" i="13" s="1"/>
  <c r="CA36" i="13" s="1"/>
  <c r="CA38" i="13" s="1"/>
  <c r="CA25" i="8" l="1"/>
  <c r="BZ24" i="8"/>
  <c r="FA22" i="13"/>
  <c r="FA30" i="13"/>
  <c r="CB25" i="13"/>
  <c r="CA24" i="13"/>
  <c r="CA27" i="8" l="1"/>
  <c r="CA23" i="8" s="1"/>
  <c r="CA31" i="8"/>
  <c r="CA32" i="8" s="1"/>
  <c r="CA36" i="8" s="1"/>
  <c r="CA38" i="8" s="1"/>
  <c r="FB22" i="13"/>
  <c r="FB30" i="13"/>
  <c r="CB27" i="13"/>
  <c r="CB23" i="13" s="1"/>
  <c r="CB31" i="13"/>
  <c r="CB32" i="13" s="1"/>
  <c r="CB36" i="13" s="1"/>
  <c r="CB38" i="13" s="1"/>
  <c r="CB25" i="8" l="1"/>
  <c r="CA24" i="8"/>
  <c r="FC22" i="13"/>
  <c r="FC30" i="13"/>
  <c r="CC25" i="13"/>
  <c r="CB24" i="13"/>
  <c r="CB27" i="8" l="1"/>
  <c r="CB23" i="8" s="1"/>
  <c r="CB31" i="8"/>
  <c r="CB32" i="8" s="1"/>
  <c r="CB36" i="8" s="1"/>
  <c r="CB38" i="8" s="1"/>
  <c r="FD22" i="13"/>
  <c r="FD30" i="13"/>
  <c r="CC27" i="13"/>
  <c r="CC23" i="13" s="1"/>
  <c r="CC31" i="13"/>
  <c r="CC32" i="13" s="1"/>
  <c r="CC36" i="13" s="1"/>
  <c r="CC38" i="13" s="1"/>
  <c r="CC25" i="8" l="1"/>
  <c r="CB24" i="8"/>
  <c r="FE22" i="13"/>
  <c r="FE30" i="13"/>
  <c r="CD25" i="13"/>
  <c r="CC24" i="13"/>
  <c r="CC27" i="8" l="1"/>
  <c r="CC23" i="8" s="1"/>
  <c r="CC31" i="8"/>
  <c r="CC32" i="8" s="1"/>
  <c r="CC36" i="8" s="1"/>
  <c r="CC38" i="8" s="1"/>
  <c r="FF22" i="13"/>
  <c r="FF30" i="13"/>
  <c r="CD27" i="13"/>
  <c r="CD23" i="13" s="1"/>
  <c r="CD31" i="13"/>
  <c r="CD32" i="13" s="1"/>
  <c r="CD36" i="13" s="1"/>
  <c r="CD38" i="13" s="1"/>
  <c r="CD25" i="8" l="1"/>
  <c r="CC24" i="8"/>
  <c r="FG22" i="13"/>
  <c r="FG30" i="13"/>
  <c r="CE25" i="13"/>
  <c r="CD24" i="13"/>
  <c r="CD27" i="8" l="1"/>
  <c r="CD23" i="8" s="1"/>
  <c r="CD31" i="8"/>
  <c r="CD32" i="8" s="1"/>
  <c r="CD36" i="8" s="1"/>
  <c r="CD38" i="8" s="1"/>
  <c r="FH22" i="13"/>
  <c r="FH30" i="13"/>
  <c r="CE27" i="13"/>
  <c r="CE23" i="13" s="1"/>
  <c r="CE31" i="13"/>
  <c r="CE32" i="13" s="1"/>
  <c r="CE36" i="13" s="1"/>
  <c r="CE38" i="13" s="1"/>
  <c r="CE25" i="8" l="1"/>
  <c r="CD24" i="8"/>
  <c r="FI22" i="13"/>
  <c r="FI30" i="13"/>
  <c r="CF25" i="13"/>
  <c r="CE24" i="13"/>
  <c r="CE27" i="8" l="1"/>
  <c r="CE23" i="8" s="1"/>
  <c r="CE31" i="8"/>
  <c r="CE32" i="8" s="1"/>
  <c r="CE36" i="8" s="1"/>
  <c r="CE38" i="8" s="1"/>
  <c r="FJ22" i="13"/>
  <c r="FJ30" i="13"/>
  <c r="CF27" i="13"/>
  <c r="CF23" i="13" s="1"/>
  <c r="CF31" i="13"/>
  <c r="CF32" i="13" s="1"/>
  <c r="CF36" i="13" s="1"/>
  <c r="CF38" i="13" s="1"/>
  <c r="CF25" i="8" l="1"/>
  <c r="CE24" i="8"/>
  <c r="FK22" i="13"/>
  <c r="FK30" i="13"/>
  <c r="CG25" i="13"/>
  <c r="CF24" i="13"/>
  <c r="CF27" i="8" l="1"/>
  <c r="CF23" i="8" s="1"/>
  <c r="CF31" i="8"/>
  <c r="CF32" i="8" s="1"/>
  <c r="CF36" i="8" s="1"/>
  <c r="CF38" i="8" s="1"/>
  <c r="FL22" i="13"/>
  <c r="FL30" i="13"/>
  <c r="CG27" i="13"/>
  <c r="CG23" i="13" s="1"/>
  <c r="CG31" i="13"/>
  <c r="CG32" i="13" s="1"/>
  <c r="CG36" i="13" s="1"/>
  <c r="CG38" i="13" s="1"/>
  <c r="CG25" i="8" l="1"/>
  <c r="CF24" i="8"/>
  <c r="FM22" i="13"/>
  <c r="FM30" i="13"/>
  <c r="CH25" i="13"/>
  <c r="CG24" i="13"/>
  <c r="CG27" i="8" l="1"/>
  <c r="CG23" i="8" s="1"/>
  <c r="CG31" i="8"/>
  <c r="CG32" i="8" s="1"/>
  <c r="CG36" i="8" s="1"/>
  <c r="CG38" i="8" s="1"/>
  <c r="FN22" i="13"/>
  <c r="FN30" i="13"/>
  <c r="CH27" i="13"/>
  <c r="CH23" i="13" s="1"/>
  <c r="CH31" i="13"/>
  <c r="CH32" i="13" s="1"/>
  <c r="CH36" i="13" s="1"/>
  <c r="CH38" i="13" s="1"/>
  <c r="CH25" i="8" l="1"/>
  <c r="CG24" i="8"/>
  <c r="FO22" i="13"/>
  <c r="FO30" i="13"/>
  <c r="CI25" i="13"/>
  <c r="CH24" i="13"/>
  <c r="CH27" i="8" l="1"/>
  <c r="CH23" i="8" s="1"/>
  <c r="CH31" i="8"/>
  <c r="CH32" i="8" s="1"/>
  <c r="CH36" i="8" s="1"/>
  <c r="CH38" i="8" s="1"/>
  <c r="FP22" i="13"/>
  <c r="FP30" i="13"/>
  <c r="CI27" i="13"/>
  <c r="CI23" i="13" s="1"/>
  <c r="CI31" i="13"/>
  <c r="CI32" i="13" s="1"/>
  <c r="CI36" i="13" s="1"/>
  <c r="CI38" i="13" s="1"/>
  <c r="CI25" i="8" l="1"/>
  <c r="CH24" i="8"/>
  <c r="FQ22" i="13"/>
  <c r="FQ30" i="13"/>
  <c r="CJ25" i="13"/>
  <c r="CI24" i="13"/>
  <c r="CI27" i="8" l="1"/>
  <c r="CI23" i="8" s="1"/>
  <c r="CI31" i="8"/>
  <c r="CI32" i="8" s="1"/>
  <c r="CI36" i="8" s="1"/>
  <c r="CI38" i="8" s="1"/>
  <c r="FR22" i="13"/>
  <c r="FR30" i="13"/>
  <c r="CJ27" i="13"/>
  <c r="CJ23" i="13" s="1"/>
  <c r="CJ31" i="13"/>
  <c r="CJ32" i="13" s="1"/>
  <c r="CJ36" i="13" s="1"/>
  <c r="CJ38" i="13" s="1"/>
  <c r="CJ25" i="8" l="1"/>
  <c r="CI24" i="8"/>
  <c r="FS22" i="13"/>
  <c r="FS30" i="13"/>
  <c r="CK25" i="13"/>
  <c r="CJ24" i="13"/>
  <c r="CJ27" i="8" l="1"/>
  <c r="CJ23" i="8" s="1"/>
  <c r="CJ31" i="8"/>
  <c r="CJ32" i="8" s="1"/>
  <c r="CJ36" i="8" s="1"/>
  <c r="CJ38" i="8" s="1"/>
  <c r="FT22" i="13"/>
  <c r="FT30" i="13"/>
  <c r="CK27" i="13"/>
  <c r="CK23" i="13" s="1"/>
  <c r="CK31" i="13"/>
  <c r="CK32" i="13" s="1"/>
  <c r="CK36" i="13" s="1"/>
  <c r="CK38" i="13" s="1"/>
  <c r="CK25" i="8" l="1"/>
  <c r="CJ24" i="8"/>
  <c r="FU22" i="13"/>
  <c r="FU30" i="13"/>
  <c r="CL25" i="13"/>
  <c r="CK24" i="13"/>
  <c r="CK27" i="8" l="1"/>
  <c r="CK23" i="8" s="1"/>
  <c r="CK31" i="8"/>
  <c r="CK32" i="8" s="1"/>
  <c r="CK36" i="8" s="1"/>
  <c r="CK38" i="8" s="1"/>
  <c r="FV22" i="13"/>
  <c r="FV30" i="13"/>
  <c r="CL27" i="13"/>
  <c r="CL23" i="13" s="1"/>
  <c r="CL31" i="13"/>
  <c r="CL32" i="13" s="1"/>
  <c r="CL36" i="13" s="1"/>
  <c r="CL38" i="13" s="1"/>
  <c r="CL25" i="8" l="1"/>
  <c r="CK24" i="8"/>
  <c r="FW22" i="13"/>
  <c r="FW30" i="13"/>
  <c r="CM25" i="13"/>
  <c r="CL24" i="13"/>
  <c r="CL27" i="8" l="1"/>
  <c r="CL23" i="8" s="1"/>
  <c r="CL31" i="8"/>
  <c r="CL32" i="8" s="1"/>
  <c r="CL36" i="8" s="1"/>
  <c r="CL38" i="8" s="1"/>
  <c r="FX22" i="13"/>
  <c r="FX30" i="13"/>
  <c r="CM27" i="13"/>
  <c r="CM23" i="13" s="1"/>
  <c r="CM31" i="13"/>
  <c r="CM32" i="13" s="1"/>
  <c r="CM36" i="13" s="1"/>
  <c r="CM38" i="13" s="1"/>
  <c r="CM25" i="8" l="1"/>
  <c r="CL24" i="8"/>
  <c r="FY22" i="13"/>
  <c r="FY30" i="13"/>
  <c r="CN25" i="13"/>
  <c r="CM24" i="13"/>
  <c r="CM27" i="8" l="1"/>
  <c r="CM23" i="8" s="1"/>
  <c r="CM31" i="8"/>
  <c r="CM32" i="8" s="1"/>
  <c r="CM36" i="8" s="1"/>
  <c r="CM38" i="8" s="1"/>
  <c r="FZ22" i="13"/>
  <c r="FZ30" i="13"/>
  <c r="CN27" i="13"/>
  <c r="CN23" i="13" s="1"/>
  <c r="CN31" i="13"/>
  <c r="CN32" i="13" s="1"/>
  <c r="CN36" i="13" s="1"/>
  <c r="CN38" i="13" s="1"/>
  <c r="CN25" i="8" l="1"/>
  <c r="CM24" i="8"/>
  <c r="GA22" i="13"/>
  <c r="GA30" i="13"/>
  <c r="CO25" i="13"/>
  <c r="CN24" i="13"/>
  <c r="CN27" i="8" l="1"/>
  <c r="CN23" i="8" s="1"/>
  <c r="CN31" i="8"/>
  <c r="CN32" i="8" s="1"/>
  <c r="CN36" i="8" s="1"/>
  <c r="CN38" i="8" s="1"/>
  <c r="GB22" i="13"/>
  <c r="GB30" i="13"/>
  <c r="CO27" i="13"/>
  <c r="CO23" i="13" s="1"/>
  <c r="CO31" i="13"/>
  <c r="CO32" i="13" s="1"/>
  <c r="CO36" i="13" s="1"/>
  <c r="CO38" i="13" s="1"/>
  <c r="CO25" i="8" l="1"/>
  <c r="CN24" i="8"/>
  <c r="GC22" i="13"/>
  <c r="GC30" i="13"/>
  <c r="CP25" i="13"/>
  <c r="CO24" i="13"/>
  <c r="CO27" i="8" l="1"/>
  <c r="CO23" i="8" s="1"/>
  <c r="CO31" i="8"/>
  <c r="CO32" i="8" s="1"/>
  <c r="CO36" i="8" s="1"/>
  <c r="CO38" i="8" s="1"/>
  <c r="GD22" i="13"/>
  <c r="GD30" i="13"/>
  <c r="CP27" i="13"/>
  <c r="CP23" i="13" s="1"/>
  <c r="CP31" i="13"/>
  <c r="CP32" i="13" s="1"/>
  <c r="CP36" i="13" s="1"/>
  <c r="CP38" i="13" s="1"/>
  <c r="CP25" i="8" l="1"/>
  <c r="CO24" i="8"/>
  <c r="GE22" i="13"/>
  <c r="GE30" i="13"/>
  <c r="CQ25" i="13"/>
  <c r="CP24" i="13"/>
  <c r="CP27" i="8" l="1"/>
  <c r="CP23" i="8" s="1"/>
  <c r="CP31" i="8"/>
  <c r="CP32" i="8" s="1"/>
  <c r="CP36" i="8" s="1"/>
  <c r="CP38" i="8" s="1"/>
  <c r="GF22" i="13"/>
  <c r="GF30" i="13"/>
  <c r="CQ27" i="13"/>
  <c r="CQ23" i="13" s="1"/>
  <c r="CQ31" i="13"/>
  <c r="CQ32" i="13" s="1"/>
  <c r="CQ36" i="13" s="1"/>
  <c r="CQ38" i="13" s="1"/>
  <c r="CQ25" i="8" l="1"/>
  <c r="CP24" i="8"/>
  <c r="GG22" i="13"/>
  <c r="GG30" i="13"/>
  <c r="CR25" i="13"/>
  <c r="CQ24" i="13"/>
  <c r="CQ27" i="8" l="1"/>
  <c r="CQ23" i="8" s="1"/>
  <c r="CQ31" i="8"/>
  <c r="CQ32" i="8" s="1"/>
  <c r="CQ36" i="8" s="1"/>
  <c r="CQ38" i="8" s="1"/>
  <c r="GH22" i="13"/>
  <c r="GH30" i="13"/>
  <c r="CR27" i="13"/>
  <c r="CR23" i="13" s="1"/>
  <c r="CR31" i="13"/>
  <c r="CR32" i="13" s="1"/>
  <c r="CR36" i="13" s="1"/>
  <c r="CR38" i="13" s="1"/>
  <c r="CR25" i="8" l="1"/>
  <c r="CQ24" i="8"/>
  <c r="GI22" i="13"/>
  <c r="GI30" i="13"/>
  <c r="CS25" i="13"/>
  <c r="CR24" i="13"/>
  <c r="CR27" i="8" l="1"/>
  <c r="CR23" i="8" s="1"/>
  <c r="CR31" i="8"/>
  <c r="CR32" i="8" s="1"/>
  <c r="CR36" i="8" s="1"/>
  <c r="CR38" i="8" s="1"/>
  <c r="GJ22" i="13"/>
  <c r="GJ30" i="13"/>
  <c r="CS27" i="13"/>
  <c r="CS23" i="13" s="1"/>
  <c r="CS31" i="13"/>
  <c r="CS32" i="13" s="1"/>
  <c r="CS36" i="13" s="1"/>
  <c r="CS38" i="13" s="1"/>
  <c r="CS25" i="8" l="1"/>
  <c r="CR24" i="8"/>
  <c r="GK22" i="13"/>
  <c r="GK30" i="13"/>
  <c r="CT25" i="13"/>
  <c r="CS24" i="13"/>
  <c r="CS27" i="8" l="1"/>
  <c r="CS23" i="8" s="1"/>
  <c r="CS31" i="8"/>
  <c r="CS32" i="8" s="1"/>
  <c r="CS36" i="8" s="1"/>
  <c r="CS38" i="8" s="1"/>
  <c r="GL22" i="13"/>
  <c r="GL30" i="13"/>
  <c r="CT27" i="13"/>
  <c r="CT23" i="13" s="1"/>
  <c r="CT31" i="13"/>
  <c r="CT32" i="13" s="1"/>
  <c r="CT36" i="13" s="1"/>
  <c r="CT38" i="13" s="1"/>
  <c r="CT25" i="8" l="1"/>
  <c r="CS24" i="8"/>
  <c r="GM22" i="13"/>
  <c r="GM30" i="13"/>
  <c r="CU25" i="13"/>
  <c r="CT24" i="13"/>
  <c r="CT27" i="8" l="1"/>
  <c r="CT23" i="8" s="1"/>
  <c r="CT31" i="8"/>
  <c r="CT32" i="8" s="1"/>
  <c r="CT36" i="8" s="1"/>
  <c r="CT38" i="8" s="1"/>
  <c r="GN22" i="13"/>
  <c r="GN30" i="13"/>
  <c r="CU27" i="13"/>
  <c r="CU23" i="13" s="1"/>
  <c r="CU31" i="13"/>
  <c r="CU32" i="13" s="1"/>
  <c r="CU36" i="13" s="1"/>
  <c r="CU38" i="13" s="1"/>
  <c r="CU25" i="8" l="1"/>
  <c r="CT24" i="8"/>
  <c r="GO22" i="13"/>
  <c r="GO30" i="13"/>
  <c r="CV25" i="13"/>
  <c r="CU24" i="13"/>
  <c r="CU27" i="8" l="1"/>
  <c r="CU23" i="8" s="1"/>
  <c r="CU31" i="8"/>
  <c r="CU32" i="8" s="1"/>
  <c r="CU36" i="8" s="1"/>
  <c r="CU38" i="8" s="1"/>
  <c r="GP22" i="13"/>
  <c r="GP30" i="13"/>
  <c r="CV27" i="13"/>
  <c r="CV23" i="13" s="1"/>
  <c r="CV31" i="13"/>
  <c r="CV32" i="13" s="1"/>
  <c r="CV36" i="13" s="1"/>
  <c r="CV38" i="13" s="1"/>
  <c r="CV25" i="8" l="1"/>
  <c r="CU24" i="8"/>
  <c r="GQ22" i="13"/>
  <c r="GQ30" i="13"/>
  <c r="CW25" i="13"/>
  <c r="CV24" i="13"/>
  <c r="CV27" i="8" l="1"/>
  <c r="CV23" i="8" s="1"/>
  <c r="CV31" i="8"/>
  <c r="CV32" i="8" s="1"/>
  <c r="CV36" i="8" s="1"/>
  <c r="CV38" i="8" s="1"/>
  <c r="GR22" i="13"/>
  <c r="GR30" i="13"/>
  <c r="CW27" i="13"/>
  <c r="CW23" i="13" s="1"/>
  <c r="CW31" i="13"/>
  <c r="CW32" i="13" s="1"/>
  <c r="CW36" i="13" s="1"/>
  <c r="CW38" i="13" s="1"/>
  <c r="CW25" i="8" l="1"/>
  <c r="CV24" i="8"/>
  <c r="GS22" i="13"/>
  <c r="GS30" i="13"/>
  <c r="CX25" i="13"/>
  <c r="CW24" i="13"/>
  <c r="CW27" i="8" l="1"/>
  <c r="CW23" i="8" s="1"/>
  <c r="CW31" i="8"/>
  <c r="CW32" i="8" s="1"/>
  <c r="CW36" i="8" s="1"/>
  <c r="CW38" i="8" s="1"/>
  <c r="GT22" i="13"/>
  <c r="GT30" i="13"/>
  <c r="CX27" i="13"/>
  <c r="CX23" i="13" s="1"/>
  <c r="CX31" i="13"/>
  <c r="CX32" i="13" s="1"/>
  <c r="CX36" i="13" s="1"/>
  <c r="CX38" i="13" s="1"/>
  <c r="CX25" i="8" l="1"/>
  <c r="CW24" i="8"/>
  <c r="GU22" i="13"/>
  <c r="GU30" i="13"/>
  <c r="CY25" i="13"/>
  <c r="CX24" i="13"/>
  <c r="CX27" i="8" l="1"/>
  <c r="CX23" i="8" s="1"/>
  <c r="CX31" i="8"/>
  <c r="CX32" i="8" s="1"/>
  <c r="CX36" i="8" s="1"/>
  <c r="CX38" i="8" s="1"/>
  <c r="GV22" i="13"/>
  <c r="GV30" i="13"/>
  <c r="CY27" i="13"/>
  <c r="CY23" i="13" s="1"/>
  <c r="CY31" i="13"/>
  <c r="CY32" i="13" s="1"/>
  <c r="CY36" i="13" s="1"/>
  <c r="CY38" i="13" s="1"/>
  <c r="CY25" i="8" l="1"/>
  <c r="CX24" i="8"/>
  <c r="GW22" i="13"/>
  <c r="GW30" i="13"/>
  <c r="CZ25" i="13"/>
  <c r="CY24" i="13"/>
  <c r="CY27" i="8" l="1"/>
  <c r="CY23" i="8" s="1"/>
  <c r="CY31" i="8"/>
  <c r="CY32" i="8" s="1"/>
  <c r="CY36" i="8" s="1"/>
  <c r="CY38" i="8" s="1"/>
  <c r="GX22" i="13"/>
  <c r="GX30" i="13"/>
  <c r="CZ27" i="13"/>
  <c r="CZ23" i="13" s="1"/>
  <c r="CZ31" i="13"/>
  <c r="CZ32" i="13" s="1"/>
  <c r="CZ36" i="13" s="1"/>
  <c r="CZ38" i="13" s="1"/>
  <c r="CZ25" i="8" l="1"/>
  <c r="CY24" i="8"/>
  <c r="GY22" i="13"/>
  <c r="GY30" i="13"/>
  <c r="DA25" i="13"/>
  <c r="CZ24" i="13"/>
  <c r="CZ27" i="8" l="1"/>
  <c r="CZ23" i="8" s="1"/>
  <c r="CZ31" i="8"/>
  <c r="CZ32" i="8" s="1"/>
  <c r="CZ36" i="8" s="1"/>
  <c r="CZ38" i="8" s="1"/>
  <c r="GZ22" i="13"/>
  <c r="GZ30" i="13"/>
  <c r="DA27" i="13"/>
  <c r="DA23" i="13" s="1"/>
  <c r="DA31" i="13"/>
  <c r="DA32" i="13" s="1"/>
  <c r="DA36" i="13" s="1"/>
  <c r="DA38" i="13" s="1"/>
  <c r="DA25" i="8" l="1"/>
  <c r="CZ24" i="8"/>
  <c r="HA22" i="13"/>
  <c r="HA30" i="13"/>
  <c r="DB25" i="13"/>
  <c r="DA24" i="13"/>
  <c r="DA27" i="8" l="1"/>
  <c r="DA23" i="8" s="1"/>
  <c r="DA31" i="8"/>
  <c r="DA32" i="8" s="1"/>
  <c r="DA36" i="8" s="1"/>
  <c r="DA38" i="8" s="1"/>
  <c r="HB22" i="13"/>
  <c r="HB30" i="13"/>
  <c r="DB27" i="13"/>
  <c r="DB23" i="13" s="1"/>
  <c r="DB31" i="13"/>
  <c r="DB32" i="13" s="1"/>
  <c r="DB36" i="13" s="1"/>
  <c r="DB38" i="13" s="1"/>
  <c r="DB25" i="8" l="1"/>
  <c r="DA24" i="8"/>
  <c r="HC22" i="13"/>
  <c r="HC30" i="13"/>
  <c r="DC25" i="13"/>
  <c r="DB24" i="13"/>
  <c r="DB27" i="8" l="1"/>
  <c r="DB23" i="8" s="1"/>
  <c r="DB31" i="8"/>
  <c r="DB32" i="8" s="1"/>
  <c r="DB36" i="8" s="1"/>
  <c r="DB38" i="8" s="1"/>
  <c r="HD22" i="13"/>
  <c r="HD30" i="13"/>
  <c r="DC27" i="13"/>
  <c r="DC23" i="13" s="1"/>
  <c r="DC31" i="13"/>
  <c r="DC32" i="13" s="1"/>
  <c r="DC36" i="13" s="1"/>
  <c r="DC38" i="13" s="1"/>
  <c r="DC25" i="8" l="1"/>
  <c r="DB24" i="8"/>
  <c r="HE22" i="13"/>
  <c r="HE30" i="13"/>
  <c r="DD25" i="13"/>
  <c r="DC24" i="13"/>
  <c r="DC27" i="8" l="1"/>
  <c r="DC23" i="8" s="1"/>
  <c r="DC31" i="8"/>
  <c r="DC32" i="8" s="1"/>
  <c r="DC36" i="8" s="1"/>
  <c r="DC38" i="8" s="1"/>
  <c r="HF22" i="13"/>
  <c r="HF30" i="13"/>
  <c r="DD27" i="13"/>
  <c r="DD23" i="13" s="1"/>
  <c r="DD31" i="13"/>
  <c r="DD32" i="13" s="1"/>
  <c r="DD36" i="13" s="1"/>
  <c r="DD38" i="13" s="1"/>
  <c r="DD25" i="8" l="1"/>
  <c r="DC24" i="8"/>
  <c r="HG22" i="13"/>
  <c r="HG30" i="13"/>
  <c r="DE25" i="13"/>
  <c r="DD24" i="13"/>
  <c r="DD27" i="8" l="1"/>
  <c r="DD23" i="8" s="1"/>
  <c r="DD31" i="8"/>
  <c r="DD32" i="8" s="1"/>
  <c r="DD36" i="8" s="1"/>
  <c r="DD38" i="8" s="1"/>
  <c r="HH22" i="13"/>
  <c r="HH30" i="13"/>
  <c r="DE27" i="13"/>
  <c r="DE23" i="13" s="1"/>
  <c r="DE31" i="13"/>
  <c r="DE32" i="13" s="1"/>
  <c r="DE36" i="13" s="1"/>
  <c r="DE38" i="13" s="1"/>
  <c r="DE25" i="8" l="1"/>
  <c r="DD24" i="8"/>
  <c r="HI22" i="13"/>
  <c r="HI30" i="13"/>
  <c r="DF25" i="13"/>
  <c r="DE24" i="13"/>
  <c r="DE27" i="8" l="1"/>
  <c r="DE23" i="8" s="1"/>
  <c r="DE31" i="8"/>
  <c r="DE32" i="8" s="1"/>
  <c r="DE36" i="8" s="1"/>
  <c r="DE38" i="8" s="1"/>
  <c r="HJ22" i="13"/>
  <c r="HJ30" i="13"/>
  <c r="DF27" i="13"/>
  <c r="DF23" i="13" s="1"/>
  <c r="DF31" i="13"/>
  <c r="DF32" i="13" s="1"/>
  <c r="DF36" i="13" s="1"/>
  <c r="DF38" i="13" s="1"/>
  <c r="DF25" i="8" l="1"/>
  <c r="DE24" i="8"/>
  <c r="HK22" i="13"/>
  <c r="HK30" i="13"/>
  <c r="DG25" i="13"/>
  <c r="DF24" i="13"/>
  <c r="DF27" i="8" l="1"/>
  <c r="DF23" i="8" s="1"/>
  <c r="DF31" i="8"/>
  <c r="DF32" i="8" s="1"/>
  <c r="DF36" i="8" s="1"/>
  <c r="DF38" i="8" s="1"/>
  <c r="HL22" i="13"/>
  <c r="HL30" i="13"/>
  <c r="DG27" i="13"/>
  <c r="DG23" i="13" s="1"/>
  <c r="DG31" i="13"/>
  <c r="DG32" i="13" s="1"/>
  <c r="DG36" i="13" s="1"/>
  <c r="DG38" i="13" s="1"/>
  <c r="DG25" i="8" l="1"/>
  <c r="DF24" i="8"/>
  <c r="HM22" i="13"/>
  <c r="HM30" i="13"/>
  <c r="DH25" i="13"/>
  <c r="DG24" i="13"/>
  <c r="DG27" i="8" l="1"/>
  <c r="DG23" i="8" s="1"/>
  <c r="DG31" i="8"/>
  <c r="DG32" i="8" s="1"/>
  <c r="DG36" i="8" s="1"/>
  <c r="DG38" i="8" s="1"/>
  <c r="HN22" i="13"/>
  <c r="HN30" i="13"/>
  <c r="DH27" i="13"/>
  <c r="DH23" i="13" s="1"/>
  <c r="DH31" i="13"/>
  <c r="DH32" i="13" s="1"/>
  <c r="DH36" i="13" s="1"/>
  <c r="DH38" i="13" s="1"/>
  <c r="DH25" i="8" l="1"/>
  <c r="DG24" i="8"/>
  <c r="HO22" i="13"/>
  <c r="HO30" i="13"/>
  <c r="DI25" i="13"/>
  <c r="DH24" i="13"/>
  <c r="DH27" i="8" l="1"/>
  <c r="DH23" i="8" s="1"/>
  <c r="DH31" i="8"/>
  <c r="DH32" i="8" s="1"/>
  <c r="DH36" i="8" s="1"/>
  <c r="DH38" i="8" s="1"/>
  <c r="HP22" i="13"/>
  <c r="HP30" i="13"/>
  <c r="DI27" i="13"/>
  <c r="DI23" i="13" s="1"/>
  <c r="DI31" i="13"/>
  <c r="DI32" i="13" s="1"/>
  <c r="DI36" i="13" s="1"/>
  <c r="DI38" i="13" s="1"/>
  <c r="DI25" i="8" l="1"/>
  <c r="DH24" i="8"/>
  <c r="HQ22" i="13"/>
  <c r="HQ30" i="13"/>
  <c r="DJ25" i="13"/>
  <c r="DI24" i="13"/>
  <c r="DI27" i="8" l="1"/>
  <c r="DI23" i="8" s="1"/>
  <c r="DI31" i="8"/>
  <c r="DI32" i="8" s="1"/>
  <c r="DI36" i="8" s="1"/>
  <c r="DI38" i="8" s="1"/>
  <c r="HR22" i="13"/>
  <c r="HR30" i="13"/>
  <c r="DJ27" i="13"/>
  <c r="DJ23" i="13" s="1"/>
  <c r="DJ31" i="13"/>
  <c r="DJ32" i="13" s="1"/>
  <c r="DJ36" i="13" s="1"/>
  <c r="DJ38" i="13" s="1"/>
  <c r="DJ25" i="8" l="1"/>
  <c r="DI24" i="8"/>
  <c r="HS22" i="13"/>
  <c r="HS30" i="13"/>
  <c r="DK25" i="13"/>
  <c r="DJ24" i="13"/>
  <c r="DJ27" i="8" l="1"/>
  <c r="DJ23" i="8" s="1"/>
  <c r="DJ31" i="8"/>
  <c r="DJ32" i="8" s="1"/>
  <c r="DJ36" i="8" s="1"/>
  <c r="DJ38" i="8" s="1"/>
  <c r="HT22" i="13"/>
  <c r="HT30" i="13"/>
  <c r="DK27" i="13"/>
  <c r="DK23" i="13" s="1"/>
  <c r="DK31" i="13"/>
  <c r="DK32" i="13" s="1"/>
  <c r="DK36" i="13" s="1"/>
  <c r="DK38" i="13" s="1"/>
  <c r="DK25" i="8" l="1"/>
  <c r="DJ24" i="8"/>
  <c r="HU22" i="13"/>
  <c r="HU30" i="13"/>
  <c r="DL25" i="13"/>
  <c r="DK24" i="13"/>
  <c r="DK27" i="8" l="1"/>
  <c r="DK23" i="8" s="1"/>
  <c r="DK31" i="8"/>
  <c r="DK32" i="8" s="1"/>
  <c r="DK36" i="8" s="1"/>
  <c r="DK38" i="8" s="1"/>
  <c r="HV22" i="13"/>
  <c r="HV30" i="13"/>
  <c r="DL27" i="13"/>
  <c r="DL23" i="13" s="1"/>
  <c r="DL31" i="13"/>
  <c r="DL32" i="13" s="1"/>
  <c r="DL36" i="13" s="1"/>
  <c r="DL38" i="13" s="1"/>
  <c r="DL25" i="8" l="1"/>
  <c r="DK24" i="8"/>
  <c r="HW22" i="13"/>
  <c r="HW30" i="13"/>
  <c r="DM25" i="13"/>
  <c r="DL24" i="13"/>
  <c r="DL27" i="8" l="1"/>
  <c r="DL23" i="8" s="1"/>
  <c r="DL31" i="8"/>
  <c r="DL32" i="8" s="1"/>
  <c r="DL36" i="8" s="1"/>
  <c r="DL38" i="8" s="1"/>
  <c r="HX22" i="13"/>
  <c r="HX30" i="13"/>
  <c r="DM27" i="13"/>
  <c r="DM23" i="13" s="1"/>
  <c r="DM31" i="13"/>
  <c r="DM32" i="13" s="1"/>
  <c r="DM36" i="13" s="1"/>
  <c r="DM38" i="13" s="1"/>
  <c r="DM25" i="8" l="1"/>
  <c r="DL24" i="8"/>
  <c r="HY22" i="13"/>
  <c r="HY30" i="13"/>
  <c r="DN25" i="13"/>
  <c r="DM24" i="13"/>
  <c r="DM27" i="8" l="1"/>
  <c r="DM23" i="8" s="1"/>
  <c r="DM31" i="8"/>
  <c r="DM32" i="8" s="1"/>
  <c r="DM36" i="8" s="1"/>
  <c r="DM38" i="8" s="1"/>
  <c r="HZ22" i="13"/>
  <c r="HZ30" i="13"/>
  <c r="DN27" i="13"/>
  <c r="DN23" i="13" s="1"/>
  <c r="DN31" i="13"/>
  <c r="DN32" i="13" s="1"/>
  <c r="DN36" i="13" s="1"/>
  <c r="DN38" i="13" s="1"/>
  <c r="DN25" i="8" l="1"/>
  <c r="DM24" i="8"/>
  <c r="IA22" i="13"/>
  <c r="IA30" i="13"/>
  <c r="DO25" i="13"/>
  <c r="DN24" i="13"/>
  <c r="DN27" i="8" l="1"/>
  <c r="DN23" i="8" s="1"/>
  <c r="DN31" i="8"/>
  <c r="DN32" i="8" s="1"/>
  <c r="DN36" i="8" s="1"/>
  <c r="DN38" i="8" s="1"/>
  <c r="IB22" i="13"/>
  <c r="IB30" i="13"/>
  <c r="DO27" i="13"/>
  <c r="DO23" i="13" s="1"/>
  <c r="DO31" i="13"/>
  <c r="DO32" i="13" s="1"/>
  <c r="DO36" i="13" s="1"/>
  <c r="DO38" i="13" s="1"/>
  <c r="DO25" i="8" l="1"/>
  <c r="DN24" i="8"/>
  <c r="IC22" i="13"/>
  <c r="IC30" i="13"/>
  <c r="DP25" i="13"/>
  <c r="DO24" i="13"/>
  <c r="DO27" i="8" l="1"/>
  <c r="DO23" i="8" s="1"/>
  <c r="DO31" i="8"/>
  <c r="DO32" i="8" s="1"/>
  <c r="DO36" i="8" s="1"/>
  <c r="DO38" i="8" s="1"/>
  <c r="ID22" i="13"/>
  <c r="ID30" i="13"/>
  <c r="DP27" i="13"/>
  <c r="DP23" i="13" s="1"/>
  <c r="DP31" i="13"/>
  <c r="DP32" i="13" s="1"/>
  <c r="DP36" i="13" s="1"/>
  <c r="DP38" i="13" s="1"/>
  <c r="DP25" i="8" l="1"/>
  <c r="DO24" i="8"/>
  <c r="IE22" i="13"/>
  <c r="IE30" i="13"/>
  <c r="DQ25" i="13"/>
  <c r="DP24" i="13"/>
  <c r="DP27" i="8" l="1"/>
  <c r="DP23" i="8" s="1"/>
  <c r="DP31" i="8"/>
  <c r="DP32" i="8" s="1"/>
  <c r="DP36" i="8" s="1"/>
  <c r="DP38" i="8" s="1"/>
  <c r="IF22" i="13"/>
  <c r="IF30" i="13"/>
  <c r="DQ27" i="13"/>
  <c r="DQ23" i="13" s="1"/>
  <c r="DQ31" i="13"/>
  <c r="DQ32" i="13" s="1"/>
  <c r="DQ36" i="13" s="1"/>
  <c r="DQ38" i="13" s="1"/>
  <c r="DQ25" i="8" l="1"/>
  <c r="DP24" i="8"/>
  <c r="IG22" i="13"/>
  <c r="IG30" i="13"/>
  <c r="DR25" i="13"/>
  <c r="DQ24" i="13"/>
  <c r="DQ27" i="8" l="1"/>
  <c r="DQ23" i="8" s="1"/>
  <c r="DQ31" i="8"/>
  <c r="DQ32" i="8" s="1"/>
  <c r="DQ36" i="8" s="1"/>
  <c r="DQ38" i="8" s="1"/>
  <c r="IH22" i="13"/>
  <c r="IH30" i="13"/>
  <c r="DR27" i="13"/>
  <c r="DR23" i="13" s="1"/>
  <c r="DR31" i="13"/>
  <c r="DR32" i="13" s="1"/>
  <c r="DR36" i="13" s="1"/>
  <c r="DR38" i="13" s="1"/>
  <c r="DR25" i="8" l="1"/>
  <c r="DQ24" i="8"/>
  <c r="II22" i="13"/>
  <c r="II30" i="13"/>
  <c r="DS25" i="13"/>
  <c r="DR24" i="13"/>
  <c r="DR27" i="8" l="1"/>
  <c r="DR23" i="8" s="1"/>
  <c r="DR31" i="8"/>
  <c r="DR32" i="8" s="1"/>
  <c r="DR36" i="8" s="1"/>
  <c r="DR38" i="8" s="1"/>
  <c r="IJ22" i="13"/>
  <c r="IJ30" i="13"/>
  <c r="DS27" i="13"/>
  <c r="DS23" i="13" s="1"/>
  <c r="DS31" i="13"/>
  <c r="DS32" i="13" s="1"/>
  <c r="DS36" i="13" s="1"/>
  <c r="DS38" i="13" s="1"/>
  <c r="DS25" i="8" l="1"/>
  <c r="DR24" i="8"/>
  <c r="IK22" i="13"/>
  <c r="IK30" i="13"/>
  <c r="DT25" i="13"/>
  <c r="DS24" i="13"/>
  <c r="B40" i="13"/>
  <c r="B41" i="13"/>
  <c r="B43" i="13" s="1"/>
  <c r="B44" i="13"/>
  <c r="DS27" i="8" l="1"/>
  <c r="DS23" i="8" s="1"/>
  <c r="DS31" i="8"/>
  <c r="DS32" i="8" s="1"/>
  <c r="DS36" i="8" s="1"/>
  <c r="DS38" i="8" s="1"/>
  <c r="IL22" i="13"/>
  <c r="IL30" i="13"/>
  <c r="DT27" i="13"/>
  <c r="DT23" i="13" s="1"/>
  <c r="DT31" i="13"/>
  <c r="DT32" i="13" s="1"/>
  <c r="DT36" i="13" s="1"/>
  <c r="DT38" i="13" s="1"/>
  <c r="B45" i="13"/>
  <c r="NE48" i="13" s="1"/>
  <c r="DT25" i="8" l="1"/>
  <c r="DS24" i="8"/>
  <c r="IM22" i="13"/>
  <c r="IM30" i="13"/>
  <c r="DU25" i="13"/>
  <c r="DT24" i="13"/>
  <c r="DT27" i="8" l="1"/>
  <c r="DT23" i="8" s="1"/>
  <c r="DT31" i="8"/>
  <c r="DT32" i="8" s="1"/>
  <c r="DT36" i="8" s="1"/>
  <c r="DT38" i="8" s="1"/>
  <c r="IN22" i="13"/>
  <c r="IN30" i="13"/>
  <c r="DU27" i="13"/>
  <c r="DU23" i="13" s="1"/>
  <c r="DU31" i="13"/>
  <c r="DU32" i="13" s="1"/>
  <c r="DU36" i="13" s="1"/>
  <c r="DU38" i="13" s="1"/>
  <c r="B44" i="8"/>
  <c r="B41" i="8"/>
  <c r="B43" i="8" s="1"/>
  <c r="B40" i="8"/>
  <c r="DU25" i="8" l="1"/>
  <c r="DT24" i="8"/>
  <c r="B45" i="8"/>
  <c r="NG48" i="8" s="1"/>
  <c r="IO22" i="13"/>
  <c r="IO30" i="13"/>
  <c r="DV25" i="13"/>
  <c r="DU24" i="13"/>
  <c r="DU27" i="8" l="1"/>
  <c r="DU23" i="8" s="1"/>
  <c r="DU31" i="8"/>
  <c r="DU32" i="8" s="1"/>
  <c r="DU36" i="8" s="1"/>
  <c r="DU38" i="8" s="1"/>
  <c r="IP22" i="13"/>
  <c r="IP30" i="13"/>
  <c r="DV27" i="13"/>
  <c r="DV23" i="13" s="1"/>
  <c r="DV31" i="13"/>
  <c r="DV32" i="13" s="1"/>
  <c r="DV36" i="13" s="1"/>
  <c r="DV38" i="13" s="1"/>
  <c r="DV25" i="8" l="1"/>
  <c r="DU24" i="8"/>
  <c r="IQ22" i="13"/>
  <c r="IQ30" i="13"/>
  <c r="DW25" i="13"/>
  <c r="DV24" i="13"/>
  <c r="DV27" i="8" l="1"/>
  <c r="DV23" i="8" s="1"/>
  <c r="DV31" i="8"/>
  <c r="DV32" i="8" s="1"/>
  <c r="DV36" i="8" s="1"/>
  <c r="DV38" i="8" s="1"/>
  <c r="IR22" i="13"/>
  <c r="IR30" i="13"/>
  <c r="DW27" i="13"/>
  <c r="DW23" i="13" s="1"/>
  <c r="DW31" i="13"/>
  <c r="DW32" i="13" s="1"/>
  <c r="DW36" i="13" s="1"/>
  <c r="DW38" i="13" s="1"/>
  <c r="DW25" i="8" l="1"/>
  <c r="DV24" i="8"/>
  <c r="IS22" i="13"/>
  <c r="IS30" i="13"/>
  <c r="DX25" i="13"/>
  <c r="DW24" i="13"/>
  <c r="DW27" i="8" l="1"/>
  <c r="DW23" i="8" s="1"/>
  <c r="DW31" i="8"/>
  <c r="DW32" i="8" s="1"/>
  <c r="DW36" i="8" s="1"/>
  <c r="DW38" i="8" s="1"/>
  <c r="IT22" i="13"/>
  <c r="IT30" i="13"/>
  <c r="DX27" i="13"/>
  <c r="DX23" i="13" s="1"/>
  <c r="DX31" i="13"/>
  <c r="DX32" i="13" s="1"/>
  <c r="DX36" i="13" s="1"/>
  <c r="DX38" i="13" s="1"/>
  <c r="DX25" i="8" l="1"/>
  <c r="DW24" i="8"/>
  <c r="IU22" i="13"/>
  <c r="IU30" i="13"/>
  <c r="DY25" i="13"/>
  <c r="DX24" i="13"/>
  <c r="DX27" i="8" l="1"/>
  <c r="DX23" i="8" s="1"/>
  <c r="DX31" i="8"/>
  <c r="DX32" i="8" s="1"/>
  <c r="DX36" i="8" s="1"/>
  <c r="DX38" i="8" s="1"/>
  <c r="IV22" i="13"/>
  <c r="IV30" i="13"/>
  <c r="DY27" i="13"/>
  <c r="DY23" i="13" s="1"/>
  <c r="DY31" i="13"/>
  <c r="DY32" i="13" s="1"/>
  <c r="DY36" i="13" s="1"/>
  <c r="DY38" i="13" s="1"/>
  <c r="DY25" i="8" l="1"/>
  <c r="DX24" i="8"/>
  <c r="IW22" i="13"/>
  <c r="IW30" i="13"/>
  <c r="DZ25" i="13"/>
  <c r="DY24" i="13"/>
  <c r="DY27" i="8" l="1"/>
  <c r="DY23" i="8" s="1"/>
  <c r="DY31" i="8"/>
  <c r="DY32" i="8" s="1"/>
  <c r="DY36" i="8" s="1"/>
  <c r="DY38" i="8" s="1"/>
  <c r="IX22" i="13"/>
  <c r="IX30" i="13"/>
  <c r="DZ27" i="13"/>
  <c r="DZ23" i="13" s="1"/>
  <c r="DZ31" i="13"/>
  <c r="DZ32" i="13" s="1"/>
  <c r="DZ36" i="13" s="1"/>
  <c r="DZ38" i="13" s="1"/>
  <c r="DZ25" i="8" l="1"/>
  <c r="DY24" i="8"/>
  <c r="IY22" i="13"/>
  <c r="IY30" i="13"/>
  <c r="EA25" i="13"/>
  <c r="DZ24" i="13"/>
  <c r="DZ27" i="8" l="1"/>
  <c r="DZ23" i="8" s="1"/>
  <c r="DZ31" i="8"/>
  <c r="DZ32" i="8" s="1"/>
  <c r="DZ36" i="8" s="1"/>
  <c r="DZ38" i="8" s="1"/>
  <c r="IZ22" i="13"/>
  <c r="IZ30" i="13"/>
  <c r="EA27" i="13"/>
  <c r="EA23" i="13" s="1"/>
  <c r="EA31" i="13"/>
  <c r="EA32" i="13" s="1"/>
  <c r="EA36" i="13" s="1"/>
  <c r="EA38" i="13" s="1"/>
  <c r="EA25" i="8" l="1"/>
  <c r="DZ24" i="8"/>
  <c r="JA22" i="13"/>
  <c r="JA30" i="13"/>
  <c r="EB25" i="13"/>
  <c r="EA24" i="13"/>
  <c r="EA27" i="8" l="1"/>
  <c r="EA23" i="8" s="1"/>
  <c r="EA31" i="8"/>
  <c r="EA32" i="8" s="1"/>
  <c r="EA36" i="8" s="1"/>
  <c r="EA38" i="8" s="1"/>
  <c r="JB22" i="13"/>
  <c r="JB30" i="13"/>
  <c r="EB27" i="13"/>
  <c r="EB23" i="13" s="1"/>
  <c r="EB31" i="13"/>
  <c r="EB32" i="13" s="1"/>
  <c r="EB36" i="13" s="1"/>
  <c r="EB38" i="13" s="1"/>
  <c r="EB25" i="8" l="1"/>
  <c r="EA24" i="8"/>
  <c r="JC22" i="13"/>
  <c r="JC30" i="13"/>
  <c r="EC25" i="13"/>
  <c r="EB24" i="13"/>
  <c r="EB27" i="8" l="1"/>
  <c r="EB23" i="8" s="1"/>
  <c r="EB31" i="8"/>
  <c r="EB32" i="8" s="1"/>
  <c r="EB36" i="8" s="1"/>
  <c r="EB38" i="8" s="1"/>
  <c r="JD22" i="13"/>
  <c r="JD30" i="13"/>
  <c r="EC27" i="13"/>
  <c r="EC23" i="13" s="1"/>
  <c r="EC31" i="13"/>
  <c r="EC32" i="13" s="1"/>
  <c r="EC36" i="13" s="1"/>
  <c r="EC38" i="13" s="1"/>
  <c r="EC25" i="8" l="1"/>
  <c r="EB24" i="8"/>
  <c r="JE22" i="13"/>
  <c r="JE30" i="13"/>
  <c r="ED25" i="13"/>
  <c r="EC24" i="13"/>
  <c r="EC27" i="8" l="1"/>
  <c r="EC23" i="8" s="1"/>
  <c r="EC31" i="8"/>
  <c r="EC32" i="8" s="1"/>
  <c r="EC36" i="8" s="1"/>
  <c r="EC38" i="8" s="1"/>
  <c r="JF22" i="13"/>
  <c r="JF30" i="13"/>
  <c r="ED27" i="13"/>
  <c r="ED23" i="13" s="1"/>
  <c r="ED31" i="13"/>
  <c r="ED32" i="13" s="1"/>
  <c r="ED36" i="13" s="1"/>
  <c r="ED38" i="13" s="1"/>
  <c r="ED25" i="8" l="1"/>
  <c r="EC24" i="8"/>
  <c r="JG22" i="13"/>
  <c r="JG30" i="13"/>
  <c r="EE25" i="13"/>
  <c r="ED24" i="13"/>
  <c r="ED27" i="8" l="1"/>
  <c r="ED23" i="8" s="1"/>
  <c r="ED31" i="8"/>
  <c r="ED32" i="8" s="1"/>
  <c r="ED36" i="8" s="1"/>
  <c r="ED38" i="8" s="1"/>
  <c r="JH22" i="13"/>
  <c r="JH30" i="13"/>
  <c r="EE27" i="13"/>
  <c r="EE23" i="13" s="1"/>
  <c r="EE31" i="13"/>
  <c r="EE32" i="13" s="1"/>
  <c r="EE36" i="13" s="1"/>
  <c r="EE38" i="13" s="1"/>
  <c r="EE25" i="8" l="1"/>
  <c r="ED24" i="8"/>
  <c r="JI22" i="13"/>
  <c r="JI30" i="13"/>
  <c r="EF25" i="13"/>
  <c r="EE24" i="13"/>
  <c r="EE27" i="8" l="1"/>
  <c r="EE23" i="8" s="1"/>
  <c r="EE31" i="8"/>
  <c r="EE32" i="8" s="1"/>
  <c r="EE36" i="8" s="1"/>
  <c r="EE38" i="8" s="1"/>
  <c r="JJ22" i="13"/>
  <c r="JJ30" i="13"/>
  <c r="EF27" i="13"/>
  <c r="EF23" i="13" s="1"/>
  <c r="EF31" i="13"/>
  <c r="EF32" i="13" s="1"/>
  <c r="EF36" i="13" s="1"/>
  <c r="EF38" i="13" s="1"/>
  <c r="EF25" i="8" l="1"/>
  <c r="EE24" i="8"/>
  <c r="JK22" i="13"/>
  <c r="JK30" i="13"/>
  <c r="EG25" i="13"/>
  <c r="EF24" i="13"/>
  <c r="EF27" i="8" l="1"/>
  <c r="EF23" i="8" s="1"/>
  <c r="EF31" i="8"/>
  <c r="EF32" i="8" s="1"/>
  <c r="EF36" i="8" s="1"/>
  <c r="EF38" i="8" s="1"/>
  <c r="JL22" i="13"/>
  <c r="JL30" i="13"/>
  <c r="EG27" i="13"/>
  <c r="EG23" i="13" s="1"/>
  <c r="EG31" i="13"/>
  <c r="EG32" i="13" s="1"/>
  <c r="EG36" i="13" s="1"/>
  <c r="EG38" i="13" s="1"/>
  <c r="EG25" i="8" l="1"/>
  <c r="EF24" i="8"/>
  <c r="JM22" i="13"/>
  <c r="JM30" i="13"/>
  <c r="EH25" i="13"/>
  <c r="EG24" i="13"/>
  <c r="EG27" i="8" l="1"/>
  <c r="EG23" i="8" s="1"/>
  <c r="EG31" i="8"/>
  <c r="EG32" i="8" s="1"/>
  <c r="EG36" i="8" s="1"/>
  <c r="EG38" i="8" s="1"/>
  <c r="JN22" i="13"/>
  <c r="JN30" i="13"/>
  <c r="EH27" i="13"/>
  <c r="EH23" i="13" s="1"/>
  <c r="EH31" i="13"/>
  <c r="EH32" i="13" s="1"/>
  <c r="EH36" i="13" s="1"/>
  <c r="EH38" i="13" s="1"/>
  <c r="EH25" i="8" l="1"/>
  <c r="EG24" i="8"/>
  <c r="JO22" i="13"/>
  <c r="JO30" i="13"/>
  <c r="EI25" i="13"/>
  <c r="EH24" i="13"/>
  <c r="EH27" i="8" l="1"/>
  <c r="EH23" i="8" s="1"/>
  <c r="EH31" i="8"/>
  <c r="EH32" i="8" s="1"/>
  <c r="EH36" i="8" s="1"/>
  <c r="EH38" i="8" s="1"/>
  <c r="JP22" i="13"/>
  <c r="JP30" i="13"/>
  <c r="EI27" i="13"/>
  <c r="EI23" i="13" s="1"/>
  <c r="EI31" i="13"/>
  <c r="EI32" i="13" s="1"/>
  <c r="EI36" i="13" s="1"/>
  <c r="EI38" i="13" s="1"/>
  <c r="EI25" i="8" l="1"/>
  <c r="EH24" i="8"/>
  <c r="JQ22" i="13"/>
  <c r="JQ30" i="13"/>
  <c r="EJ25" i="13"/>
  <c r="EI24" i="13"/>
  <c r="EI27" i="8" l="1"/>
  <c r="EI23" i="8" s="1"/>
  <c r="EI31" i="8"/>
  <c r="EI32" i="8" s="1"/>
  <c r="EI36" i="8" s="1"/>
  <c r="EI38" i="8" s="1"/>
  <c r="JR22" i="13"/>
  <c r="JR30" i="13"/>
  <c r="EJ27" i="13"/>
  <c r="EJ23" i="13" s="1"/>
  <c r="EJ31" i="13"/>
  <c r="EJ32" i="13" s="1"/>
  <c r="EJ36" i="13" s="1"/>
  <c r="EJ38" i="13" s="1"/>
  <c r="EJ25" i="8" l="1"/>
  <c r="EI24" i="8"/>
  <c r="JS22" i="13"/>
  <c r="JS30" i="13"/>
  <c r="EK25" i="13"/>
  <c r="EJ24" i="13"/>
  <c r="EJ27" i="8" l="1"/>
  <c r="EJ23" i="8" s="1"/>
  <c r="EJ31" i="8"/>
  <c r="EJ32" i="8" s="1"/>
  <c r="EJ36" i="8" s="1"/>
  <c r="EJ38" i="8" s="1"/>
  <c r="JT22" i="13"/>
  <c r="JT30" i="13"/>
  <c r="EK27" i="13"/>
  <c r="EK23" i="13" s="1"/>
  <c r="EK31" i="13"/>
  <c r="EK32" i="13" s="1"/>
  <c r="EK36" i="13" s="1"/>
  <c r="EK38" i="13" s="1"/>
  <c r="EK25" i="8" l="1"/>
  <c r="EJ24" i="8"/>
  <c r="JU22" i="13"/>
  <c r="JU30" i="13"/>
  <c r="EL25" i="13"/>
  <c r="EK24" i="13"/>
  <c r="EK27" i="8" l="1"/>
  <c r="EK23" i="8" s="1"/>
  <c r="EK31" i="8"/>
  <c r="EK32" i="8" s="1"/>
  <c r="EK36" i="8" s="1"/>
  <c r="EK38" i="8" s="1"/>
  <c r="JV22" i="13"/>
  <c r="JV30" i="13"/>
  <c r="EL27" i="13"/>
  <c r="EL23" i="13" s="1"/>
  <c r="EL31" i="13"/>
  <c r="EL32" i="13" s="1"/>
  <c r="EL36" i="13" s="1"/>
  <c r="EL38" i="13" s="1"/>
  <c r="EL25" i="8" l="1"/>
  <c r="EK24" i="8"/>
  <c r="JW22" i="13"/>
  <c r="JW30" i="13"/>
  <c r="EM25" i="13"/>
  <c r="EL24" i="13"/>
  <c r="EL27" i="8" l="1"/>
  <c r="EL23" i="8" s="1"/>
  <c r="EL31" i="8"/>
  <c r="EL32" i="8" s="1"/>
  <c r="EL36" i="8" s="1"/>
  <c r="EL38" i="8" s="1"/>
  <c r="JX22" i="13"/>
  <c r="JX30" i="13"/>
  <c r="EM27" i="13"/>
  <c r="EM23" i="13" s="1"/>
  <c r="EM31" i="13"/>
  <c r="EM32" i="13" s="1"/>
  <c r="EM36" i="13" s="1"/>
  <c r="EM38" i="13" s="1"/>
  <c r="EM25" i="8" l="1"/>
  <c r="EL24" i="8"/>
  <c r="JY22" i="13"/>
  <c r="JY30" i="13"/>
  <c r="EN25" i="13"/>
  <c r="EM24" i="13"/>
  <c r="EM27" i="8" l="1"/>
  <c r="EM23" i="8" s="1"/>
  <c r="EM31" i="8"/>
  <c r="EM32" i="8" s="1"/>
  <c r="EM36" i="8" s="1"/>
  <c r="EM38" i="8" s="1"/>
  <c r="JZ22" i="13"/>
  <c r="JZ30" i="13"/>
  <c r="EN27" i="13"/>
  <c r="EN23" i="13" s="1"/>
  <c r="EN31" i="13"/>
  <c r="EN32" i="13" s="1"/>
  <c r="EN36" i="13" s="1"/>
  <c r="EN38" i="13" s="1"/>
  <c r="EN25" i="8" l="1"/>
  <c r="EM24" i="8"/>
  <c r="KA22" i="13"/>
  <c r="KA30" i="13"/>
  <c r="EO25" i="13"/>
  <c r="EN24" i="13"/>
  <c r="EN27" i="8" l="1"/>
  <c r="EN23" i="8" s="1"/>
  <c r="EN31" i="8"/>
  <c r="EN32" i="8" s="1"/>
  <c r="EN36" i="8" s="1"/>
  <c r="EN38" i="8" s="1"/>
  <c r="KB22" i="13"/>
  <c r="KB30" i="13"/>
  <c r="EO27" i="13"/>
  <c r="EO23" i="13" s="1"/>
  <c r="EO31" i="13"/>
  <c r="EO32" i="13" s="1"/>
  <c r="EO36" i="13" s="1"/>
  <c r="EO38" i="13" s="1"/>
  <c r="EO25" i="8" l="1"/>
  <c r="EN24" i="8"/>
  <c r="KC22" i="13"/>
  <c r="KC30" i="13"/>
  <c r="EP25" i="13"/>
  <c r="EO24" i="13"/>
  <c r="EO27" i="8" l="1"/>
  <c r="EO23" i="8" s="1"/>
  <c r="EO31" i="8"/>
  <c r="EO32" i="8" s="1"/>
  <c r="EO36" i="8" s="1"/>
  <c r="EO38" i="8" s="1"/>
  <c r="KD22" i="13"/>
  <c r="KD30" i="13"/>
  <c r="EP27" i="13"/>
  <c r="EP23" i="13" s="1"/>
  <c r="EP31" i="13"/>
  <c r="EP32" i="13" s="1"/>
  <c r="EP36" i="13" s="1"/>
  <c r="EP38" i="13" s="1"/>
  <c r="EP25" i="8" l="1"/>
  <c r="EO24" i="8"/>
  <c r="KE22" i="13"/>
  <c r="KE30" i="13"/>
  <c r="EQ25" i="13"/>
  <c r="EP24" i="13"/>
  <c r="EP27" i="8" l="1"/>
  <c r="EP23" i="8" s="1"/>
  <c r="EP31" i="8"/>
  <c r="EP32" i="8" s="1"/>
  <c r="EP36" i="8" s="1"/>
  <c r="EP38" i="8" s="1"/>
  <c r="KF22" i="13"/>
  <c r="KF30" i="13"/>
  <c r="EQ27" i="13"/>
  <c r="EQ23" i="13" s="1"/>
  <c r="EQ31" i="13"/>
  <c r="EQ32" i="13" s="1"/>
  <c r="EQ36" i="13" s="1"/>
  <c r="EQ38" i="13" s="1"/>
  <c r="EQ25" i="8" l="1"/>
  <c r="EP24" i="8"/>
  <c r="KG22" i="13"/>
  <c r="KG30" i="13"/>
  <c r="ER25" i="13"/>
  <c r="EQ24" i="13"/>
  <c r="EQ27" i="8" l="1"/>
  <c r="EQ23" i="8" s="1"/>
  <c r="EQ31" i="8"/>
  <c r="EQ32" i="8" s="1"/>
  <c r="EQ36" i="8" s="1"/>
  <c r="EQ38" i="8" s="1"/>
  <c r="KH22" i="13"/>
  <c r="KH30" i="13"/>
  <c r="ER27" i="13"/>
  <c r="ER23" i="13" s="1"/>
  <c r="ER31" i="13"/>
  <c r="ER32" i="13" s="1"/>
  <c r="ER36" i="13" s="1"/>
  <c r="ER38" i="13" s="1"/>
  <c r="ER25" i="8" l="1"/>
  <c r="EQ24" i="8"/>
  <c r="KI22" i="13"/>
  <c r="KI30" i="13"/>
  <c r="ES25" i="13"/>
  <c r="ER24" i="13"/>
  <c r="ER27" i="8" l="1"/>
  <c r="ER23" i="8" s="1"/>
  <c r="ER31" i="8"/>
  <c r="ER32" i="8" s="1"/>
  <c r="ER36" i="8" s="1"/>
  <c r="ER38" i="8" s="1"/>
  <c r="KJ22" i="13"/>
  <c r="KJ30" i="13"/>
  <c r="ES27" i="13"/>
  <c r="ES23" i="13" s="1"/>
  <c r="ES31" i="13"/>
  <c r="ES32" i="13" s="1"/>
  <c r="ES36" i="13" s="1"/>
  <c r="ES38" i="13" s="1"/>
  <c r="ES25" i="8" l="1"/>
  <c r="ER24" i="8"/>
  <c r="KK22" i="13"/>
  <c r="KK30" i="13"/>
  <c r="ET25" i="13"/>
  <c r="ES24" i="13"/>
  <c r="ES27" i="8" l="1"/>
  <c r="ES23" i="8" s="1"/>
  <c r="ES31" i="8"/>
  <c r="ES32" i="8" s="1"/>
  <c r="ES36" i="8" s="1"/>
  <c r="ES38" i="8" s="1"/>
  <c r="KL22" i="13"/>
  <c r="KL30" i="13"/>
  <c r="ET27" i="13"/>
  <c r="ET23" i="13" s="1"/>
  <c r="ET31" i="13"/>
  <c r="ET32" i="13" s="1"/>
  <c r="ET36" i="13" s="1"/>
  <c r="ET38" i="13" s="1"/>
  <c r="ET25" i="8" l="1"/>
  <c r="ES24" i="8"/>
  <c r="KM22" i="13"/>
  <c r="KM30" i="13"/>
  <c r="EU25" i="13"/>
  <c r="ET24" i="13"/>
  <c r="ET27" i="8" l="1"/>
  <c r="ET23" i="8" s="1"/>
  <c r="ET31" i="8"/>
  <c r="ET32" i="8" s="1"/>
  <c r="ET36" i="8" s="1"/>
  <c r="ET38" i="8" s="1"/>
  <c r="KN22" i="13"/>
  <c r="KN30" i="13"/>
  <c r="EU27" i="13"/>
  <c r="EU23" i="13" s="1"/>
  <c r="EU31" i="13"/>
  <c r="EU32" i="13" s="1"/>
  <c r="EU36" i="13" s="1"/>
  <c r="EU38" i="13" s="1"/>
  <c r="EU25" i="8" l="1"/>
  <c r="ET24" i="8"/>
  <c r="KO22" i="13"/>
  <c r="KO30" i="13"/>
  <c r="EV25" i="13"/>
  <c r="EU24" i="13"/>
  <c r="EU27" i="8" l="1"/>
  <c r="EU23" i="8" s="1"/>
  <c r="EU31" i="8"/>
  <c r="EU32" i="8" s="1"/>
  <c r="EU36" i="8" s="1"/>
  <c r="EU38" i="8" s="1"/>
  <c r="KP22" i="13"/>
  <c r="KP30" i="13"/>
  <c r="EV27" i="13"/>
  <c r="EV23" i="13" s="1"/>
  <c r="EV31" i="13"/>
  <c r="EV32" i="13" s="1"/>
  <c r="EV36" i="13" s="1"/>
  <c r="EV38" i="13" s="1"/>
  <c r="EV25" i="8" l="1"/>
  <c r="EU24" i="8"/>
  <c r="KQ22" i="13"/>
  <c r="KQ30" i="13"/>
  <c r="EW25" i="13"/>
  <c r="EV24" i="13"/>
  <c r="EV27" i="8" l="1"/>
  <c r="EV23" i="8" s="1"/>
  <c r="EV31" i="8"/>
  <c r="EV32" i="8" s="1"/>
  <c r="EV36" i="8" s="1"/>
  <c r="EV38" i="8" s="1"/>
  <c r="KR22" i="13"/>
  <c r="KR30" i="13"/>
  <c r="EW27" i="13"/>
  <c r="EW23" i="13" s="1"/>
  <c r="EW31" i="13"/>
  <c r="EW32" i="13" s="1"/>
  <c r="EW36" i="13" s="1"/>
  <c r="EW38" i="13" s="1"/>
  <c r="EW25" i="8" l="1"/>
  <c r="EV24" i="8"/>
  <c r="KS22" i="13"/>
  <c r="KS30" i="13"/>
  <c r="EX25" i="13"/>
  <c r="EW24" i="13"/>
  <c r="EW27" i="8" l="1"/>
  <c r="EW23" i="8" s="1"/>
  <c r="EW31" i="8"/>
  <c r="EW32" i="8" s="1"/>
  <c r="EW36" i="8" s="1"/>
  <c r="EW38" i="8" s="1"/>
  <c r="KT22" i="13"/>
  <c r="KT30" i="13"/>
  <c r="EX27" i="13"/>
  <c r="EX23" i="13" s="1"/>
  <c r="EX31" i="13"/>
  <c r="EX32" i="13" s="1"/>
  <c r="EX36" i="13" s="1"/>
  <c r="EX38" i="13" s="1"/>
  <c r="EX25" i="8" l="1"/>
  <c r="EW24" i="8"/>
  <c r="KU22" i="13"/>
  <c r="KU30" i="13"/>
  <c r="EY25" i="13"/>
  <c r="EX24" i="13"/>
  <c r="EX27" i="8" l="1"/>
  <c r="EX23" i="8" s="1"/>
  <c r="EX31" i="8"/>
  <c r="EX32" i="8" s="1"/>
  <c r="EX36" i="8" s="1"/>
  <c r="EX38" i="8" s="1"/>
  <c r="KV22" i="13"/>
  <c r="KV30" i="13"/>
  <c r="EY27" i="13"/>
  <c r="EY23" i="13" s="1"/>
  <c r="EY31" i="13"/>
  <c r="EY32" i="13" s="1"/>
  <c r="EY36" i="13" s="1"/>
  <c r="EY38" i="13" s="1"/>
  <c r="EY25" i="8" l="1"/>
  <c r="EX24" i="8"/>
  <c r="KW22" i="13"/>
  <c r="KW30" i="13"/>
  <c r="EZ25" i="13"/>
  <c r="EY24" i="13"/>
  <c r="EY27" i="8" l="1"/>
  <c r="EY23" i="8" s="1"/>
  <c r="EY31" i="8"/>
  <c r="EY32" i="8" s="1"/>
  <c r="EY36" i="8" s="1"/>
  <c r="EY38" i="8" s="1"/>
  <c r="KX22" i="13"/>
  <c r="KX30" i="13"/>
  <c r="EZ27" i="13"/>
  <c r="EZ23" i="13" s="1"/>
  <c r="EZ31" i="13"/>
  <c r="EZ32" i="13" s="1"/>
  <c r="EZ36" i="13" s="1"/>
  <c r="EZ38" i="13" s="1"/>
  <c r="EZ25" i="8" l="1"/>
  <c r="EY24" i="8"/>
  <c r="KY22" i="13"/>
  <c r="KY30" i="13"/>
  <c r="FA25" i="13"/>
  <c r="EZ24" i="13"/>
  <c r="EZ27" i="8" l="1"/>
  <c r="EZ23" i="8" s="1"/>
  <c r="EZ31" i="8"/>
  <c r="EZ32" i="8" s="1"/>
  <c r="EZ36" i="8" s="1"/>
  <c r="EZ38" i="8" s="1"/>
  <c r="KZ22" i="13"/>
  <c r="KZ30" i="13"/>
  <c r="FA27" i="13"/>
  <c r="FA23" i="13" s="1"/>
  <c r="FA31" i="13"/>
  <c r="FA32" i="13" s="1"/>
  <c r="FA36" i="13" s="1"/>
  <c r="FA38" i="13" s="1"/>
  <c r="FA25" i="8" l="1"/>
  <c r="EZ24" i="8"/>
  <c r="LA22" i="13"/>
  <c r="LA30" i="13"/>
  <c r="FB25" i="13"/>
  <c r="FA24" i="13"/>
  <c r="FA27" i="8" l="1"/>
  <c r="FA23" i="8" s="1"/>
  <c r="FA31" i="8"/>
  <c r="FA32" i="8" s="1"/>
  <c r="FA36" i="8" s="1"/>
  <c r="FA38" i="8" s="1"/>
  <c r="LB22" i="13"/>
  <c r="LB30" i="13"/>
  <c r="FB27" i="13"/>
  <c r="FB23" i="13" s="1"/>
  <c r="FB31" i="13"/>
  <c r="FB32" i="13" s="1"/>
  <c r="FB36" i="13" s="1"/>
  <c r="FB38" i="13" s="1"/>
  <c r="FB25" i="8" l="1"/>
  <c r="FA24" i="8"/>
  <c r="LC22" i="13"/>
  <c r="LC30" i="13"/>
  <c r="FC25" i="13"/>
  <c r="FB24" i="13"/>
  <c r="FB27" i="8" l="1"/>
  <c r="FB23" i="8" s="1"/>
  <c r="FB31" i="8"/>
  <c r="FB32" i="8" s="1"/>
  <c r="FB36" i="8" s="1"/>
  <c r="FB38" i="8" s="1"/>
  <c r="LD22" i="13"/>
  <c r="LD30" i="13"/>
  <c r="FC27" i="13"/>
  <c r="FC23" i="13" s="1"/>
  <c r="FC31" i="13"/>
  <c r="FC32" i="13" s="1"/>
  <c r="FC36" i="13" s="1"/>
  <c r="FC38" i="13" s="1"/>
  <c r="FC25" i="8" l="1"/>
  <c r="FB24" i="8"/>
  <c r="LE22" i="13"/>
  <c r="LE30" i="13"/>
  <c r="FD25" i="13"/>
  <c r="FC24" i="13"/>
  <c r="FC27" i="8" l="1"/>
  <c r="FC23" i="8" s="1"/>
  <c r="FC31" i="8"/>
  <c r="FC32" i="8" s="1"/>
  <c r="FC36" i="8" s="1"/>
  <c r="FC38" i="8" s="1"/>
  <c r="LF22" i="13"/>
  <c r="LF30" i="13"/>
  <c r="FD27" i="13"/>
  <c r="FD23" i="13" s="1"/>
  <c r="FD31" i="13"/>
  <c r="FD32" i="13" s="1"/>
  <c r="FD36" i="13" s="1"/>
  <c r="FD38" i="13" s="1"/>
  <c r="FD25" i="8" l="1"/>
  <c r="FC24" i="8"/>
  <c r="LG22" i="13"/>
  <c r="LG30" i="13"/>
  <c r="FE25" i="13"/>
  <c r="FD24" i="13"/>
  <c r="FD27" i="8" l="1"/>
  <c r="FD23" i="8" s="1"/>
  <c r="FD31" i="8"/>
  <c r="FD32" i="8" s="1"/>
  <c r="FD36" i="8" s="1"/>
  <c r="FD38" i="8" s="1"/>
  <c r="LH22" i="13"/>
  <c r="LH30" i="13"/>
  <c r="FE27" i="13"/>
  <c r="FE23" i="13" s="1"/>
  <c r="FE31" i="13"/>
  <c r="FE32" i="13" s="1"/>
  <c r="FE36" i="13" s="1"/>
  <c r="FE38" i="13" s="1"/>
  <c r="FE25" i="8" l="1"/>
  <c r="FD24" i="8"/>
  <c r="LI22" i="13"/>
  <c r="LI30" i="13"/>
  <c r="FF25" i="13"/>
  <c r="FE24" i="13"/>
  <c r="FE27" i="8" l="1"/>
  <c r="FE23" i="8" s="1"/>
  <c r="FE31" i="8"/>
  <c r="FE32" i="8" s="1"/>
  <c r="FE36" i="8" s="1"/>
  <c r="FE38" i="8" s="1"/>
  <c r="LJ22" i="13"/>
  <c r="LJ30" i="13"/>
  <c r="FF27" i="13"/>
  <c r="FF23" i="13" s="1"/>
  <c r="FF31" i="13"/>
  <c r="FF32" i="13" s="1"/>
  <c r="FF36" i="13" s="1"/>
  <c r="FF38" i="13" s="1"/>
  <c r="FF25" i="8" l="1"/>
  <c r="FE24" i="8"/>
  <c r="LK22" i="13"/>
  <c r="LK30" i="13"/>
  <c r="FG25" i="13"/>
  <c r="FF24" i="13"/>
  <c r="FF27" i="8" l="1"/>
  <c r="FF23" i="8" s="1"/>
  <c r="FF31" i="8"/>
  <c r="FF32" i="8" s="1"/>
  <c r="FF36" i="8" s="1"/>
  <c r="FF38" i="8" s="1"/>
  <c r="LL22" i="13"/>
  <c r="LL30" i="13"/>
  <c r="FG27" i="13"/>
  <c r="FG23" i="13" s="1"/>
  <c r="FG31" i="13"/>
  <c r="FG32" i="13" s="1"/>
  <c r="FG36" i="13" s="1"/>
  <c r="FG38" i="13" s="1"/>
  <c r="FG25" i="8" l="1"/>
  <c r="FF24" i="8"/>
  <c r="LM22" i="13"/>
  <c r="LM30" i="13"/>
  <c r="FH25" i="13"/>
  <c r="FG24" i="13"/>
  <c r="FG27" i="8" l="1"/>
  <c r="FG23" i="8" s="1"/>
  <c r="FG31" i="8"/>
  <c r="FG32" i="8" s="1"/>
  <c r="FG36" i="8" s="1"/>
  <c r="FG38" i="8" s="1"/>
  <c r="LN22" i="13"/>
  <c r="LN30" i="13"/>
  <c r="FH27" i="13"/>
  <c r="FH23" i="13" s="1"/>
  <c r="FH31" i="13"/>
  <c r="FH32" i="13" s="1"/>
  <c r="FH36" i="13" s="1"/>
  <c r="FH38" i="13" s="1"/>
  <c r="FH25" i="8" l="1"/>
  <c r="FG24" i="8"/>
  <c r="LO22" i="13"/>
  <c r="LO30" i="13"/>
  <c r="FI25" i="13"/>
  <c r="FH24" i="13"/>
  <c r="FH27" i="8" l="1"/>
  <c r="FH23" i="8" s="1"/>
  <c r="FH31" i="8"/>
  <c r="FH32" i="8" s="1"/>
  <c r="FH36" i="8" s="1"/>
  <c r="FH38" i="8" s="1"/>
  <c r="LP22" i="13"/>
  <c r="LP30" i="13"/>
  <c r="FI27" i="13"/>
  <c r="FI23" i="13" s="1"/>
  <c r="FI31" i="13"/>
  <c r="FI32" i="13" s="1"/>
  <c r="FI36" i="13" s="1"/>
  <c r="FI38" i="13" s="1"/>
  <c r="FI25" i="8" l="1"/>
  <c r="FH24" i="8"/>
  <c r="LQ22" i="13"/>
  <c r="LQ30" i="13"/>
  <c r="FJ25" i="13"/>
  <c r="FI24" i="13"/>
  <c r="FI27" i="8" l="1"/>
  <c r="FI23" i="8" s="1"/>
  <c r="FI31" i="8"/>
  <c r="FI32" i="8" s="1"/>
  <c r="FI36" i="8" s="1"/>
  <c r="FI38" i="8" s="1"/>
  <c r="LR22" i="13"/>
  <c r="LR30" i="13"/>
  <c r="FJ27" i="13"/>
  <c r="FJ23" i="13" s="1"/>
  <c r="FJ31" i="13"/>
  <c r="FJ32" i="13" s="1"/>
  <c r="FJ36" i="13" s="1"/>
  <c r="FJ38" i="13" s="1"/>
  <c r="FJ25" i="8" l="1"/>
  <c r="FI24" i="8"/>
  <c r="LS22" i="13"/>
  <c r="LS30" i="13"/>
  <c r="FK25" i="13"/>
  <c r="FJ24" i="13"/>
  <c r="FJ27" i="8" l="1"/>
  <c r="FJ23" i="8" s="1"/>
  <c r="FJ31" i="8"/>
  <c r="FJ32" i="8" s="1"/>
  <c r="FJ36" i="8" s="1"/>
  <c r="FJ38" i="8" s="1"/>
  <c r="LT22" i="13"/>
  <c r="LT30" i="13"/>
  <c r="FK27" i="13"/>
  <c r="FK23" i="13" s="1"/>
  <c r="FK31" i="13"/>
  <c r="FK32" i="13" s="1"/>
  <c r="FK36" i="13" s="1"/>
  <c r="FK38" i="13" s="1"/>
  <c r="FK25" i="8" l="1"/>
  <c r="FJ24" i="8"/>
  <c r="LU22" i="13"/>
  <c r="LU30" i="13"/>
  <c r="FL25" i="13"/>
  <c r="FK24" i="13"/>
  <c r="FK27" i="8" l="1"/>
  <c r="FK23" i="8" s="1"/>
  <c r="FK31" i="8"/>
  <c r="FK32" i="8" s="1"/>
  <c r="FK36" i="8" s="1"/>
  <c r="FK38" i="8" s="1"/>
  <c r="LV22" i="13"/>
  <c r="LV30" i="13"/>
  <c r="FL27" i="13"/>
  <c r="FL23" i="13" s="1"/>
  <c r="FL31" i="13"/>
  <c r="FL32" i="13" s="1"/>
  <c r="FL36" i="13" s="1"/>
  <c r="FL38" i="13" s="1"/>
  <c r="FL25" i="8" l="1"/>
  <c r="FK24" i="8"/>
  <c r="LW22" i="13"/>
  <c r="LW30" i="13"/>
  <c r="FM25" i="13"/>
  <c r="FL24" i="13"/>
  <c r="FL27" i="8" l="1"/>
  <c r="FL23" i="8" s="1"/>
  <c r="FL31" i="8"/>
  <c r="FL32" i="8" s="1"/>
  <c r="FL36" i="8" s="1"/>
  <c r="FL38" i="8" s="1"/>
  <c r="LX22" i="13"/>
  <c r="LX30" i="13"/>
  <c r="FM27" i="13"/>
  <c r="FM23" i="13" s="1"/>
  <c r="FM31" i="13"/>
  <c r="FM32" i="13" s="1"/>
  <c r="FM36" i="13" s="1"/>
  <c r="FM38" i="13" s="1"/>
  <c r="FM25" i="8" l="1"/>
  <c r="FL24" i="8"/>
  <c r="LY22" i="13"/>
  <c r="LY30" i="13"/>
  <c r="FN25" i="13"/>
  <c r="FM24" i="13"/>
  <c r="FM27" i="8" l="1"/>
  <c r="FM23" i="8" s="1"/>
  <c r="FM31" i="8"/>
  <c r="FM32" i="8" s="1"/>
  <c r="FM36" i="8" s="1"/>
  <c r="FM38" i="8" s="1"/>
  <c r="LZ22" i="13"/>
  <c r="LZ30" i="13"/>
  <c r="FN27" i="13"/>
  <c r="FN23" i="13" s="1"/>
  <c r="FN31" i="13"/>
  <c r="FN32" i="13" s="1"/>
  <c r="FN36" i="13" s="1"/>
  <c r="FN38" i="13" s="1"/>
  <c r="FN25" i="8" l="1"/>
  <c r="FM24" i="8"/>
  <c r="MA22" i="13"/>
  <c r="MA30" i="13"/>
  <c r="FO25" i="13"/>
  <c r="FN24" i="13"/>
  <c r="FN27" i="8" l="1"/>
  <c r="FN23" i="8" s="1"/>
  <c r="FN31" i="8"/>
  <c r="FN32" i="8" s="1"/>
  <c r="FN36" i="8" s="1"/>
  <c r="FN38" i="8" s="1"/>
  <c r="MB22" i="13"/>
  <c r="MB30" i="13"/>
  <c r="FO27" i="13"/>
  <c r="FO23" i="13" s="1"/>
  <c r="FO31" i="13"/>
  <c r="FO32" i="13" s="1"/>
  <c r="FO36" i="13" s="1"/>
  <c r="FO38" i="13" s="1"/>
  <c r="FO25" i="8" l="1"/>
  <c r="FN24" i="8"/>
  <c r="MC22" i="13"/>
  <c r="MC30" i="13"/>
  <c r="FP25" i="13"/>
  <c r="FO24" i="13"/>
  <c r="FO27" i="8" l="1"/>
  <c r="FO23" i="8" s="1"/>
  <c r="FO31" i="8"/>
  <c r="FO32" i="8" s="1"/>
  <c r="FO36" i="8" s="1"/>
  <c r="FO38" i="8" s="1"/>
  <c r="MD22" i="13"/>
  <c r="MD30" i="13"/>
  <c r="FP27" i="13"/>
  <c r="FP23" i="13" s="1"/>
  <c r="FP31" i="13"/>
  <c r="FP32" i="13" s="1"/>
  <c r="FP36" i="13" s="1"/>
  <c r="FP38" i="13" s="1"/>
  <c r="FP25" i="8" l="1"/>
  <c r="FO24" i="8"/>
  <c r="ME22" i="13"/>
  <c r="ME30" i="13"/>
  <c r="FQ25" i="13"/>
  <c r="FP24" i="13"/>
  <c r="FP27" i="8" l="1"/>
  <c r="FP23" i="8" s="1"/>
  <c r="FP31" i="8"/>
  <c r="FP32" i="8" s="1"/>
  <c r="FP36" i="8" s="1"/>
  <c r="FP38" i="8" s="1"/>
  <c r="MF22" i="13"/>
  <c r="MF30" i="13"/>
  <c r="FQ27" i="13"/>
  <c r="FQ23" i="13" s="1"/>
  <c r="FQ31" i="13"/>
  <c r="FQ32" i="13" s="1"/>
  <c r="FQ36" i="13" s="1"/>
  <c r="FQ38" i="13" s="1"/>
  <c r="FQ25" i="8" l="1"/>
  <c r="FP24" i="8"/>
  <c r="MG22" i="13"/>
  <c r="MG30" i="13"/>
  <c r="FR25" i="13"/>
  <c r="FQ24" i="13"/>
  <c r="FQ27" i="8" l="1"/>
  <c r="FQ23" i="8" s="1"/>
  <c r="FQ31" i="8"/>
  <c r="FQ32" i="8" s="1"/>
  <c r="FQ36" i="8" s="1"/>
  <c r="FQ38" i="8" s="1"/>
  <c r="MH22" i="13"/>
  <c r="MH30" i="13"/>
  <c r="FR27" i="13"/>
  <c r="FR23" i="13" s="1"/>
  <c r="FR31" i="13"/>
  <c r="FR32" i="13" s="1"/>
  <c r="FR36" i="13" s="1"/>
  <c r="FR38" i="13" s="1"/>
  <c r="FR25" i="8" l="1"/>
  <c r="FQ24" i="8"/>
  <c r="MI22" i="13"/>
  <c r="MI30" i="13"/>
  <c r="FS25" i="13"/>
  <c r="FR24" i="13"/>
  <c r="FR27" i="8" l="1"/>
  <c r="FR23" i="8" s="1"/>
  <c r="FR31" i="8"/>
  <c r="FR32" i="8" s="1"/>
  <c r="FR36" i="8" s="1"/>
  <c r="FR38" i="8" s="1"/>
  <c r="MJ22" i="13"/>
  <c r="MJ30" i="13"/>
  <c r="FS27" i="13"/>
  <c r="FS23" i="13" s="1"/>
  <c r="FS31" i="13"/>
  <c r="FS32" i="13" s="1"/>
  <c r="FS36" i="13" s="1"/>
  <c r="FS38" i="13" s="1"/>
  <c r="FS25" i="8" l="1"/>
  <c r="FR24" i="8"/>
  <c r="MK22" i="13"/>
  <c r="MK30" i="13"/>
  <c r="FT25" i="13"/>
  <c r="FS24" i="13"/>
  <c r="FS27" i="8" l="1"/>
  <c r="FS23" i="8" s="1"/>
  <c r="FS31" i="8"/>
  <c r="FS32" i="8" s="1"/>
  <c r="FS36" i="8" s="1"/>
  <c r="FS38" i="8" s="1"/>
  <c r="ML22" i="13"/>
  <c r="ML30" i="13"/>
  <c r="FT27" i="13"/>
  <c r="FT23" i="13" s="1"/>
  <c r="FT31" i="13"/>
  <c r="FT32" i="13" s="1"/>
  <c r="FT36" i="13" s="1"/>
  <c r="FT38" i="13" s="1"/>
  <c r="FT25" i="8" l="1"/>
  <c r="FS24" i="8"/>
  <c r="MM22" i="13"/>
  <c r="MM30" i="13"/>
  <c r="FU25" i="13"/>
  <c r="FT24" i="13"/>
  <c r="FT27" i="8" l="1"/>
  <c r="FT23" i="8" s="1"/>
  <c r="FT31" i="8"/>
  <c r="FT32" i="8" s="1"/>
  <c r="FT36" i="8" s="1"/>
  <c r="FT38" i="8" s="1"/>
  <c r="MN22" i="13"/>
  <c r="MN30" i="13"/>
  <c r="FU27" i="13"/>
  <c r="FU23" i="13" s="1"/>
  <c r="FU31" i="13"/>
  <c r="FU32" i="13" s="1"/>
  <c r="FU36" i="13" s="1"/>
  <c r="FU38" i="13" s="1"/>
  <c r="FU25" i="8" l="1"/>
  <c r="FT24" i="8"/>
  <c r="MO22" i="13"/>
  <c r="MO30" i="13"/>
  <c r="FV25" i="13"/>
  <c r="FU24" i="13"/>
  <c r="FU27" i="8" l="1"/>
  <c r="FU23" i="8" s="1"/>
  <c r="FU31" i="8"/>
  <c r="FU32" i="8" s="1"/>
  <c r="FU36" i="8" s="1"/>
  <c r="FU38" i="8" s="1"/>
  <c r="MP22" i="13"/>
  <c r="MP30" i="13"/>
  <c r="FV27" i="13"/>
  <c r="FV23" i="13" s="1"/>
  <c r="FV31" i="13"/>
  <c r="FV32" i="13" s="1"/>
  <c r="FV36" i="13" s="1"/>
  <c r="FV38" i="13" s="1"/>
  <c r="FV25" i="8" l="1"/>
  <c r="FU24" i="8"/>
  <c r="MQ22" i="13"/>
  <c r="MQ30" i="13"/>
  <c r="FW25" i="13"/>
  <c r="FV24" i="13"/>
  <c r="FV27" i="8" l="1"/>
  <c r="FV23" i="8" s="1"/>
  <c r="FV31" i="8"/>
  <c r="FV32" i="8" s="1"/>
  <c r="FV36" i="8" s="1"/>
  <c r="FV38" i="8" s="1"/>
  <c r="MR22" i="13"/>
  <c r="MR30" i="13"/>
  <c r="FW27" i="13"/>
  <c r="FW23" i="13" s="1"/>
  <c r="FW31" i="13"/>
  <c r="FW32" i="13" s="1"/>
  <c r="FW36" i="13" s="1"/>
  <c r="FW38" i="13" s="1"/>
  <c r="FW25" i="8" l="1"/>
  <c r="FV24" i="8"/>
  <c r="MS22" i="13"/>
  <c r="MS30" i="13"/>
  <c r="FX25" i="13"/>
  <c r="FW24" i="13"/>
  <c r="FW27" i="8" l="1"/>
  <c r="FW23" i="8" s="1"/>
  <c r="FW31" i="8"/>
  <c r="FW32" i="8" s="1"/>
  <c r="FW36" i="8" s="1"/>
  <c r="FW38" i="8" s="1"/>
  <c r="MT22" i="13"/>
  <c r="MT30" i="13"/>
  <c r="FX27" i="13"/>
  <c r="FX23" i="13" s="1"/>
  <c r="FX31" i="13"/>
  <c r="FX32" i="13" s="1"/>
  <c r="FX36" i="13" s="1"/>
  <c r="FX38" i="13" s="1"/>
  <c r="FX25" i="8" l="1"/>
  <c r="FW24" i="8"/>
  <c r="MU22" i="13"/>
  <c r="MU30" i="13"/>
  <c r="FY25" i="13"/>
  <c r="FX24" i="13"/>
  <c r="FX27" i="8" l="1"/>
  <c r="FX23" i="8" s="1"/>
  <c r="FX31" i="8"/>
  <c r="FX32" i="8" s="1"/>
  <c r="FX36" i="8" s="1"/>
  <c r="FX38" i="8" s="1"/>
  <c r="MV22" i="13"/>
  <c r="MV30" i="13"/>
  <c r="FY27" i="13"/>
  <c r="FY23" i="13" s="1"/>
  <c r="FY31" i="13"/>
  <c r="FY32" i="13" s="1"/>
  <c r="FY36" i="13" s="1"/>
  <c r="FY38" i="13" s="1"/>
  <c r="FY25" i="8" l="1"/>
  <c r="FX24" i="8"/>
  <c r="MW22" i="13"/>
  <c r="MW30" i="13"/>
  <c r="FZ25" i="13"/>
  <c r="FY24" i="13"/>
  <c r="FY27" i="8" l="1"/>
  <c r="FY23" i="8" s="1"/>
  <c r="FY31" i="8"/>
  <c r="FY32" i="8" s="1"/>
  <c r="FY36" i="8" s="1"/>
  <c r="FY38" i="8" s="1"/>
  <c r="MX22" i="13"/>
  <c r="MX30" i="13"/>
  <c r="FZ27" i="13"/>
  <c r="FZ23" i="13" s="1"/>
  <c r="FZ31" i="13"/>
  <c r="FZ32" i="13" s="1"/>
  <c r="FZ36" i="13" s="1"/>
  <c r="FZ38" i="13" s="1"/>
  <c r="FZ25" i="8" l="1"/>
  <c r="FY24" i="8"/>
  <c r="GA25" i="13"/>
  <c r="FZ24" i="13"/>
  <c r="FZ27" i="8" l="1"/>
  <c r="FZ23" i="8" s="1"/>
  <c r="FZ31" i="8"/>
  <c r="FZ32" i="8" s="1"/>
  <c r="FZ36" i="8" s="1"/>
  <c r="FZ38" i="8" s="1"/>
  <c r="GA27" i="13"/>
  <c r="GA23" i="13" s="1"/>
  <c r="GA31" i="13"/>
  <c r="GA32" i="13" s="1"/>
  <c r="GA36" i="13" s="1"/>
  <c r="GA38" i="13" s="1"/>
  <c r="GA25" i="8" l="1"/>
  <c r="FZ24" i="8"/>
  <c r="GB25" i="13"/>
  <c r="GA24" i="13"/>
  <c r="GA27" i="8" l="1"/>
  <c r="GA23" i="8" s="1"/>
  <c r="GA31" i="8"/>
  <c r="GA32" i="8" s="1"/>
  <c r="GA36" i="8" s="1"/>
  <c r="GA38" i="8" s="1"/>
  <c r="GB27" i="13"/>
  <c r="GB23" i="13" s="1"/>
  <c r="GB31" i="13"/>
  <c r="GB32" i="13" s="1"/>
  <c r="GB36" i="13" s="1"/>
  <c r="GB38" i="13" s="1"/>
  <c r="GB25" i="8" l="1"/>
  <c r="GA24" i="8"/>
  <c r="GC25" i="13"/>
  <c r="GB24" i="13"/>
  <c r="GB27" i="8" l="1"/>
  <c r="GB23" i="8" s="1"/>
  <c r="GB31" i="8"/>
  <c r="GB32" i="8" s="1"/>
  <c r="GB36" i="8" s="1"/>
  <c r="GB38" i="8" s="1"/>
  <c r="GC27" i="13"/>
  <c r="GC23" i="13" s="1"/>
  <c r="GC31" i="13"/>
  <c r="GC32" i="13" s="1"/>
  <c r="GC36" i="13" s="1"/>
  <c r="GC38" i="13" s="1"/>
  <c r="GC25" i="8" l="1"/>
  <c r="GB24" i="8"/>
  <c r="GD25" i="13"/>
  <c r="GC24" i="13"/>
  <c r="GC27" i="8" l="1"/>
  <c r="GC23" i="8" s="1"/>
  <c r="GC31" i="8"/>
  <c r="GC32" i="8" s="1"/>
  <c r="GC36" i="8" s="1"/>
  <c r="GC38" i="8" s="1"/>
  <c r="GD27" i="13"/>
  <c r="GD23" i="13" s="1"/>
  <c r="GD31" i="13"/>
  <c r="GD32" i="13" s="1"/>
  <c r="GD36" i="13" s="1"/>
  <c r="GD38" i="13" s="1"/>
  <c r="GD25" i="8" l="1"/>
  <c r="GC24" i="8"/>
  <c r="GE25" i="13"/>
  <c r="GD24" i="13"/>
  <c r="GD27" i="8" l="1"/>
  <c r="GD23" i="8" s="1"/>
  <c r="GD31" i="8"/>
  <c r="GD32" i="8" s="1"/>
  <c r="GD36" i="8" s="1"/>
  <c r="GD38" i="8" s="1"/>
  <c r="GE27" i="13"/>
  <c r="GE23" i="13" s="1"/>
  <c r="GE31" i="13"/>
  <c r="GE32" i="13" s="1"/>
  <c r="GE36" i="13" s="1"/>
  <c r="GE38" i="13" s="1"/>
  <c r="GE25" i="8" l="1"/>
  <c r="GD24" i="8"/>
  <c r="GF25" i="13"/>
  <c r="GE24" i="13"/>
  <c r="GE27" i="8" l="1"/>
  <c r="GE23" i="8" s="1"/>
  <c r="GE31" i="8"/>
  <c r="GE32" i="8" s="1"/>
  <c r="GE36" i="8" s="1"/>
  <c r="GE38" i="8" s="1"/>
  <c r="GF27" i="13"/>
  <c r="GF23" i="13" s="1"/>
  <c r="GF31" i="13"/>
  <c r="GF32" i="13" s="1"/>
  <c r="GF36" i="13" s="1"/>
  <c r="GF38" i="13" s="1"/>
  <c r="GF25" i="8" l="1"/>
  <c r="GE24" i="8"/>
  <c r="GG25" i="13"/>
  <c r="GF24" i="13"/>
  <c r="GF27" i="8" l="1"/>
  <c r="GF23" i="8" s="1"/>
  <c r="GF31" i="8"/>
  <c r="GF32" i="8" s="1"/>
  <c r="GF36" i="8" s="1"/>
  <c r="GF38" i="8" s="1"/>
  <c r="GG27" i="13"/>
  <c r="GG23" i="13" s="1"/>
  <c r="GG31" i="13"/>
  <c r="GG32" i="13" s="1"/>
  <c r="GG36" i="13" s="1"/>
  <c r="GG38" i="13" s="1"/>
  <c r="GG25" i="8" l="1"/>
  <c r="GF24" i="8"/>
  <c r="GH25" i="13"/>
  <c r="GG24" i="13"/>
  <c r="GG27" i="8" l="1"/>
  <c r="GG23" i="8" s="1"/>
  <c r="GG31" i="8"/>
  <c r="GG32" i="8" s="1"/>
  <c r="GG36" i="8" s="1"/>
  <c r="GG38" i="8" s="1"/>
  <c r="GH27" i="13"/>
  <c r="GH23" i="13" s="1"/>
  <c r="GH31" i="13"/>
  <c r="GH32" i="13" s="1"/>
  <c r="GH36" i="13" s="1"/>
  <c r="GH38" i="13" s="1"/>
  <c r="GH25" i="8" l="1"/>
  <c r="GG24" i="8"/>
  <c r="GI25" i="13"/>
  <c r="GH24" i="13"/>
  <c r="GH27" i="8" l="1"/>
  <c r="GH23" i="8" s="1"/>
  <c r="GH31" i="8"/>
  <c r="GH32" i="8" s="1"/>
  <c r="GH36" i="8" s="1"/>
  <c r="GH38" i="8" s="1"/>
  <c r="GI27" i="13"/>
  <c r="GI23" i="13" s="1"/>
  <c r="GI31" i="13"/>
  <c r="GI32" i="13" s="1"/>
  <c r="GI36" i="13" s="1"/>
  <c r="GI38" i="13" s="1"/>
  <c r="GI25" i="8" l="1"/>
  <c r="GH24" i="8"/>
  <c r="GJ25" i="13"/>
  <c r="GI24" i="13"/>
  <c r="GI27" i="8" l="1"/>
  <c r="GI23" i="8" s="1"/>
  <c r="GI31" i="8"/>
  <c r="GI32" i="8" s="1"/>
  <c r="GI36" i="8" s="1"/>
  <c r="GI38" i="8" s="1"/>
  <c r="GJ27" i="13"/>
  <c r="GJ23" i="13" s="1"/>
  <c r="GJ31" i="13"/>
  <c r="GJ32" i="13" s="1"/>
  <c r="GJ36" i="13" s="1"/>
  <c r="GJ38" i="13" s="1"/>
  <c r="GJ25" i="8" l="1"/>
  <c r="GI24" i="8"/>
  <c r="GK25" i="13"/>
  <c r="GJ24" i="13"/>
  <c r="GJ27" i="8" l="1"/>
  <c r="GJ23" i="8" s="1"/>
  <c r="GJ31" i="8"/>
  <c r="GJ32" i="8" s="1"/>
  <c r="GJ36" i="8" s="1"/>
  <c r="GJ38" i="8" s="1"/>
  <c r="GK27" i="13"/>
  <c r="GK23" i="13" s="1"/>
  <c r="GK31" i="13"/>
  <c r="GK32" i="13" s="1"/>
  <c r="GK36" i="13" s="1"/>
  <c r="GK38" i="13" s="1"/>
  <c r="GK25" i="8" l="1"/>
  <c r="GJ24" i="8"/>
  <c r="GL25" i="13"/>
  <c r="GK24" i="13"/>
  <c r="GK27" i="8" l="1"/>
  <c r="GK23" i="8" s="1"/>
  <c r="GK31" i="8"/>
  <c r="GK32" i="8" s="1"/>
  <c r="GK36" i="8" s="1"/>
  <c r="GK38" i="8" s="1"/>
  <c r="GL27" i="13"/>
  <c r="GL23" i="13" s="1"/>
  <c r="GL31" i="13"/>
  <c r="GL32" i="13" s="1"/>
  <c r="GL36" i="13" s="1"/>
  <c r="GL38" i="13" s="1"/>
  <c r="GL25" i="8" l="1"/>
  <c r="GK24" i="8"/>
  <c r="GM25" i="13"/>
  <c r="GL24" i="13"/>
  <c r="GL27" i="8" l="1"/>
  <c r="GL23" i="8" s="1"/>
  <c r="GL31" i="8"/>
  <c r="GL32" i="8" s="1"/>
  <c r="GL36" i="8" s="1"/>
  <c r="GL38" i="8" s="1"/>
  <c r="GM27" i="13"/>
  <c r="GM23" i="13" s="1"/>
  <c r="GM31" i="13"/>
  <c r="GM32" i="13" s="1"/>
  <c r="GM36" i="13" s="1"/>
  <c r="GM38" i="13" s="1"/>
  <c r="GM25" i="8" l="1"/>
  <c r="GL24" i="8"/>
  <c r="GN25" i="13"/>
  <c r="GM24" i="13"/>
  <c r="GM27" i="8" l="1"/>
  <c r="GM23" i="8" s="1"/>
  <c r="GM31" i="8"/>
  <c r="GM32" i="8" s="1"/>
  <c r="GM36" i="8" s="1"/>
  <c r="GM38" i="8" s="1"/>
  <c r="GN27" i="13"/>
  <c r="GN23" i="13" s="1"/>
  <c r="GN31" i="13"/>
  <c r="GN32" i="13" s="1"/>
  <c r="GN36" i="13" s="1"/>
  <c r="GN38" i="13" s="1"/>
  <c r="GN25" i="8" l="1"/>
  <c r="GM24" i="8"/>
  <c r="GO25" i="13"/>
  <c r="GN24" i="13"/>
  <c r="GN27" i="8" l="1"/>
  <c r="GN23" i="8" s="1"/>
  <c r="GN31" i="8"/>
  <c r="GN32" i="8" s="1"/>
  <c r="GN36" i="8" s="1"/>
  <c r="GN38" i="8" s="1"/>
  <c r="GO27" i="13"/>
  <c r="GO23" i="13" s="1"/>
  <c r="GO31" i="13"/>
  <c r="GO32" i="13" s="1"/>
  <c r="GO36" i="13" s="1"/>
  <c r="GO38" i="13" s="1"/>
  <c r="GO25" i="8" l="1"/>
  <c r="GN24" i="8"/>
  <c r="GP25" i="13"/>
  <c r="GO24" i="13"/>
  <c r="GO27" i="8" l="1"/>
  <c r="GO23" i="8" s="1"/>
  <c r="GO31" i="8"/>
  <c r="GO32" i="8" s="1"/>
  <c r="GO36" i="8" s="1"/>
  <c r="GO38" i="8" s="1"/>
  <c r="GP27" i="13"/>
  <c r="GP23" i="13" s="1"/>
  <c r="GP31" i="13"/>
  <c r="GP32" i="13" s="1"/>
  <c r="GP36" i="13" s="1"/>
  <c r="GP38" i="13" s="1"/>
  <c r="GP25" i="8" l="1"/>
  <c r="GO24" i="8"/>
  <c r="GQ25" i="13"/>
  <c r="GP24" i="13"/>
  <c r="GP27" i="8" l="1"/>
  <c r="GP23" i="8" s="1"/>
  <c r="GP31" i="8"/>
  <c r="GP32" i="8" s="1"/>
  <c r="GP36" i="8" s="1"/>
  <c r="GP38" i="8" s="1"/>
  <c r="GQ27" i="13"/>
  <c r="GQ23" i="13" s="1"/>
  <c r="GQ31" i="13"/>
  <c r="GQ32" i="13" s="1"/>
  <c r="GQ36" i="13" s="1"/>
  <c r="GQ38" i="13" s="1"/>
  <c r="GQ25" i="8" l="1"/>
  <c r="GP24" i="8"/>
  <c r="GR25" i="13"/>
  <c r="GQ24" i="13"/>
  <c r="GQ27" i="8" l="1"/>
  <c r="GQ23" i="8" s="1"/>
  <c r="GQ31" i="8"/>
  <c r="GQ32" i="8" s="1"/>
  <c r="GQ36" i="8" s="1"/>
  <c r="GQ38" i="8" s="1"/>
  <c r="GR27" i="13"/>
  <c r="GR23" i="13" s="1"/>
  <c r="GR31" i="13"/>
  <c r="GR32" i="13" s="1"/>
  <c r="GR36" i="13" s="1"/>
  <c r="GR38" i="13" s="1"/>
  <c r="GR25" i="8" l="1"/>
  <c r="GQ24" i="8"/>
  <c r="GS25" i="13"/>
  <c r="GR24" i="13"/>
  <c r="GR27" i="8" l="1"/>
  <c r="GR23" i="8" s="1"/>
  <c r="GR31" i="8"/>
  <c r="GR32" i="8" s="1"/>
  <c r="GR36" i="8" s="1"/>
  <c r="GR38" i="8" s="1"/>
  <c r="GS27" i="13"/>
  <c r="GS23" i="13" s="1"/>
  <c r="GS31" i="13"/>
  <c r="GS32" i="13" s="1"/>
  <c r="GS36" i="13" s="1"/>
  <c r="GS38" i="13" s="1"/>
  <c r="GS25" i="8" l="1"/>
  <c r="GR24" i="8"/>
  <c r="GT25" i="13"/>
  <c r="GS24" i="13"/>
  <c r="GS27" i="8" l="1"/>
  <c r="GS23" i="8" s="1"/>
  <c r="GS31" i="8"/>
  <c r="GS32" i="8" s="1"/>
  <c r="GS36" i="8" s="1"/>
  <c r="GS38" i="8" s="1"/>
  <c r="GT27" i="13"/>
  <c r="GT23" i="13" s="1"/>
  <c r="GT31" i="13"/>
  <c r="GT32" i="13" s="1"/>
  <c r="GT36" i="13" s="1"/>
  <c r="GT38" i="13" s="1"/>
  <c r="GT25" i="8" l="1"/>
  <c r="GS24" i="8"/>
  <c r="GU25" i="13"/>
  <c r="GT24" i="13"/>
  <c r="GT27" i="8" l="1"/>
  <c r="GT23" i="8" s="1"/>
  <c r="GT31" i="8"/>
  <c r="GT32" i="8" s="1"/>
  <c r="GT36" i="8" s="1"/>
  <c r="GT38" i="8" s="1"/>
  <c r="GU27" i="13"/>
  <c r="GU23" i="13" s="1"/>
  <c r="GU31" i="13"/>
  <c r="GU32" i="13" s="1"/>
  <c r="GU36" i="13" s="1"/>
  <c r="GU38" i="13" s="1"/>
  <c r="GU25" i="8" l="1"/>
  <c r="GT24" i="8"/>
  <c r="GV25" i="13"/>
  <c r="GU24" i="13"/>
  <c r="GU27" i="8" l="1"/>
  <c r="GU23" i="8" s="1"/>
  <c r="GU31" i="8"/>
  <c r="GU32" i="8" s="1"/>
  <c r="GU36" i="8" s="1"/>
  <c r="GU38" i="8" s="1"/>
  <c r="GV27" i="13"/>
  <c r="GV23" i="13" s="1"/>
  <c r="GV31" i="13"/>
  <c r="GV32" i="13" s="1"/>
  <c r="GV36" i="13" s="1"/>
  <c r="GV38" i="13" s="1"/>
  <c r="GV25" i="8" l="1"/>
  <c r="GU24" i="8"/>
  <c r="GW25" i="13"/>
  <c r="GV24" i="13"/>
  <c r="GV27" i="8" l="1"/>
  <c r="GV23" i="8" s="1"/>
  <c r="GV31" i="8"/>
  <c r="GV32" i="8" s="1"/>
  <c r="GV36" i="8" s="1"/>
  <c r="GV38" i="8" s="1"/>
  <c r="GW27" i="13"/>
  <c r="GW23" i="13" s="1"/>
  <c r="GW31" i="13"/>
  <c r="GW32" i="13" s="1"/>
  <c r="GW36" i="13" s="1"/>
  <c r="GW38" i="13" s="1"/>
  <c r="GW25" i="8" l="1"/>
  <c r="GV24" i="8"/>
  <c r="GX25" i="13"/>
  <c r="GW24" i="13"/>
  <c r="GW27" i="8" l="1"/>
  <c r="GW23" i="8" s="1"/>
  <c r="GW31" i="8"/>
  <c r="GW32" i="8" s="1"/>
  <c r="GW36" i="8" s="1"/>
  <c r="GW38" i="8" s="1"/>
  <c r="GX27" i="13"/>
  <c r="GX23" i="13" s="1"/>
  <c r="GX31" i="13"/>
  <c r="GX32" i="13" s="1"/>
  <c r="GX36" i="13" s="1"/>
  <c r="GX38" i="13" s="1"/>
  <c r="GX25" i="8" l="1"/>
  <c r="GW24" i="8"/>
  <c r="GY25" i="13"/>
  <c r="GX24" i="13"/>
  <c r="GX27" i="8" l="1"/>
  <c r="GX23" i="8" s="1"/>
  <c r="GX31" i="8"/>
  <c r="GX32" i="8" s="1"/>
  <c r="GX36" i="8" s="1"/>
  <c r="GX38" i="8" s="1"/>
  <c r="GY27" i="13"/>
  <c r="GY23" i="13" s="1"/>
  <c r="GY31" i="13"/>
  <c r="GY32" i="13" s="1"/>
  <c r="GY36" i="13" s="1"/>
  <c r="GY38" i="13" s="1"/>
  <c r="GY25" i="8" l="1"/>
  <c r="GX24" i="8"/>
  <c r="GZ25" i="13"/>
  <c r="GY24" i="13"/>
  <c r="GY27" i="8" l="1"/>
  <c r="GY23" i="8" s="1"/>
  <c r="GY31" i="8"/>
  <c r="GY32" i="8" s="1"/>
  <c r="GY36" i="8" s="1"/>
  <c r="GY38" i="8" s="1"/>
  <c r="GZ27" i="13"/>
  <c r="GZ23" i="13" s="1"/>
  <c r="GZ31" i="13"/>
  <c r="GZ32" i="13" s="1"/>
  <c r="GZ36" i="13" s="1"/>
  <c r="GZ38" i="13" s="1"/>
  <c r="GZ25" i="8" l="1"/>
  <c r="GY24" i="8"/>
  <c r="HA25" i="13"/>
  <c r="GZ24" i="13"/>
  <c r="GZ27" i="8" l="1"/>
  <c r="GZ23" i="8" s="1"/>
  <c r="GZ31" i="8"/>
  <c r="GZ32" i="8" s="1"/>
  <c r="GZ36" i="8" s="1"/>
  <c r="GZ38" i="8" s="1"/>
  <c r="HA27" i="13"/>
  <c r="HA23" i="13" s="1"/>
  <c r="HA31" i="13"/>
  <c r="HA32" i="13" s="1"/>
  <c r="HA36" i="13" s="1"/>
  <c r="HA38" i="13" s="1"/>
  <c r="HA25" i="8" l="1"/>
  <c r="GZ24" i="8"/>
  <c r="HB25" i="13"/>
  <c r="HA24" i="13"/>
  <c r="HA27" i="8" l="1"/>
  <c r="HA23" i="8" s="1"/>
  <c r="HA31" i="8"/>
  <c r="HA32" i="8" s="1"/>
  <c r="HA36" i="8" s="1"/>
  <c r="HA38" i="8" s="1"/>
  <c r="HB27" i="13"/>
  <c r="HB23" i="13" s="1"/>
  <c r="HB31" i="13"/>
  <c r="HB32" i="13" s="1"/>
  <c r="HB36" i="13" s="1"/>
  <c r="HB38" i="13" s="1"/>
  <c r="HB25" i="8" l="1"/>
  <c r="HA24" i="8"/>
  <c r="HC25" i="13"/>
  <c r="HB24" i="13"/>
  <c r="HB27" i="8" l="1"/>
  <c r="HB23" i="8" s="1"/>
  <c r="HB31" i="8"/>
  <c r="HB32" i="8" s="1"/>
  <c r="HB36" i="8" s="1"/>
  <c r="HB38" i="8" s="1"/>
  <c r="HC27" i="13"/>
  <c r="HC23" i="13" s="1"/>
  <c r="HC31" i="13"/>
  <c r="HC32" i="13" s="1"/>
  <c r="HC36" i="13" s="1"/>
  <c r="HC38" i="13" s="1"/>
  <c r="HC25" i="8" l="1"/>
  <c r="HB24" i="8"/>
  <c r="HD25" i="13"/>
  <c r="HC24" i="13"/>
  <c r="HC27" i="8" l="1"/>
  <c r="HC23" i="8" s="1"/>
  <c r="HC31" i="8"/>
  <c r="HC32" i="8" s="1"/>
  <c r="HC36" i="8" s="1"/>
  <c r="HC38" i="8" s="1"/>
  <c r="HD27" i="13"/>
  <c r="HD23" i="13" s="1"/>
  <c r="HD31" i="13"/>
  <c r="HD32" i="13" s="1"/>
  <c r="HD36" i="13" s="1"/>
  <c r="HD38" i="13" s="1"/>
  <c r="HD25" i="8" l="1"/>
  <c r="HC24" i="8"/>
  <c r="HE25" i="13"/>
  <c r="HD24" i="13"/>
  <c r="HD27" i="8" l="1"/>
  <c r="HD23" i="8" s="1"/>
  <c r="HD31" i="8"/>
  <c r="HD32" i="8" s="1"/>
  <c r="HD36" i="8" s="1"/>
  <c r="HD38" i="8" s="1"/>
  <c r="HE27" i="13"/>
  <c r="HE23" i="13" s="1"/>
  <c r="HE31" i="13"/>
  <c r="HE32" i="13" s="1"/>
  <c r="HE36" i="13" s="1"/>
  <c r="HE38" i="13" s="1"/>
  <c r="HE25" i="8" l="1"/>
  <c r="HD24" i="8"/>
  <c r="HF25" i="13"/>
  <c r="HE24" i="13"/>
  <c r="HE27" i="8" l="1"/>
  <c r="HE23" i="8" s="1"/>
  <c r="HE31" i="8"/>
  <c r="HE32" i="8" s="1"/>
  <c r="HE36" i="8" s="1"/>
  <c r="HE38" i="8" s="1"/>
  <c r="HF27" i="13"/>
  <c r="HF23" i="13" s="1"/>
  <c r="HF31" i="13"/>
  <c r="HF32" i="13" s="1"/>
  <c r="HF36" i="13" s="1"/>
  <c r="HF38" i="13" s="1"/>
  <c r="HF25" i="8" l="1"/>
  <c r="HE24" i="8"/>
  <c r="HG25" i="13"/>
  <c r="HF24" i="13"/>
  <c r="HF27" i="8" l="1"/>
  <c r="HF23" i="8" s="1"/>
  <c r="HF31" i="8"/>
  <c r="HF32" i="8" s="1"/>
  <c r="HF36" i="8" s="1"/>
  <c r="HF38" i="8" s="1"/>
  <c r="HG27" i="13"/>
  <c r="HG23" i="13" s="1"/>
  <c r="HG31" i="13"/>
  <c r="HG32" i="13" s="1"/>
  <c r="HG36" i="13" s="1"/>
  <c r="HG38" i="13" s="1"/>
  <c r="HG25" i="8" l="1"/>
  <c r="HF24" i="8"/>
  <c r="HH25" i="13"/>
  <c r="HG24" i="13"/>
  <c r="HG27" i="8" l="1"/>
  <c r="HG23" i="8" s="1"/>
  <c r="HG31" i="8"/>
  <c r="HG32" i="8" s="1"/>
  <c r="HG36" i="8" s="1"/>
  <c r="HG38" i="8" s="1"/>
  <c r="HH27" i="13"/>
  <c r="HH23" i="13" s="1"/>
  <c r="HH31" i="13"/>
  <c r="HH32" i="13" s="1"/>
  <c r="HH36" i="13" s="1"/>
  <c r="HH38" i="13" s="1"/>
  <c r="HH25" i="8" l="1"/>
  <c r="HG24" i="8"/>
  <c r="HI25" i="13"/>
  <c r="HH24" i="13"/>
  <c r="HH27" i="8" l="1"/>
  <c r="HH23" i="8" s="1"/>
  <c r="HH31" i="8"/>
  <c r="HH32" i="8" s="1"/>
  <c r="HH36" i="8" s="1"/>
  <c r="HH38" i="8" s="1"/>
  <c r="HI27" i="13"/>
  <c r="HI23" i="13" s="1"/>
  <c r="HI31" i="13"/>
  <c r="HI32" i="13" s="1"/>
  <c r="HI36" i="13" s="1"/>
  <c r="HI38" i="13" s="1"/>
  <c r="HI25" i="8" l="1"/>
  <c r="HH24" i="8"/>
  <c r="HJ25" i="13"/>
  <c r="HI24" i="13"/>
  <c r="HI27" i="8" l="1"/>
  <c r="HI23" i="8" s="1"/>
  <c r="HI31" i="8"/>
  <c r="HI32" i="8" s="1"/>
  <c r="HI36" i="8" s="1"/>
  <c r="HI38" i="8" s="1"/>
  <c r="HJ27" i="13"/>
  <c r="HJ23" i="13" s="1"/>
  <c r="HJ31" i="13"/>
  <c r="HJ32" i="13" s="1"/>
  <c r="HJ36" i="13" s="1"/>
  <c r="HJ38" i="13" s="1"/>
  <c r="HJ25" i="8" l="1"/>
  <c r="HI24" i="8"/>
  <c r="HK25" i="13"/>
  <c r="HJ24" i="13"/>
  <c r="HJ27" i="8" l="1"/>
  <c r="HJ23" i="8" s="1"/>
  <c r="HJ31" i="8"/>
  <c r="HJ32" i="8" s="1"/>
  <c r="HJ36" i="8" s="1"/>
  <c r="HJ38" i="8" s="1"/>
  <c r="HK27" i="13"/>
  <c r="HK23" i="13" s="1"/>
  <c r="HK31" i="13"/>
  <c r="HK32" i="13" s="1"/>
  <c r="HK36" i="13" s="1"/>
  <c r="HK38" i="13" s="1"/>
  <c r="HK25" i="8" l="1"/>
  <c r="HJ24" i="8"/>
  <c r="HL25" i="13"/>
  <c r="HK24" i="13"/>
  <c r="HK27" i="8" l="1"/>
  <c r="HK23" i="8" s="1"/>
  <c r="HK31" i="8"/>
  <c r="HK32" i="8" s="1"/>
  <c r="HK36" i="8" s="1"/>
  <c r="HK38" i="8" s="1"/>
  <c r="HL27" i="13"/>
  <c r="HL23" i="13" s="1"/>
  <c r="HL31" i="13"/>
  <c r="HL32" i="13" s="1"/>
  <c r="HL36" i="13" s="1"/>
  <c r="HL38" i="13" s="1"/>
  <c r="HL25" i="8" l="1"/>
  <c r="HK24" i="8"/>
  <c r="HM25" i="13"/>
  <c r="HL24" i="13"/>
  <c r="HL27" i="8" l="1"/>
  <c r="HL23" i="8" s="1"/>
  <c r="HL31" i="8"/>
  <c r="HL32" i="8" s="1"/>
  <c r="HL36" i="8" s="1"/>
  <c r="HL38" i="8" s="1"/>
  <c r="HM27" i="13"/>
  <c r="HM23" i="13" s="1"/>
  <c r="HM31" i="13"/>
  <c r="HM32" i="13" s="1"/>
  <c r="HM36" i="13" s="1"/>
  <c r="HM38" i="13" s="1"/>
  <c r="HM25" i="8" l="1"/>
  <c r="HL24" i="8"/>
  <c r="HN25" i="13"/>
  <c r="HM24" i="13"/>
  <c r="HM27" i="8" l="1"/>
  <c r="HM23" i="8" s="1"/>
  <c r="HM31" i="8"/>
  <c r="HM32" i="8" s="1"/>
  <c r="HM36" i="8" s="1"/>
  <c r="HM38" i="8" s="1"/>
  <c r="HN27" i="13"/>
  <c r="HN23" i="13" s="1"/>
  <c r="HN31" i="13"/>
  <c r="HN32" i="13" s="1"/>
  <c r="HN36" i="13" s="1"/>
  <c r="HN38" i="13" s="1"/>
  <c r="HN25" i="8" l="1"/>
  <c r="HM24" i="8"/>
  <c r="HO25" i="13"/>
  <c r="HN24" i="13"/>
  <c r="HN27" i="8" l="1"/>
  <c r="HN23" i="8" s="1"/>
  <c r="HN31" i="8"/>
  <c r="HN32" i="8" s="1"/>
  <c r="HN36" i="8" s="1"/>
  <c r="HN38" i="8" s="1"/>
  <c r="HO27" i="13"/>
  <c r="HO23" i="13" s="1"/>
  <c r="HO31" i="13"/>
  <c r="HO32" i="13" s="1"/>
  <c r="HO36" i="13" s="1"/>
  <c r="HO38" i="13" s="1"/>
  <c r="HO25" i="8" l="1"/>
  <c r="HN24" i="8"/>
  <c r="HP25" i="13"/>
  <c r="HO24" i="13"/>
  <c r="HO27" i="8" l="1"/>
  <c r="HO23" i="8" s="1"/>
  <c r="HO31" i="8"/>
  <c r="HO32" i="8" s="1"/>
  <c r="HO36" i="8" s="1"/>
  <c r="HO38" i="8" s="1"/>
  <c r="HP27" i="13"/>
  <c r="HP23" i="13" s="1"/>
  <c r="HP31" i="13"/>
  <c r="HP32" i="13" s="1"/>
  <c r="HP36" i="13" s="1"/>
  <c r="HP38" i="13" s="1"/>
  <c r="HP25" i="8" l="1"/>
  <c r="HO24" i="8"/>
  <c r="HQ25" i="13"/>
  <c r="HP24" i="13"/>
  <c r="HP27" i="8" l="1"/>
  <c r="HP23" i="8" s="1"/>
  <c r="HP31" i="8"/>
  <c r="HP32" i="8" s="1"/>
  <c r="HP36" i="8" s="1"/>
  <c r="HP38" i="8" s="1"/>
  <c r="HQ27" i="13"/>
  <c r="HQ23" i="13" s="1"/>
  <c r="HQ31" i="13"/>
  <c r="HQ32" i="13" s="1"/>
  <c r="HQ36" i="13" s="1"/>
  <c r="HQ38" i="13" s="1"/>
  <c r="HQ25" i="8" l="1"/>
  <c r="HP24" i="8"/>
  <c r="HR25" i="13"/>
  <c r="HQ24" i="13"/>
  <c r="HQ27" i="8" l="1"/>
  <c r="HQ23" i="8" s="1"/>
  <c r="HQ31" i="8"/>
  <c r="HQ32" i="8" s="1"/>
  <c r="HQ36" i="8" s="1"/>
  <c r="HQ38" i="8" s="1"/>
  <c r="HR27" i="13"/>
  <c r="HR23" i="13" s="1"/>
  <c r="HR31" i="13"/>
  <c r="HR32" i="13" s="1"/>
  <c r="HR36" i="13" s="1"/>
  <c r="HR38" i="13" s="1"/>
  <c r="HR25" i="8" l="1"/>
  <c r="HQ24" i="8"/>
  <c r="HS25" i="13"/>
  <c r="HR24" i="13"/>
  <c r="HR27" i="8" l="1"/>
  <c r="HR23" i="8" s="1"/>
  <c r="HR31" i="8"/>
  <c r="HR32" i="8" s="1"/>
  <c r="HR36" i="8" s="1"/>
  <c r="HR38" i="8" s="1"/>
  <c r="HS27" i="13"/>
  <c r="HS23" i="13" s="1"/>
  <c r="HS31" i="13"/>
  <c r="HS32" i="13" s="1"/>
  <c r="HS36" i="13" s="1"/>
  <c r="HS38" i="13" s="1"/>
  <c r="HS25" i="8" l="1"/>
  <c r="HR24" i="8"/>
  <c r="HT25" i="13"/>
  <c r="HS24" i="13"/>
  <c r="HS27" i="8" l="1"/>
  <c r="HS23" i="8" s="1"/>
  <c r="HS31" i="8"/>
  <c r="HS32" i="8" s="1"/>
  <c r="HS36" i="8" s="1"/>
  <c r="HS38" i="8" s="1"/>
  <c r="HT27" i="13"/>
  <c r="HT23" i="13" s="1"/>
  <c r="HT31" i="13"/>
  <c r="HT32" i="13" s="1"/>
  <c r="HT36" i="13" s="1"/>
  <c r="HT38" i="13" s="1"/>
  <c r="HT25" i="8" l="1"/>
  <c r="HS24" i="8"/>
  <c r="HU25" i="13"/>
  <c r="HT24" i="13"/>
  <c r="HT27" i="8" l="1"/>
  <c r="HT23" i="8" s="1"/>
  <c r="HT31" i="8"/>
  <c r="HT32" i="8" s="1"/>
  <c r="HT36" i="8" s="1"/>
  <c r="HT38" i="8" s="1"/>
  <c r="HU27" i="13"/>
  <c r="HU23" i="13" s="1"/>
  <c r="HU31" i="13"/>
  <c r="HU32" i="13" s="1"/>
  <c r="HU36" i="13" s="1"/>
  <c r="HU38" i="13" s="1"/>
  <c r="HU25" i="8" l="1"/>
  <c r="HT24" i="8"/>
  <c r="HV25" i="13"/>
  <c r="HU24" i="13"/>
  <c r="HU27" i="8" l="1"/>
  <c r="HU23" i="8" s="1"/>
  <c r="HU31" i="8"/>
  <c r="HU32" i="8" s="1"/>
  <c r="HU36" i="8" s="1"/>
  <c r="HU38" i="8" s="1"/>
  <c r="HV27" i="13"/>
  <c r="HV23" i="13" s="1"/>
  <c r="HV31" i="13"/>
  <c r="HV32" i="13" s="1"/>
  <c r="HV36" i="13" s="1"/>
  <c r="HV38" i="13" s="1"/>
  <c r="HV25" i="8" l="1"/>
  <c r="HU24" i="8"/>
  <c r="HW25" i="13"/>
  <c r="HV24" i="13"/>
  <c r="HV27" i="8" l="1"/>
  <c r="HV23" i="8" s="1"/>
  <c r="HV31" i="8"/>
  <c r="HV32" i="8" s="1"/>
  <c r="HV36" i="8" s="1"/>
  <c r="HV38" i="8" s="1"/>
  <c r="HW27" i="13"/>
  <c r="HW23" i="13" s="1"/>
  <c r="HW31" i="13"/>
  <c r="HW32" i="13" s="1"/>
  <c r="HW36" i="13" s="1"/>
  <c r="HW38" i="13" s="1"/>
  <c r="HW25" i="8" l="1"/>
  <c r="HV24" i="8"/>
  <c r="HX25" i="13"/>
  <c r="HW24" i="13"/>
  <c r="HW27" i="8" l="1"/>
  <c r="HW23" i="8" s="1"/>
  <c r="HW31" i="8"/>
  <c r="HW32" i="8" s="1"/>
  <c r="HW36" i="8" s="1"/>
  <c r="HW38" i="8" s="1"/>
  <c r="HX27" i="13"/>
  <c r="HX23" i="13" s="1"/>
  <c r="HX31" i="13"/>
  <c r="HX32" i="13" s="1"/>
  <c r="HX36" i="13" s="1"/>
  <c r="HX38" i="13" s="1"/>
  <c r="HX25" i="8" l="1"/>
  <c r="HW24" i="8"/>
  <c r="HY25" i="13"/>
  <c r="HX24" i="13"/>
  <c r="HX27" i="8" l="1"/>
  <c r="HX23" i="8" s="1"/>
  <c r="HX31" i="8"/>
  <c r="HX32" i="8" s="1"/>
  <c r="HX36" i="8" s="1"/>
  <c r="HX38" i="8" s="1"/>
  <c r="HY27" i="13"/>
  <c r="HY23" i="13" s="1"/>
  <c r="HY31" i="13"/>
  <c r="HY32" i="13" s="1"/>
  <c r="HY36" i="13" s="1"/>
  <c r="HY38" i="13" s="1"/>
  <c r="HY25" i="8" l="1"/>
  <c r="HX24" i="8"/>
  <c r="HZ25" i="13"/>
  <c r="HY24" i="13"/>
  <c r="HY27" i="8" l="1"/>
  <c r="HY23" i="8" s="1"/>
  <c r="HY31" i="8"/>
  <c r="HY32" i="8" s="1"/>
  <c r="HY36" i="8" s="1"/>
  <c r="HY38" i="8" s="1"/>
  <c r="HZ27" i="13"/>
  <c r="HZ23" i="13" s="1"/>
  <c r="HZ31" i="13"/>
  <c r="HZ32" i="13" s="1"/>
  <c r="HZ36" i="13" s="1"/>
  <c r="HZ38" i="13" s="1"/>
  <c r="HZ25" i="8" l="1"/>
  <c r="HY24" i="8"/>
  <c r="IA25" i="13"/>
  <c r="HZ24" i="13"/>
  <c r="HZ27" i="8" l="1"/>
  <c r="HZ23" i="8" s="1"/>
  <c r="HZ31" i="8"/>
  <c r="HZ32" i="8" s="1"/>
  <c r="HZ36" i="8" s="1"/>
  <c r="HZ38" i="8" s="1"/>
  <c r="IA27" i="13"/>
  <c r="IA23" i="13" s="1"/>
  <c r="IA31" i="13"/>
  <c r="IA32" i="13" s="1"/>
  <c r="IA36" i="13" s="1"/>
  <c r="IA38" i="13" s="1"/>
  <c r="IA25" i="8" l="1"/>
  <c r="HZ24" i="8"/>
  <c r="IB25" i="13"/>
  <c r="IA24" i="13"/>
  <c r="IA27" i="8" l="1"/>
  <c r="IA23" i="8" s="1"/>
  <c r="IA31" i="8"/>
  <c r="IA32" i="8" s="1"/>
  <c r="IA36" i="8" s="1"/>
  <c r="IA38" i="8" s="1"/>
  <c r="IB27" i="13"/>
  <c r="IB23" i="13" s="1"/>
  <c r="IB31" i="13"/>
  <c r="IB32" i="13" s="1"/>
  <c r="IB36" i="13" s="1"/>
  <c r="IB38" i="13" s="1"/>
  <c r="IB25" i="8" l="1"/>
  <c r="IA24" i="8"/>
  <c r="IC25" i="13"/>
  <c r="IB24" i="13"/>
  <c r="IB27" i="8" l="1"/>
  <c r="IB23" i="8" s="1"/>
  <c r="IB31" i="8"/>
  <c r="IB32" i="8" s="1"/>
  <c r="IB36" i="8" s="1"/>
  <c r="IB38" i="8" s="1"/>
  <c r="IC27" i="13"/>
  <c r="IC23" i="13" s="1"/>
  <c r="IC31" i="13"/>
  <c r="IC32" i="13" s="1"/>
  <c r="IC36" i="13" s="1"/>
  <c r="IC38" i="13" s="1"/>
  <c r="IC25" i="8" l="1"/>
  <c r="IB24" i="8"/>
  <c r="ID25" i="13"/>
  <c r="IC24" i="13"/>
  <c r="IC27" i="8" l="1"/>
  <c r="IC23" i="8" s="1"/>
  <c r="IC31" i="8"/>
  <c r="IC32" i="8" s="1"/>
  <c r="IC36" i="8" s="1"/>
  <c r="IC38" i="8" s="1"/>
  <c r="ID27" i="13"/>
  <c r="ID23" i="13" s="1"/>
  <c r="ID31" i="13"/>
  <c r="ID32" i="13" s="1"/>
  <c r="ID36" i="13" s="1"/>
  <c r="ID38" i="13" s="1"/>
  <c r="ID25" i="8" l="1"/>
  <c r="IC24" i="8"/>
  <c r="IE25" i="13"/>
  <c r="ID24" i="13"/>
  <c r="ID27" i="8" l="1"/>
  <c r="ID23" i="8" s="1"/>
  <c r="ID31" i="8"/>
  <c r="ID32" i="8" s="1"/>
  <c r="ID36" i="8" s="1"/>
  <c r="ID38" i="8" s="1"/>
  <c r="IE27" i="13"/>
  <c r="IE23" i="13" s="1"/>
  <c r="IE31" i="13"/>
  <c r="IE32" i="13" s="1"/>
  <c r="IE36" i="13" s="1"/>
  <c r="IE38" i="13" s="1"/>
  <c r="IE25" i="8" l="1"/>
  <c r="ID24" i="8"/>
  <c r="IF25" i="13"/>
  <c r="IE24" i="13"/>
  <c r="IE27" i="8" l="1"/>
  <c r="IE23" i="8" s="1"/>
  <c r="IE31" i="8"/>
  <c r="IE32" i="8" s="1"/>
  <c r="IE36" i="8" s="1"/>
  <c r="IE38" i="8" s="1"/>
  <c r="IF27" i="13"/>
  <c r="IF23" i="13" s="1"/>
  <c r="IF31" i="13"/>
  <c r="IF32" i="13" s="1"/>
  <c r="IF36" i="13" s="1"/>
  <c r="IF38" i="13" s="1"/>
  <c r="IF25" i="8" l="1"/>
  <c r="IE24" i="8"/>
  <c r="IG25" i="13"/>
  <c r="IF24" i="13"/>
  <c r="IF27" i="8" l="1"/>
  <c r="IF23" i="8" s="1"/>
  <c r="IF31" i="8"/>
  <c r="IF32" i="8" s="1"/>
  <c r="IF36" i="8" s="1"/>
  <c r="IF38" i="8" s="1"/>
  <c r="IG27" i="13"/>
  <c r="IG23" i="13" s="1"/>
  <c r="IG31" i="13"/>
  <c r="IG32" i="13" s="1"/>
  <c r="IG36" i="13" s="1"/>
  <c r="IG38" i="13" s="1"/>
  <c r="IG25" i="8" l="1"/>
  <c r="IF24" i="8"/>
  <c r="IH25" i="13"/>
  <c r="IG24" i="13"/>
  <c r="IG27" i="8" l="1"/>
  <c r="IG23" i="8" s="1"/>
  <c r="IG31" i="8"/>
  <c r="IG32" i="8" s="1"/>
  <c r="IG36" i="8" s="1"/>
  <c r="IG38" i="8" s="1"/>
  <c r="IH27" i="13"/>
  <c r="IH23" i="13" s="1"/>
  <c r="IH31" i="13"/>
  <c r="IH32" i="13" s="1"/>
  <c r="IH36" i="13" s="1"/>
  <c r="IH38" i="13" s="1"/>
  <c r="IH25" i="8" l="1"/>
  <c r="IG24" i="8"/>
  <c r="II25" i="13"/>
  <c r="IH24" i="13"/>
  <c r="IH27" i="8" l="1"/>
  <c r="IH23" i="8" s="1"/>
  <c r="IH31" i="8"/>
  <c r="IH32" i="8" s="1"/>
  <c r="IH36" i="8" s="1"/>
  <c r="IH38" i="8" s="1"/>
  <c r="II27" i="13"/>
  <c r="II23" i="13" s="1"/>
  <c r="II31" i="13"/>
  <c r="II32" i="13" s="1"/>
  <c r="II36" i="13" s="1"/>
  <c r="II38" i="13" s="1"/>
  <c r="II25" i="8" l="1"/>
  <c r="IH24" i="8"/>
  <c r="IJ25" i="13"/>
  <c r="II24" i="13"/>
  <c r="II27" i="8" l="1"/>
  <c r="II23" i="8" s="1"/>
  <c r="II31" i="8"/>
  <c r="II32" i="8" s="1"/>
  <c r="II36" i="8" s="1"/>
  <c r="II38" i="8" s="1"/>
  <c r="IJ27" i="13"/>
  <c r="IJ23" i="13" s="1"/>
  <c r="IJ31" i="13"/>
  <c r="IJ32" i="13" s="1"/>
  <c r="IJ36" i="13" s="1"/>
  <c r="IJ38" i="13" s="1"/>
  <c r="IJ25" i="8" l="1"/>
  <c r="II24" i="8"/>
  <c r="IK25" i="13"/>
  <c r="IJ24" i="13"/>
  <c r="IJ27" i="8" l="1"/>
  <c r="IJ23" i="8" s="1"/>
  <c r="IJ31" i="8"/>
  <c r="IJ32" i="8" s="1"/>
  <c r="IJ36" i="8" s="1"/>
  <c r="IJ38" i="8" s="1"/>
  <c r="IK27" i="13"/>
  <c r="IK23" i="13" s="1"/>
  <c r="IK31" i="13"/>
  <c r="IK32" i="13" s="1"/>
  <c r="IK36" i="13" s="1"/>
  <c r="IK38" i="13" s="1"/>
  <c r="IK25" i="8" l="1"/>
  <c r="IJ24" i="8"/>
  <c r="IL25" i="13"/>
  <c r="IK24" i="13"/>
  <c r="IK27" i="8" l="1"/>
  <c r="IK23" i="8" s="1"/>
  <c r="IK31" i="8"/>
  <c r="IK32" i="8" s="1"/>
  <c r="IK36" i="8" s="1"/>
  <c r="IK38" i="8" s="1"/>
  <c r="IL27" i="13"/>
  <c r="IL23" i="13" s="1"/>
  <c r="IL31" i="13"/>
  <c r="IL32" i="13" s="1"/>
  <c r="IL36" i="13" s="1"/>
  <c r="IL38" i="13" s="1"/>
  <c r="IL25" i="8" l="1"/>
  <c r="IK24" i="8"/>
  <c r="IM25" i="13"/>
  <c r="IL24" i="13"/>
  <c r="IL27" i="8" l="1"/>
  <c r="IL23" i="8" s="1"/>
  <c r="IL31" i="8"/>
  <c r="IL32" i="8" s="1"/>
  <c r="IL36" i="8" s="1"/>
  <c r="IL38" i="8" s="1"/>
  <c r="IM27" i="13"/>
  <c r="IM23" i="13" s="1"/>
  <c r="IM31" i="13"/>
  <c r="IM32" i="13" s="1"/>
  <c r="IM36" i="13" s="1"/>
  <c r="IM38" i="13" s="1"/>
  <c r="IM25" i="8" l="1"/>
  <c r="IL24" i="8"/>
  <c r="IN25" i="13"/>
  <c r="IM24" i="13"/>
  <c r="IM27" i="8" l="1"/>
  <c r="IM23" i="8" s="1"/>
  <c r="IM31" i="8"/>
  <c r="IM32" i="8" s="1"/>
  <c r="IM36" i="8" s="1"/>
  <c r="IM38" i="8" s="1"/>
  <c r="IN27" i="13"/>
  <c r="IN23" i="13" s="1"/>
  <c r="IN31" i="13"/>
  <c r="IN32" i="13" s="1"/>
  <c r="IN36" i="13" s="1"/>
  <c r="IN38" i="13" s="1"/>
  <c r="IN25" i="8" l="1"/>
  <c r="IM24" i="8"/>
  <c r="IO25" i="13"/>
  <c r="IN24" i="13"/>
  <c r="IN27" i="8" l="1"/>
  <c r="IN23" i="8" s="1"/>
  <c r="IN31" i="8"/>
  <c r="IN32" i="8" s="1"/>
  <c r="IN36" i="8" s="1"/>
  <c r="IN38" i="8" s="1"/>
  <c r="IO27" i="13"/>
  <c r="IO23" i="13" s="1"/>
  <c r="IO31" i="13"/>
  <c r="IO32" i="13" s="1"/>
  <c r="IO36" i="13" s="1"/>
  <c r="IO38" i="13" s="1"/>
  <c r="IO25" i="8" l="1"/>
  <c r="IN24" i="8"/>
  <c r="IP25" i="13"/>
  <c r="IO24" i="13"/>
  <c r="IO27" i="8" l="1"/>
  <c r="IO23" i="8" s="1"/>
  <c r="IO31" i="8"/>
  <c r="IO32" i="8" s="1"/>
  <c r="IO36" i="8" s="1"/>
  <c r="IO38" i="8" s="1"/>
  <c r="IP27" i="13"/>
  <c r="IP23" i="13" s="1"/>
  <c r="IP31" i="13"/>
  <c r="IP32" i="13" s="1"/>
  <c r="IP36" i="13" s="1"/>
  <c r="IP38" i="13" s="1"/>
  <c r="IP25" i="8" l="1"/>
  <c r="IO24" i="8"/>
  <c r="IQ25" i="13"/>
  <c r="IP24" i="13"/>
  <c r="IP27" i="8" l="1"/>
  <c r="IP23" i="8" s="1"/>
  <c r="IP31" i="8"/>
  <c r="IP32" i="8" s="1"/>
  <c r="IP36" i="8" s="1"/>
  <c r="IP38" i="8" s="1"/>
  <c r="IQ27" i="13"/>
  <c r="IQ23" i="13" s="1"/>
  <c r="IQ31" i="13"/>
  <c r="IQ32" i="13" s="1"/>
  <c r="IQ36" i="13" s="1"/>
  <c r="IQ38" i="13" s="1"/>
  <c r="IQ25" i="8" l="1"/>
  <c r="IP24" i="8"/>
  <c r="IR25" i="13"/>
  <c r="IQ24" i="13"/>
  <c r="IQ27" i="8" l="1"/>
  <c r="IQ23" i="8" s="1"/>
  <c r="IQ31" i="8"/>
  <c r="IQ32" i="8" s="1"/>
  <c r="IQ36" i="8" s="1"/>
  <c r="IQ38" i="8" s="1"/>
  <c r="IR27" i="13"/>
  <c r="IR23" i="13" s="1"/>
  <c r="IR31" i="13"/>
  <c r="IR32" i="13" s="1"/>
  <c r="IR36" i="13" s="1"/>
  <c r="IR38" i="13" s="1"/>
  <c r="IR25" i="8" l="1"/>
  <c r="IQ24" i="8"/>
  <c r="IS25" i="13"/>
  <c r="IR24" i="13"/>
  <c r="IR27" i="8" l="1"/>
  <c r="IR23" i="8" s="1"/>
  <c r="IR31" i="8"/>
  <c r="IR32" i="8" s="1"/>
  <c r="IR36" i="8" s="1"/>
  <c r="IR38" i="8" s="1"/>
  <c r="IS27" i="13"/>
  <c r="IS23" i="13" s="1"/>
  <c r="IS31" i="13"/>
  <c r="IS32" i="13" s="1"/>
  <c r="IS36" i="13" s="1"/>
  <c r="IS38" i="13" s="1"/>
  <c r="IS25" i="8" l="1"/>
  <c r="IR24" i="8"/>
  <c r="IT25" i="13"/>
  <c r="IS24" i="13"/>
  <c r="IS27" i="8" l="1"/>
  <c r="IS23" i="8" s="1"/>
  <c r="IS31" i="8"/>
  <c r="IS32" i="8" s="1"/>
  <c r="IS36" i="8" s="1"/>
  <c r="IS38" i="8" s="1"/>
  <c r="IT27" i="13"/>
  <c r="IT23" i="13" s="1"/>
  <c r="IT31" i="13"/>
  <c r="IT32" i="13" s="1"/>
  <c r="IT36" i="13" s="1"/>
  <c r="IT38" i="13" s="1"/>
  <c r="IT25" i="8" l="1"/>
  <c r="IS24" i="8"/>
  <c r="IU25" i="13"/>
  <c r="IT24" i="13"/>
  <c r="IT27" i="8" l="1"/>
  <c r="IT23" i="8" s="1"/>
  <c r="IT31" i="8"/>
  <c r="IT32" i="8" s="1"/>
  <c r="IT36" i="8" s="1"/>
  <c r="IT38" i="8" s="1"/>
  <c r="IU27" i="13"/>
  <c r="IU23" i="13" s="1"/>
  <c r="IU31" i="13"/>
  <c r="IU32" i="13" s="1"/>
  <c r="IU36" i="13" s="1"/>
  <c r="IU38" i="13" s="1"/>
  <c r="IU25" i="8" l="1"/>
  <c r="IT24" i="8"/>
  <c r="IV25" i="13"/>
  <c r="IU24" i="13"/>
  <c r="IU27" i="8" l="1"/>
  <c r="IU23" i="8" s="1"/>
  <c r="IU31" i="8"/>
  <c r="IU32" i="8" s="1"/>
  <c r="IU36" i="8" s="1"/>
  <c r="IU38" i="8" s="1"/>
  <c r="IV27" i="13"/>
  <c r="IV23" i="13" s="1"/>
  <c r="IV31" i="13"/>
  <c r="IV32" i="13" s="1"/>
  <c r="IV36" i="13" s="1"/>
  <c r="IV38" i="13" s="1"/>
  <c r="IV25" i="8" l="1"/>
  <c r="IU24" i="8"/>
  <c r="IW25" i="13"/>
  <c r="IV24" i="13"/>
  <c r="IV27" i="8" l="1"/>
  <c r="IV23" i="8" s="1"/>
  <c r="IV31" i="8"/>
  <c r="IV32" i="8" s="1"/>
  <c r="IV36" i="8" s="1"/>
  <c r="IV38" i="8" s="1"/>
  <c r="IW27" i="13"/>
  <c r="IW23" i="13" s="1"/>
  <c r="IW31" i="13"/>
  <c r="IW32" i="13" s="1"/>
  <c r="IW36" i="13" s="1"/>
  <c r="IW38" i="13" s="1"/>
  <c r="IW25" i="8" l="1"/>
  <c r="IV24" i="8"/>
  <c r="IX25" i="13"/>
  <c r="IW24" i="13"/>
  <c r="IW27" i="8" l="1"/>
  <c r="IW23" i="8" s="1"/>
  <c r="IW31" i="8"/>
  <c r="IW32" i="8" s="1"/>
  <c r="IW36" i="8" s="1"/>
  <c r="IW38" i="8" s="1"/>
  <c r="IX27" i="13"/>
  <c r="IX23" i="13" s="1"/>
  <c r="IX31" i="13"/>
  <c r="IX32" i="13" s="1"/>
  <c r="IX36" i="13" s="1"/>
  <c r="IX38" i="13" s="1"/>
  <c r="IX25" i="8" l="1"/>
  <c r="IW24" i="8"/>
  <c r="IY25" i="13"/>
  <c r="IX24" i="13"/>
  <c r="IX27" i="8" l="1"/>
  <c r="IX23" i="8" s="1"/>
  <c r="IX31" i="8"/>
  <c r="IX32" i="8" s="1"/>
  <c r="IX36" i="8" s="1"/>
  <c r="IX38" i="8" s="1"/>
  <c r="IY27" i="13"/>
  <c r="IY23" i="13" s="1"/>
  <c r="IY31" i="13"/>
  <c r="IY32" i="13" s="1"/>
  <c r="IY36" i="13" s="1"/>
  <c r="IY38" i="13" s="1"/>
  <c r="IY25" i="8" l="1"/>
  <c r="IX24" i="8"/>
  <c r="IZ25" i="13"/>
  <c r="IY24" i="13"/>
  <c r="IY27" i="8" l="1"/>
  <c r="IY23" i="8" s="1"/>
  <c r="IY31" i="8"/>
  <c r="IY32" i="8" s="1"/>
  <c r="IY36" i="8" s="1"/>
  <c r="IY38" i="8" s="1"/>
  <c r="IZ27" i="13"/>
  <c r="IZ23" i="13" s="1"/>
  <c r="IZ31" i="13"/>
  <c r="IZ32" i="13" s="1"/>
  <c r="IZ36" i="13" s="1"/>
  <c r="IZ38" i="13" s="1"/>
  <c r="IZ25" i="8" l="1"/>
  <c r="IY24" i="8"/>
  <c r="JA25" i="13"/>
  <c r="IZ24" i="13"/>
  <c r="IZ27" i="8" l="1"/>
  <c r="IZ23" i="8" s="1"/>
  <c r="IZ31" i="8"/>
  <c r="IZ32" i="8" s="1"/>
  <c r="IZ36" i="8" s="1"/>
  <c r="IZ38" i="8" s="1"/>
  <c r="JA27" i="13"/>
  <c r="JA23" i="13" s="1"/>
  <c r="JA31" i="13"/>
  <c r="JA32" i="13" s="1"/>
  <c r="JA36" i="13" s="1"/>
  <c r="JA38" i="13" s="1"/>
  <c r="JA25" i="8" l="1"/>
  <c r="IZ24" i="8"/>
  <c r="JB25" i="13"/>
  <c r="JA24" i="13"/>
  <c r="JA27" i="8" l="1"/>
  <c r="JA23" i="8" s="1"/>
  <c r="JA31" i="8"/>
  <c r="JA32" i="8" s="1"/>
  <c r="JA36" i="8" s="1"/>
  <c r="JA38" i="8" s="1"/>
  <c r="JB27" i="13"/>
  <c r="JB23" i="13" s="1"/>
  <c r="JB31" i="13"/>
  <c r="JB32" i="13" s="1"/>
  <c r="JB36" i="13" s="1"/>
  <c r="JB38" i="13" s="1"/>
  <c r="JB25" i="8" l="1"/>
  <c r="JA24" i="8"/>
  <c r="JC25" i="13"/>
  <c r="JB24" i="13"/>
  <c r="JB27" i="8" l="1"/>
  <c r="JB23" i="8" s="1"/>
  <c r="JB31" i="8"/>
  <c r="JB32" i="8" s="1"/>
  <c r="JB36" i="8" s="1"/>
  <c r="JB38" i="8" s="1"/>
  <c r="JC27" i="13"/>
  <c r="JC23" i="13" s="1"/>
  <c r="JC31" i="13"/>
  <c r="JC32" i="13" s="1"/>
  <c r="JC36" i="13" s="1"/>
  <c r="JC38" i="13" s="1"/>
  <c r="JC25" i="8" l="1"/>
  <c r="JB24" i="8"/>
  <c r="JD25" i="13"/>
  <c r="JC24" i="13"/>
  <c r="JC27" i="8" l="1"/>
  <c r="JC23" i="8" s="1"/>
  <c r="JC31" i="8"/>
  <c r="JC32" i="8" s="1"/>
  <c r="JC36" i="8" s="1"/>
  <c r="JC38" i="8" s="1"/>
  <c r="JD27" i="13"/>
  <c r="JD23" i="13" s="1"/>
  <c r="JD31" i="13"/>
  <c r="JD32" i="13" s="1"/>
  <c r="JD36" i="13" s="1"/>
  <c r="JD38" i="13" s="1"/>
  <c r="JD25" i="8" l="1"/>
  <c r="JC24" i="8"/>
  <c r="JE25" i="13"/>
  <c r="JD24" i="13"/>
  <c r="JD27" i="8" l="1"/>
  <c r="JD23" i="8" s="1"/>
  <c r="JD31" i="8"/>
  <c r="JD32" i="8" s="1"/>
  <c r="JD36" i="8" s="1"/>
  <c r="JD38" i="8" s="1"/>
  <c r="JE27" i="13"/>
  <c r="JE23" i="13" s="1"/>
  <c r="JE31" i="13"/>
  <c r="JE32" i="13" s="1"/>
  <c r="JE36" i="13" s="1"/>
  <c r="JE38" i="13" s="1"/>
  <c r="JE25" i="8" l="1"/>
  <c r="JD24" i="8"/>
  <c r="JF25" i="13"/>
  <c r="JE24" i="13"/>
  <c r="JE27" i="8" l="1"/>
  <c r="JE23" i="8" s="1"/>
  <c r="JE31" i="8"/>
  <c r="JE32" i="8" s="1"/>
  <c r="JE36" i="8" s="1"/>
  <c r="JE38" i="8" s="1"/>
  <c r="JF27" i="13"/>
  <c r="JF23" i="13" s="1"/>
  <c r="JF31" i="13"/>
  <c r="JF32" i="13" s="1"/>
  <c r="JF36" i="13" s="1"/>
  <c r="JF38" i="13" s="1"/>
  <c r="JF25" i="8" l="1"/>
  <c r="JE24" i="8"/>
  <c r="JG25" i="13"/>
  <c r="JF24" i="13"/>
  <c r="JF27" i="8" l="1"/>
  <c r="JF23" i="8" s="1"/>
  <c r="JF31" i="8"/>
  <c r="JF32" i="8" s="1"/>
  <c r="JF36" i="8" s="1"/>
  <c r="JF38" i="8" s="1"/>
  <c r="JG27" i="13"/>
  <c r="JG23" i="13" s="1"/>
  <c r="JG31" i="13"/>
  <c r="JG32" i="13" s="1"/>
  <c r="JG36" i="13" s="1"/>
  <c r="JG38" i="13" s="1"/>
  <c r="JG25" i="8" l="1"/>
  <c r="JF24" i="8"/>
  <c r="JH25" i="13"/>
  <c r="JG24" i="13"/>
  <c r="JG27" i="8" l="1"/>
  <c r="JG23" i="8" s="1"/>
  <c r="JG31" i="8"/>
  <c r="JG32" i="8" s="1"/>
  <c r="JG36" i="8" s="1"/>
  <c r="JG38" i="8" s="1"/>
  <c r="JH27" i="13"/>
  <c r="JH23" i="13" s="1"/>
  <c r="JH31" i="13"/>
  <c r="JH32" i="13" s="1"/>
  <c r="JH36" i="13" s="1"/>
  <c r="JH38" i="13" s="1"/>
  <c r="JH25" i="8" l="1"/>
  <c r="JG24" i="8"/>
  <c r="JI25" i="13"/>
  <c r="JH24" i="13"/>
  <c r="JH27" i="8" l="1"/>
  <c r="JH23" i="8" s="1"/>
  <c r="JH31" i="8"/>
  <c r="JH32" i="8" s="1"/>
  <c r="JH36" i="8" s="1"/>
  <c r="JH38" i="8" s="1"/>
  <c r="JI27" i="13"/>
  <c r="JI23" i="13" s="1"/>
  <c r="JI31" i="13"/>
  <c r="JI32" i="13" s="1"/>
  <c r="JI36" i="13" s="1"/>
  <c r="JI38" i="13" s="1"/>
  <c r="JI25" i="8" l="1"/>
  <c r="JH24" i="8"/>
  <c r="JJ25" i="13"/>
  <c r="JI24" i="13"/>
  <c r="JI27" i="8" l="1"/>
  <c r="JI23" i="8" s="1"/>
  <c r="JI31" i="8"/>
  <c r="JI32" i="8" s="1"/>
  <c r="JI36" i="8" s="1"/>
  <c r="JI38" i="8" s="1"/>
  <c r="JJ27" i="13"/>
  <c r="JJ23" i="13" s="1"/>
  <c r="JJ31" i="13"/>
  <c r="JJ32" i="13" s="1"/>
  <c r="JJ36" i="13" s="1"/>
  <c r="JJ38" i="13" s="1"/>
  <c r="JJ25" i="8" l="1"/>
  <c r="JI24" i="8"/>
  <c r="JK25" i="13"/>
  <c r="JJ24" i="13"/>
  <c r="JJ27" i="8" l="1"/>
  <c r="JJ23" i="8" s="1"/>
  <c r="JJ31" i="8"/>
  <c r="JJ32" i="8" s="1"/>
  <c r="JJ36" i="8" s="1"/>
  <c r="JJ38" i="8" s="1"/>
  <c r="JK27" i="13"/>
  <c r="JK23" i="13" s="1"/>
  <c r="JK31" i="13"/>
  <c r="JK32" i="13" s="1"/>
  <c r="JK36" i="13" s="1"/>
  <c r="JK38" i="13" s="1"/>
  <c r="JK25" i="8" l="1"/>
  <c r="JJ24" i="8"/>
  <c r="JL25" i="13"/>
  <c r="JK24" i="13"/>
  <c r="JK27" i="8" l="1"/>
  <c r="JK23" i="8" s="1"/>
  <c r="JK31" i="8"/>
  <c r="JK32" i="8" s="1"/>
  <c r="JK36" i="8" s="1"/>
  <c r="JK38" i="8" s="1"/>
  <c r="JL27" i="13"/>
  <c r="JL23" i="13" s="1"/>
  <c r="JL31" i="13"/>
  <c r="JL32" i="13" s="1"/>
  <c r="JL36" i="13" s="1"/>
  <c r="JL38" i="13" s="1"/>
  <c r="JL25" i="8" l="1"/>
  <c r="JK24" i="8"/>
  <c r="JM25" i="13"/>
  <c r="JL24" i="13"/>
  <c r="JL27" i="8" l="1"/>
  <c r="JL23" i="8" s="1"/>
  <c r="JL31" i="8"/>
  <c r="JL32" i="8" s="1"/>
  <c r="JL36" i="8" s="1"/>
  <c r="JL38" i="8" s="1"/>
  <c r="JM27" i="13"/>
  <c r="JM23" i="13" s="1"/>
  <c r="JM31" i="13"/>
  <c r="JM32" i="13" s="1"/>
  <c r="JM36" i="13" s="1"/>
  <c r="JM38" i="13" s="1"/>
  <c r="JM25" i="8" l="1"/>
  <c r="JL24" i="8"/>
  <c r="JN25" i="13"/>
  <c r="JM24" i="13"/>
  <c r="JM27" i="8" l="1"/>
  <c r="JM23" i="8" s="1"/>
  <c r="JM31" i="8"/>
  <c r="JM32" i="8" s="1"/>
  <c r="JM36" i="8" s="1"/>
  <c r="JM38" i="8" s="1"/>
  <c r="JN27" i="13"/>
  <c r="JN23" i="13" s="1"/>
  <c r="JN31" i="13"/>
  <c r="JN32" i="13" s="1"/>
  <c r="JN36" i="13" s="1"/>
  <c r="JN38" i="13" s="1"/>
  <c r="JN25" i="8" l="1"/>
  <c r="JM24" i="8"/>
  <c r="JO25" i="13"/>
  <c r="JN24" i="13"/>
  <c r="JN27" i="8" l="1"/>
  <c r="JN23" i="8" s="1"/>
  <c r="JN31" i="8"/>
  <c r="JN32" i="8" s="1"/>
  <c r="JN36" i="8" s="1"/>
  <c r="JN38" i="8" s="1"/>
  <c r="JO27" i="13"/>
  <c r="JO23" i="13" s="1"/>
  <c r="JO31" i="13"/>
  <c r="JO32" i="13" s="1"/>
  <c r="JO36" i="13" s="1"/>
  <c r="JO38" i="13" s="1"/>
  <c r="JO25" i="8" l="1"/>
  <c r="JN24" i="8"/>
  <c r="JP25" i="13"/>
  <c r="JO24" i="13"/>
  <c r="JO27" i="8" l="1"/>
  <c r="JO23" i="8" s="1"/>
  <c r="JO31" i="8"/>
  <c r="JO32" i="8" s="1"/>
  <c r="JO36" i="8" s="1"/>
  <c r="JO38" i="8" s="1"/>
  <c r="JP27" i="13"/>
  <c r="JP23" i="13" s="1"/>
  <c r="JP31" i="13"/>
  <c r="JP32" i="13" s="1"/>
  <c r="JP36" i="13" s="1"/>
  <c r="JP38" i="13" s="1"/>
  <c r="JP25" i="8" l="1"/>
  <c r="JO24" i="8"/>
  <c r="JQ25" i="13"/>
  <c r="JP24" i="13"/>
  <c r="JP27" i="8" l="1"/>
  <c r="JP23" i="8" s="1"/>
  <c r="JP31" i="8"/>
  <c r="JP32" i="8" s="1"/>
  <c r="JP36" i="8" s="1"/>
  <c r="JP38" i="8" s="1"/>
  <c r="JQ27" i="13"/>
  <c r="JQ23" i="13" s="1"/>
  <c r="JQ31" i="13"/>
  <c r="JQ32" i="13" s="1"/>
  <c r="JQ36" i="13" s="1"/>
  <c r="JQ38" i="13" s="1"/>
  <c r="JQ25" i="8" l="1"/>
  <c r="JP24" i="8"/>
  <c r="JR25" i="13"/>
  <c r="JQ24" i="13"/>
  <c r="JQ27" i="8" l="1"/>
  <c r="JQ23" i="8" s="1"/>
  <c r="JQ31" i="8"/>
  <c r="JQ32" i="8" s="1"/>
  <c r="JQ36" i="8" s="1"/>
  <c r="JQ38" i="8" s="1"/>
  <c r="JR27" i="13"/>
  <c r="JR23" i="13" s="1"/>
  <c r="JR31" i="13"/>
  <c r="JR32" i="13" s="1"/>
  <c r="JR36" i="13" s="1"/>
  <c r="JR38" i="13" s="1"/>
  <c r="JR25" i="8" l="1"/>
  <c r="JQ24" i="8"/>
  <c r="JS25" i="13"/>
  <c r="JR24" i="13"/>
  <c r="JR27" i="8" l="1"/>
  <c r="JR23" i="8" s="1"/>
  <c r="JR31" i="8"/>
  <c r="JR32" i="8" s="1"/>
  <c r="JR36" i="8" s="1"/>
  <c r="JR38" i="8" s="1"/>
  <c r="JS27" i="13"/>
  <c r="JS23" i="13" s="1"/>
  <c r="JS31" i="13"/>
  <c r="JS32" i="13" s="1"/>
  <c r="JS36" i="13" s="1"/>
  <c r="JS38" i="13" s="1"/>
  <c r="JS25" i="8" l="1"/>
  <c r="JR24" i="8"/>
  <c r="JT25" i="13"/>
  <c r="JS24" i="13"/>
  <c r="JS27" i="8" l="1"/>
  <c r="JS23" i="8" s="1"/>
  <c r="JS31" i="8"/>
  <c r="JS32" i="8" s="1"/>
  <c r="JS36" i="8" s="1"/>
  <c r="JS38" i="8" s="1"/>
  <c r="JT27" i="13"/>
  <c r="JT23" i="13" s="1"/>
  <c r="JT31" i="13"/>
  <c r="JT32" i="13" s="1"/>
  <c r="JT36" i="13" s="1"/>
  <c r="JT38" i="13" s="1"/>
  <c r="JT25" i="8" l="1"/>
  <c r="JS24" i="8"/>
  <c r="JU25" i="13"/>
  <c r="JT24" i="13"/>
  <c r="JT27" i="8" l="1"/>
  <c r="JT23" i="8" s="1"/>
  <c r="JT31" i="8"/>
  <c r="JT32" i="8" s="1"/>
  <c r="JT36" i="8" s="1"/>
  <c r="JT38" i="8" s="1"/>
  <c r="JU27" i="13"/>
  <c r="JU23" i="13" s="1"/>
  <c r="JU31" i="13"/>
  <c r="JU32" i="13" s="1"/>
  <c r="JU36" i="13" s="1"/>
  <c r="JU38" i="13" s="1"/>
  <c r="JU25" i="8" l="1"/>
  <c r="JT24" i="8"/>
  <c r="JV25" i="13"/>
  <c r="JU24" i="13"/>
  <c r="JU27" i="8" l="1"/>
  <c r="JU23" i="8" s="1"/>
  <c r="JU31" i="8"/>
  <c r="JU32" i="8" s="1"/>
  <c r="JU36" i="8" s="1"/>
  <c r="JU38" i="8" s="1"/>
  <c r="JV27" i="13"/>
  <c r="JV23" i="13" s="1"/>
  <c r="JV31" i="13"/>
  <c r="JV32" i="13" s="1"/>
  <c r="JV36" i="13" s="1"/>
  <c r="JV38" i="13" s="1"/>
  <c r="JV25" i="8" l="1"/>
  <c r="JU24" i="8"/>
  <c r="JW25" i="13"/>
  <c r="JV24" i="13"/>
  <c r="JV27" i="8" l="1"/>
  <c r="JV23" i="8" s="1"/>
  <c r="JV31" i="8"/>
  <c r="JV32" i="8" s="1"/>
  <c r="JV36" i="8" s="1"/>
  <c r="JV38" i="8" s="1"/>
  <c r="JW27" i="13"/>
  <c r="JW23" i="13" s="1"/>
  <c r="JW31" i="13"/>
  <c r="JW32" i="13" s="1"/>
  <c r="JW36" i="13" s="1"/>
  <c r="JW38" i="13" s="1"/>
  <c r="JW25" i="8" l="1"/>
  <c r="JV24" i="8"/>
  <c r="JX25" i="13"/>
  <c r="JW24" i="13"/>
  <c r="JW27" i="8" l="1"/>
  <c r="JW23" i="8" s="1"/>
  <c r="JW31" i="8"/>
  <c r="JW32" i="8" s="1"/>
  <c r="JW36" i="8" s="1"/>
  <c r="JW38" i="8" s="1"/>
  <c r="JX27" i="13"/>
  <c r="JX23" i="13" s="1"/>
  <c r="JX31" i="13"/>
  <c r="JX32" i="13" s="1"/>
  <c r="JX36" i="13" s="1"/>
  <c r="JX38" i="13" s="1"/>
  <c r="JX25" i="8" l="1"/>
  <c r="JW24" i="8"/>
  <c r="JY25" i="13"/>
  <c r="JX24" i="13"/>
  <c r="JX27" i="8" l="1"/>
  <c r="JX23" i="8" s="1"/>
  <c r="JX31" i="8"/>
  <c r="JX32" i="8" s="1"/>
  <c r="JX36" i="8" s="1"/>
  <c r="JX38" i="8" s="1"/>
  <c r="JY27" i="13"/>
  <c r="JY23" i="13" s="1"/>
  <c r="JY31" i="13"/>
  <c r="JY32" i="13" s="1"/>
  <c r="JY36" i="13" s="1"/>
  <c r="JY38" i="13" s="1"/>
  <c r="JY25" i="8" l="1"/>
  <c r="JX24" i="8"/>
  <c r="JZ25" i="13"/>
  <c r="JY24" i="13"/>
  <c r="JY27" i="8" l="1"/>
  <c r="JY23" i="8" s="1"/>
  <c r="JY31" i="8"/>
  <c r="JY32" i="8" s="1"/>
  <c r="JY36" i="8" s="1"/>
  <c r="JY38" i="8" s="1"/>
  <c r="JZ27" i="13"/>
  <c r="JZ23" i="13" s="1"/>
  <c r="JZ31" i="13"/>
  <c r="JZ32" i="13" s="1"/>
  <c r="JZ36" i="13" s="1"/>
  <c r="JZ38" i="13" s="1"/>
  <c r="JZ25" i="8" l="1"/>
  <c r="JY24" i="8"/>
  <c r="KA25" i="13"/>
  <c r="JZ24" i="13"/>
  <c r="JZ27" i="8" l="1"/>
  <c r="JZ23" i="8" s="1"/>
  <c r="JZ31" i="8"/>
  <c r="JZ32" i="8" s="1"/>
  <c r="JZ36" i="8" s="1"/>
  <c r="JZ38" i="8" s="1"/>
  <c r="KA27" i="13"/>
  <c r="KA23" i="13" s="1"/>
  <c r="KA31" i="13"/>
  <c r="KA32" i="13" s="1"/>
  <c r="KA36" i="13" s="1"/>
  <c r="KA38" i="13" s="1"/>
  <c r="KA25" i="8" l="1"/>
  <c r="JZ24" i="8"/>
  <c r="KB25" i="13"/>
  <c r="KA24" i="13"/>
  <c r="KA27" i="8" l="1"/>
  <c r="KA23" i="8" s="1"/>
  <c r="KA31" i="8"/>
  <c r="KA32" i="8" s="1"/>
  <c r="KA36" i="8" s="1"/>
  <c r="KA38" i="8" s="1"/>
  <c r="KB27" i="13"/>
  <c r="KB23" i="13" s="1"/>
  <c r="KB31" i="13"/>
  <c r="KB32" i="13" s="1"/>
  <c r="KB36" i="13" s="1"/>
  <c r="KB38" i="13" s="1"/>
  <c r="KB25" i="8" l="1"/>
  <c r="KA24" i="8"/>
  <c r="KC25" i="13"/>
  <c r="KB24" i="13"/>
  <c r="KB27" i="8" l="1"/>
  <c r="KB23" i="8" s="1"/>
  <c r="KB31" i="8"/>
  <c r="KB32" i="8" s="1"/>
  <c r="KB36" i="8" s="1"/>
  <c r="KB38" i="8" s="1"/>
  <c r="KC27" i="13"/>
  <c r="KC23" i="13" s="1"/>
  <c r="KC31" i="13"/>
  <c r="KC32" i="13" s="1"/>
  <c r="KC36" i="13" s="1"/>
  <c r="KC38" i="13" s="1"/>
  <c r="KC25" i="8" l="1"/>
  <c r="KB24" i="8"/>
  <c r="KD25" i="13"/>
  <c r="KC24" i="13"/>
  <c r="KC27" i="8" l="1"/>
  <c r="KC23" i="8" s="1"/>
  <c r="KC31" i="8"/>
  <c r="KC32" i="8" s="1"/>
  <c r="KC36" i="8" s="1"/>
  <c r="KC38" i="8" s="1"/>
  <c r="KD27" i="13"/>
  <c r="KD23" i="13" s="1"/>
  <c r="KD31" i="13"/>
  <c r="KD32" i="13" s="1"/>
  <c r="KD36" i="13" s="1"/>
  <c r="KD38" i="13" s="1"/>
  <c r="KD25" i="8" l="1"/>
  <c r="KC24" i="8"/>
  <c r="KE25" i="13"/>
  <c r="KD24" i="13"/>
  <c r="KD27" i="8" l="1"/>
  <c r="KD23" i="8" s="1"/>
  <c r="KD31" i="8"/>
  <c r="KD32" i="8" s="1"/>
  <c r="KD36" i="8" s="1"/>
  <c r="KD38" i="8" s="1"/>
  <c r="KE27" i="13"/>
  <c r="KE23" i="13" s="1"/>
  <c r="KE31" i="13"/>
  <c r="KE32" i="13" s="1"/>
  <c r="KE36" i="13" s="1"/>
  <c r="KE38" i="13" s="1"/>
  <c r="KE25" i="8" l="1"/>
  <c r="KD24" i="8"/>
  <c r="KF25" i="13"/>
  <c r="KE24" i="13"/>
  <c r="KE27" i="8" l="1"/>
  <c r="KE23" i="8" s="1"/>
  <c r="KE31" i="8"/>
  <c r="KE32" i="8" s="1"/>
  <c r="KE36" i="8" s="1"/>
  <c r="KE38" i="8" s="1"/>
  <c r="KF27" i="13"/>
  <c r="KF23" i="13" s="1"/>
  <c r="KF31" i="13"/>
  <c r="KF32" i="13" s="1"/>
  <c r="KF36" i="13" s="1"/>
  <c r="KF38" i="13" s="1"/>
  <c r="KF25" i="8" l="1"/>
  <c r="KE24" i="8"/>
  <c r="KG25" i="13"/>
  <c r="KF24" i="13"/>
  <c r="KF27" i="8" l="1"/>
  <c r="KF23" i="8" s="1"/>
  <c r="KF31" i="8"/>
  <c r="KF32" i="8" s="1"/>
  <c r="KF36" i="8" s="1"/>
  <c r="KF38" i="8" s="1"/>
  <c r="KG27" i="13"/>
  <c r="KG23" i="13" s="1"/>
  <c r="KG31" i="13"/>
  <c r="KG32" i="13" s="1"/>
  <c r="KG36" i="13" s="1"/>
  <c r="KG38" i="13" s="1"/>
  <c r="KG25" i="8" l="1"/>
  <c r="KF24" i="8"/>
  <c r="KH25" i="13"/>
  <c r="KG24" i="13"/>
  <c r="KG27" i="8" l="1"/>
  <c r="KG23" i="8" s="1"/>
  <c r="KG31" i="8"/>
  <c r="KG32" i="8" s="1"/>
  <c r="KG36" i="8" s="1"/>
  <c r="KG38" i="8" s="1"/>
  <c r="KH27" i="13"/>
  <c r="KH23" i="13" s="1"/>
  <c r="KH31" i="13"/>
  <c r="KH32" i="13" s="1"/>
  <c r="KH36" i="13" s="1"/>
  <c r="KH38" i="13" s="1"/>
  <c r="KH25" i="8" l="1"/>
  <c r="KG24" i="8"/>
  <c r="KI25" i="13"/>
  <c r="KH24" i="13"/>
  <c r="KH27" i="8" l="1"/>
  <c r="KH23" i="8" s="1"/>
  <c r="KH31" i="8"/>
  <c r="KH32" i="8" s="1"/>
  <c r="KH36" i="8" s="1"/>
  <c r="KH38" i="8" s="1"/>
  <c r="KI27" i="13"/>
  <c r="KI23" i="13" s="1"/>
  <c r="KI31" i="13"/>
  <c r="KI32" i="13" s="1"/>
  <c r="KI36" i="13" s="1"/>
  <c r="KI38" i="13" s="1"/>
  <c r="KI25" i="8" l="1"/>
  <c r="KH24" i="8"/>
  <c r="KJ25" i="13"/>
  <c r="KI24" i="13"/>
  <c r="KI27" i="8" l="1"/>
  <c r="KI23" i="8" s="1"/>
  <c r="KI31" i="8"/>
  <c r="KI32" i="8" s="1"/>
  <c r="KI36" i="8" s="1"/>
  <c r="KI38" i="8" s="1"/>
  <c r="KJ27" i="13"/>
  <c r="KJ23" i="13" s="1"/>
  <c r="KJ31" i="13"/>
  <c r="KJ32" i="13" s="1"/>
  <c r="KJ36" i="13" s="1"/>
  <c r="KJ38" i="13" s="1"/>
  <c r="KJ25" i="8" l="1"/>
  <c r="KI24" i="8"/>
  <c r="KK25" i="13"/>
  <c r="KJ24" i="13"/>
  <c r="KJ27" i="8" l="1"/>
  <c r="KJ23" i="8" s="1"/>
  <c r="KJ31" i="8"/>
  <c r="KJ32" i="8" s="1"/>
  <c r="KJ36" i="8" s="1"/>
  <c r="KJ38" i="8" s="1"/>
  <c r="KK27" i="13"/>
  <c r="KK23" i="13" s="1"/>
  <c r="KK31" i="13"/>
  <c r="KK32" i="13" s="1"/>
  <c r="KK36" i="13" s="1"/>
  <c r="KK38" i="13" s="1"/>
  <c r="KK25" i="8" l="1"/>
  <c r="KJ24" i="8"/>
  <c r="KL25" i="13"/>
  <c r="KK24" i="13"/>
  <c r="KK27" i="8" l="1"/>
  <c r="KK23" i="8" s="1"/>
  <c r="KK31" i="8"/>
  <c r="KK32" i="8" s="1"/>
  <c r="KK36" i="8" s="1"/>
  <c r="KK38" i="8" s="1"/>
  <c r="KL27" i="13"/>
  <c r="KL23" i="13" s="1"/>
  <c r="KL31" i="13"/>
  <c r="KL32" i="13" s="1"/>
  <c r="KL36" i="13" s="1"/>
  <c r="KL38" i="13" s="1"/>
  <c r="KL25" i="8" l="1"/>
  <c r="KK24" i="8"/>
  <c r="KM25" i="13"/>
  <c r="KL24" i="13"/>
  <c r="KL27" i="8" l="1"/>
  <c r="KL23" i="8" s="1"/>
  <c r="KL31" i="8"/>
  <c r="KL32" i="8" s="1"/>
  <c r="KL36" i="8" s="1"/>
  <c r="KL38" i="8" s="1"/>
  <c r="KM27" i="13"/>
  <c r="KM23" i="13" s="1"/>
  <c r="KM31" i="13"/>
  <c r="KM32" i="13" s="1"/>
  <c r="KM36" i="13" s="1"/>
  <c r="KM38" i="13" s="1"/>
  <c r="KM25" i="8" l="1"/>
  <c r="KL24" i="8"/>
  <c r="KN25" i="13"/>
  <c r="KM24" i="13"/>
  <c r="KM27" i="8" l="1"/>
  <c r="KM23" i="8" s="1"/>
  <c r="KM31" i="8"/>
  <c r="KM32" i="8" s="1"/>
  <c r="KM36" i="8" s="1"/>
  <c r="KM38" i="8" s="1"/>
  <c r="KN27" i="13"/>
  <c r="KN23" i="13" s="1"/>
  <c r="KN31" i="13"/>
  <c r="KN32" i="13" s="1"/>
  <c r="KN36" i="13" s="1"/>
  <c r="KN38" i="13" s="1"/>
  <c r="KN25" i="8" l="1"/>
  <c r="KM24" i="8"/>
  <c r="KO25" i="13"/>
  <c r="KN24" i="13"/>
  <c r="KN27" i="8" l="1"/>
  <c r="KN23" i="8" s="1"/>
  <c r="KN31" i="8"/>
  <c r="KN32" i="8" s="1"/>
  <c r="KN36" i="8" s="1"/>
  <c r="KN38" i="8" s="1"/>
  <c r="KO27" i="13"/>
  <c r="KO23" i="13" s="1"/>
  <c r="KO31" i="13"/>
  <c r="KO32" i="13" s="1"/>
  <c r="KO36" i="13" s="1"/>
  <c r="KO38" i="13" s="1"/>
  <c r="KO25" i="8" l="1"/>
  <c r="KN24" i="8"/>
  <c r="KP25" i="13"/>
  <c r="KO24" i="13"/>
  <c r="KO27" i="8" l="1"/>
  <c r="KO23" i="8" s="1"/>
  <c r="KO31" i="8"/>
  <c r="KO32" i="8" s="1"/>
  <c r="KO36" i="8" s="1"/>
  <c r="KO38" i="8" s="1"/>
  <c r="KP27" i="13"/>
  <c r="KP23" i="13" s="1"/>
  <c r="KP31" i="13"/>
  <c r="KP32" i="13" s="1"/>
  <c r="KP36" i="13" s="1"/>
  <c r="KP38" i="13" s="1"/>
  <c r="KP25" i="8" l="1"/>
  <c r="KO24" i="8"/>
  <c r="KQ25" i="13"/>
  <c r="KP24" i="13"/>
  <c r="KP27" i="8" l="1"/>
  <c r="KP23" i="8" s="1"/>
  <c r="KP31" i="8"/>
  <c r="KP32" i="8" s="1"/>
  <c r="KP36" i="8" s="1"/>
  <c r="KP38" i="8" s="1"/>
  <c r="KQ27" i="13"/>
  <c r="KQ23" i="13" s="1"/>
  <c r="KQ31" i="13"/>
  <c r="KQ32" i="13" s="1"/>
  <c r="KQ36" i="13" s="1"/>
  <c r="KQ38" i="13" s="1"/>
  <c r="KQ25" i="8" l="1"/>
  <c r="KP24" i="8"/>
  <c r="KR25" i="13"/>
  <c r="KQ24" i="13"/>
  <c r="KQ27" i="8" l="1"/>
  <c r="KQ23" i="8" s="1"/>
  <c r="KQ31" i="8"/>
  <c r="KQ32" i="8" s="1"/>
  <c r="KQ36" i="8" s="1"/>
  <c r="KQ38" i="8" s="1"/>
  <c r="KR27" i="13"/>
  <c r="KR23" i="13" s="1"/>
  <c r="KR31" i="13"/>
  <c r="KR32" i="13" s="1"/>
  <c r="KR36" i="13" s="1"/>
  <c r="KR38" i="13" s="1"/>
  <c r="KR25" i="8" l="1"/>
  <c r="KQ24" i="8"/>
  <c r="KS25" i="13"/>
  <c r="KR24" i="13"/>
  <c r="KR27" i="8" l="1"/>
  <c r="KR23" i="8" s="1"/>
  <c r="KR31" i="8"/>
  <c r="KR32" i="8" s="1"/>
  <c r="KR36" i="8" s="1"/>
  <c r="KR38" i="8" s="1"/>
  <c r="KS27" i="13"/>
  <c r="KS23" i="13" s="1"/>
  <c r="KS31" i="13"/>
  <c r="KS32" i="13" s="1"/>
  <c r="KS36" i="13" s="1"/>
  <c r="KS38" i="13" s="1"/>
  <c r="KS25" i="8" l="1"/>
  <c r="KR24" i="8"/>
  <c r="KT25" i="13"/>
  <c r="KS24" i="13"/>
  <c r="KS27" i="8" l="1"/>
  <c r="KS23" i="8" s="1"/>
  <c r="KS31" i="8"/>
  <c r="KS32" i="8" s="1"/>
  <c r="KS36" i="8" s="1"/>
  <c r="KS38" i="8" s="1"/>
  <c r="KT27" i="13"/>
  <c r="KT23" i="13" s="1"/>
  <c r="KT31" i="13"/>
  <c r="KT32" i="13" s="1"/>
  <c r="KT36" i="13" s="1"/>
  <c r="KT38" i="13" s="1"/>
  <c r="KT25" i="8" l="1"/>
  <c r="KS24" i="8"/>
  <c r="KU25" i="13"/>
  <c r="KT24" i="13"/>
  <c r="KT27" i="8" l="1"/>
  <c r="KT23" i="8" s="1"/>
  <c r="KT31" i="8"/>
  <c r="KT32" i="8" s="1"/>
  <c r="KT36" i="8" s="1"/>
  <c r="KT38" i="8" s="1"/>
  <c r="KU27" i="13"/>
  <c r="KU23" i="13" s="1"/>
  <c r="KU31" i="13"/>
  <c r="KU32" i="13" s="1"/>
  <c r="KU36" i="13" s="1"/>
  <c r="KU38" i="13" s="1"/>
  <c r="KU25" i="8" l="1"/>
  <c r="KT24" i="8"/>
  <c r="KV25" i="13"/>
  <c r="KU24" i="13"/>
  <c r="KU27" i="8" l="1"/>
  <c r="KU23" i="8" s="1"/>
  <c r="KU31" i="8"/>
  <c r="KU32" i="8" s="1"/>
  <c r="KU36" i="8" s="1"/>
  <c r="KU38" i="8" s="1"/>
  <c r="KV27" i="13"/>
  <c r="KV23" i="13" s="1"/>
  <c r="KV31" i="13"/>
  <c r="KV32" i="13" s="1"/>
  <c r="KV36" i="13" s="1"/>
  <c r="KV38" i="13" s="1"/>
  <c r="KV25" i="8" l="1"/>
  <c r="KU24" i="8"/>
  <c r="KW25" i="13"/>
  <c r="KV24" i="13"/>
  <c r="KV27" i="8" l="1"/>
  <c r="KV23" i="8" s="1"/>
  <c r="KV31" i="8"/>
  <c r="KV32" i="8" s="1"/>
  <c r="KV36" i="8" s="1"/>
  <c r="KV38" i="8" s="1"/>
  <c r="KW27" i="13"/>
  <c r="KW23" i="13" s="1"/>
  <c r="KW31" i="13"/>
  <c r="KW32" i="13" s="1"/>
  <c r="KW36" i="13" s="1"/>
  <c r="KW38" i="13" s="1"/>
  <c r="KW25" i="8" l="1"/>
  <c r="KV24" i="8"/>
  <c r="KX25" i="13"/>
  <c r="KW24" i="13"/>
  <c r="KW27" i="8" l="1"/>
  <c r="KW23" i="8" s="1"/>
  <c r="KW31" i="8"/>
  <c r="KW32" i="8" s="1"/>
  <c r="KW36" i="8" s="1"/>
  <c r="KW38" i="8" s="1"/>
  <c r="KX27" i="13"/>
  <c r="KX23" i="13" s="1"/>
  <c r="KX31" i="13"/>
  <c r="KX32" i="13" s="1"/>
  <c r="KX36" i="13" s="1"/>
  <c r="KX38" i="13" s="1"/>
  <c r="KX25" i="8" l="1"/>
  <c r="KW24" i="8"/>
  <c r="KY25" i="13"/>
  <c r="KX24" i="13"/>
  <c r="KX27" i="8" l="1"/>
  <c r="KX23" i="8" s="1"/>
  <c r="KX31" i="8"/>
  <c r="KX32" i="8" s="1"/>
  <c r="KX36" i="8" s="1"/>
  <c r="KX38" i="8" s="1"/>
  <c r="KY27" i="13"/>
  <c r="KY23" i="13" s="1"/>
  <c r="KY31" i="13"/>
  <c r="KY32" i="13" s="1"/>
  <c r="KY36" i="13" s="1"/>
  <c r="KY38" i="13" s="1"/>
  <c r="KY25" i="8" l="1"/>
  <c r="KX24" i="8"/>
  <c r="KZ25" i="13"/>
  <c r="KY24" i="13"/>
  <c r="KY27" i="8" l="1"/>
  <c r="KY23" i="8" s="1"/>
  <c r="KY31" i="8"/>
  <c r="KY32" i="8" s="1"/>
  <c r="KY36" i="8" s="1"/>
  <c r="KY38" i="8" s="1"/>
  <c r="KZ27" i="13"/>
  <c r="KZ23" i="13" s="1"/>
  <c r="KZ31" i="13"/>
  <c r="KZ32" i="13" s="1"/>
  <c r="KZ36" i="13" s="1"/>
  <c r="KZ38" i="13" s="1"/>
  <c r="KZ25" i="8" l="1"/>
  <c r="KY24" i="8"/>
  <c r="LA25" i="13"/>
  <c r="KZ24" i="13"/>
  <c r="KZ27" i="8" l="1"/>
  <c r="KZ23" i="8" s="1"/>
  <c r="KZ31" i="8"/>
  <c r="KZ32" i="8" s="1"/>
  <c r="KZ36" i="8" s="1"/>
  <c r="KZ38" i="8" s="1"/>
  <c r="LA27" i="13"/>
  <c r="LA23" i="13" s="1"/>
  <c r="LA31" i="13"/>
  <c r="LA32" i="13" s="1"/>
  <c r="LA36" i="13" s="1"/>
  <c r="LA38" i="13" s="1"/>
  <c r="LA25" i="8" l="1"/>
  <c r="KZ24" i="8"/>
  <c r="LB25" i="13"/>
  <c r="LA24" i="13"/>
  <c r="LA27" i="8" l="1"/>
  <c r="LA23" i="8" s="1"/>
  <c r="LA31" i="8"/>
  <c r="LA32" i="8" s="1"/>
  <c r="LA36" i="8" s="1"/>
  <c r="LA38" i="8" s="1"/>
  <c r="LB27" i="13"/>
  <c r="LB23" i="13" s="1"/>
  <c r="LB31" i="13"/>
  <c r="LB32" i="13" s="1"/>
  <c r="LB36" i="13" s="1"/>
  <c r="LB38" i="13" s="1"/>
  <c r="LB25" i="8" l="1"/>
  <c r="LA24" i="8"/>
  <c r="LC25" i="13"/>
  <c r="LB24" i="13"/>
  <c r="LB27" i="8" l="1"/>
  <c r="LB23" i="8" s="1"/>
  <c r="LB31" i="8"/>
  <c r="LB32" i="8" s="1"/>
  <c r="LB36" i="8" s="1"/>
  <c r="LB38" i="8" s="1"/>
  <c r="LC27" i="13"/>
  <c r="LC23" i="13" s="1"/>
  <c r="LC31" i="13"/>
  <c r="LC32" i="13" s="1"/>
  <c r="LC36" i="13" s="1"/>
  <c r="LC38" i="13" s="1"/>
  <c r="LC25" i="8" l="1"/>
  <c r="LB24" i="8"/>
  <c r="LD25" i="13"/>
  <c r="LC24" i="13"/>
  <c r="LC27" i="8" l="1"/>
  <c r="LC23" i="8" s="1"/>
  <c r="LC31" i="8"/>
  <c r="LC32" i="8" s="1"/>
  <c r="LC36" i="8" s="1"/>
  <c r="LC38" i="8" s="1"/>
  <c r="LD27" i="13"/>
  <c r="LD23" i="13" s="1"/>
  <c r="LD31" i="13"/>
  <c r="LD32" i="13" s="1"/>
  <c r="LD36" i="13" s="1"/>
  <c r="LD38" i="13" s="1"/>
  <c r="LD25" i="8" l="1"/>
  <c r="LC24" i="8"/>
  <c r="LE25" i="13"/>
  <c r="LD24" i="13"/>
  <c r="LD27" i="8" l="1"/>
  <c r="LD23" i="8" s="1"/>
  <c r="LD31" i="8"/>
  <c r="LD32" i="8" s="1"/>
  <c r="LD36" i="8" s="1"/>
  <c r="LD38" i="8" s="1"/>
  <c r="LE27" i="13"/>
  <c r="LE23" i="13" s="1"/>
  <c r="LE31" i="13"/>
  <c r="LE32" i="13" s="1"/>
  <c r="LE36" i="13" s="1"/>
  <c r="LE38" i="13" s="1"/>
  <c r="LE25" i="8" l="1"/>
  <c r="LD24" i="8"/>
  <c r="LF25" i="13"/>
  <c r="LE24" i="13"/>
  <c r="LE27" i="8" l="1"/>
  <c r="LE23" i="8" s="1"/>
  <c r="LE31" i="8"/>
  <c r="LE32" i="8" s="1"/>
  <c r="LE36" i="8" s="1"/>
  <c r="LE38" i="8" s="1"/>
  <c r="LF27" i="13"/>
  <c r="LF23" i="13" s="1"/>
  <c r="LF31" i="13"/>
  <c r="LF32" i="13" s="1"/>
  <c r="LF36" i="13" s="1"/>
  <c r="LF38" i="13" s="1"/>
  <c r="LF25" i="8" l="1"/>
  <c r="LE24" i="8"/>
  <c r="LG25" i="13"/>
  <c r="LF24" i="13"/>
  <c r="LF27" i="8" l="1"/>
  <c r="LF23" i="8" s="1"/>
  <c r="LF31" i="8"/>
  <c r="LF32" i="8" s="1"/>
  <c r="LF36" i="8" s="1"/>
  <c r="LF38" i="8" s="1"/>
  <c r="LG27" i="13"/>
  <c r="LG23" i="13" s="1"/>
  <c r="LG31" i="13"/>
  <c r="LG32" i="13" s="1"/>
  <c r="LG36" i="13" s="1"/>
  <c r="LG38" i="13" s="1"/>
  <c r="LG25" i="8" l="1"/>
  <c r="LF24" i="8"/>
  <c r="LH25" i="13"/>
  <c r="LG24" i="13"/>
  <c r="LG27" i="8" l="1"/>
  <c r="LG23" i="8" s="1"/>
  <c r="LG31" i="8"/>
  <c r="LG32" i="8" s="1"/>
  <c r="LG36" i="8" s="1"/>
  <c r="LG38" i="8" s="1"/>
  <c r="LH27" i="13"/>
  <c r="LH23" i="13" s="1"/>
  <c r="LH31" i="13"/>
  <c r="LH32" i="13" s="1"/>
  <c r="LH36" i="13" s="1"/>
  <c r="LH38" i="13" s="1"/>
  <c r="LH25" i="8" l="1"/>
  <c r="LG24" i="8"/>
  <c r="LI25" i="13"/>
  <c r="LH24" i="13"/>
  <c r="LH27" i="8" l="1"/>
  <c r="LH23" i="8" s="1"/>
  <c r="LH31" i="8"/>
  <c r="LH32" i="8" s="1"/>
  <c r="LH36" i="8" s="1"/>
  <c r="LH38" i="8" s="1"/>
  <c r="LI27" i="13"/>
  <c r="LI23" i="13" s="1"/>
  <c r="LI31" i="13"/>
  <c r="LI32" i="13" s="1"/>
  <c r="LI36" i="13" s="1"/>
  <c r="LI38" i="13" s="1"/>
  <c r="LI25" i="8" l="1"/>
  <c r="LH24" i="8"/>
  <c r="LJ25" i="13"/>
  <c r="LI24" i="13"/>
  <c r="LI27" i="8" l="1"/>
  <c r="LI23" i="8" s="1"/>
  <c r="LI31" i="8"/>
  <c r="LI32" i="8" s="1"/>
  <c r="LI36" i="8" s="1"/>
  <c r="LI38" i="8" s="1"/>
  <c r="LJ27" i="13"/>
  <c r="LJ23" i="13" s="1"/>
  <c r="LJ31" i="13"/>
  <c r="LJ32" i="13" s="1"/>
  <c r="LJ36" i="13" s="1"/>
  <c r="LJ38" i="13" s="1"/>
  <c r="LJ25" i="8" l="1"/>
  <c r="LI24" i="8"/>
  <c r="LK25" i="13"/>
  <c r="LJ24" i="13"/>
  <c r="LJ27" i="8" l="1"/>
  <c r="LJ23" i="8" s="1"/>
  <c r="LJ31" i="8"/>
  <c r="LJ32" i="8" s="1"/>
  <c r="LJ36" i="8" s="1"/>
  <c r="LJ38" i="8" s="1"/>
  <c r="LK27" i="13"/>
  <c r="LK23" i="13" s="1"/>
  <c r="LK31" i="13"/>
  <c r="LK32" i="13" s="1"/>
  <c r="LK36" i="13" s="1"/>
  <c r="LK38" i="13" s="1"/>
  <c r="LK25" i="8" l="1"/>
  <c r="LJ24" i="8"/>
  <c r="LL25" i="13"/>
  <c r="LK24" i="13"/>
  <c r="LK27" i="8" l="1"/>
  <c r="LK23" i="8" s="1"/>
  <c r="LK31" i="8"/>
  <c r="LK32" i="8" s="1"/>
  <c r="LK36" i="8" s="1"/>
  <c r="LK38" i="8" s="1"/>
  <c r="LL27" i="13"/>
  <c r="LL23" i="13" s="1"/>
  <c r="LL31" i="13"/>
  <c r="LL32" i="13" s="1"/>
  <c r="LL36" i="13" s="1"/>
  <c r="LL38" i="13" s="1"/>
  <c r="LL25" i="8" l="1"/>
  <c r="LK24" i="8"/>
  <c r="LM25" i="13"/>
  <c r="LL24" i="13"/>
  <c r="LL27" i="8" l="1"/>
  <c r="LL23" i="8" s="1"/>
  <c r="LL31" i="8"/>
  <c r="LL32" i="8" s="1"/>
  <c r="LL36" i="8" s="1"/>
  <c r="LL38" i="8" s="1"/>
  <c r="LM27" i="13"/>
  <c r="LM23" i="13" s="1"/>
  <c r="LM31" i="13"/>
  <c r="LM32" i="13" s="1"/>
  <c r="LM36" i="13" s="1"/>
  <c r="LM38" i="13" s="1"/>
  <c r="LM25" i="8" l="1"/>
  <c r="LL24" i="8"/>
  <c r="LN25" i="13"/>
  <c r="LM24" i="13"/>
  <c r="LM27" i="8" l="1"/>
  <c r="LM23" i="8" s="1"/>
  <c r="LM31" i="8"/>
  <c r="LM32" i="8" s="1"/>
  <c r="LM36" i="8" s="1"/>
  <c r="LM38" i="8" s="1"/>
  <c r="LN27" i="13"/>
  <c r="LN23" i="13" s="1"/>
  <c r="LN31" i="13"/>
  <c r="LN32" i="13" s="1"/>
  <c r="LN36" i="13" s="1"/>
  <c r="LN38" i="13" s="1"/>
  <c r="LN25" i="8" l="1"/>
  <c r="LM24" i="8"/>
  <c r="LO25" i="13"/>
  <c r="LN24" i="13"/>
  <c r="LN27" i="8" l="1"/>
  <c r="LN23" i="8" s="1"/>
  <c r="LN31" i="8"/>
  <c r="LN32" i="8" s="1"/>
  <c r="LN36" i="8" s="1"/>
  <c r="LN38" i="8" s="1"/>
  <c r="LO27" i="13"/>
  <c r="LO23" i="13" s="1"/>
  <c r="LO31" i="13"/>
  <c r="LO32" i="13" s="1"/>
  <c r="LO36" i="13" s="1"/>
  <c r="LO38" i="13" s="1"/>
  <c r="LO25" i="8" l="1"/>
  <c r="LN24" i="8"/>
  <c r="LP25" i="13"/>
  <c r="LO24" i="13"/>
  <c r="LO27" i="8" l="1"/>
  <c r="LO23" i="8" s="1"/>
  <c r="LO31" i="8"/>
  <c r="LO32" i="8" s="1"/>
  <c r="LO36" i="8" s="1"/>
  <c r="LO38" i="8" s="1"/>
  <c r="LP27" i="13"/>
  <c r="LP23" i="13" s="1"/>
  <c r="LP31" i="13"/>
  <c r="LP32" i="13" s="1"/>
  <c r="LP36" i="13" s="1"/>
  <c r="LP38" i="13" s="1"/>
  <c r="LP25" i="8" l="1"/>
  <c r="LO24" i="8"/>
  <c r="LQ25" i="13"/>
  <c r="LP24" i="13"/>
  <c r="LP27" i="8" l="1"/>
  <c r="LP23" i="8" s="1"/>
  <c r="LP31" i="8"/>
  <c r="LP32" i="8" s="1"/>
  <c r="LP36" i="8" s="1"/>
  <c r="LP38" i="8" s="1"/>
  <c r="LQ27" i="13"/>
  <c r="LQ23" i="13" s="1"/>
  <c r="LQ31" i="13"/>
  <c r="LQ32" i="13" s="1"/>
  <c r="LQ36" i="13" s="1"/>
  <c r="LQ38" i="13" s="1"/>
  <c r="LQ25" i="8" l="1"/>
  <c r="LP24" i="8"/>
  <c r="LR25" i="13"/>
  <c r="LQ24" i="13"/>
  <c r="LQ27" i="8" l="1"/>
  <c r="LQ23" i="8" s="1"/>
  <c r="LQ31" i="8"/>
  <c r="LQ32" i="8" s="1"/>
  <c r="LQ36" i="8" s="1"/>
  <c r="LQ38" i="8" s="1"/>
  <c r="LR27" i="13"/>
  <c r="LR23" i="13" s="1"/>
  <c r="LR31" i="13"/>
  <c r="LR32" i="13" s="1"/>
  <c r="LR36" i="13" s="1"/>
  <c r="LR38" i="13" s="1"/>
  <c r="LR25" i="8" l="1"/>
  <c r="LQ24" i="8"/>
  <c r="LS25" i="13"/>
  <c r="LR24" i="13"/>
  <c r="LR27" i="8" l="1"/>
  <c r="LR23" i="8" s="1"/>
  <c r="LR31" i="8"/>
  <c r="LR32" i="8" s="1"/>
  <c r="LR36" i="8" s="1"/>
  <c r="LR38" i="8" s="1"/>
  <c r="LS27" i="13"/>
  <c r="LS23" i="13" s="1"/>
  <c r="LS31" i="13"/>
  <c r="LS32" i="13" s="1"/>
  <c r="LS36" i="13" s="1"/>
  <c r="LS38" i="13" s="1"/>
  <c r="LS25" i="8" l="1"/>
  <c r="LR24" i="8"/>
  <c r="LT25" i="13"/>
  <c r="LS24" i="13"/>
  <c r="LS27" i="8" l="1"/>
  <c r="LS23" i="8" s="1"/>
  <c r="LS31" i="8"/>
  <c r="LS32" i="8" s="1"/>
  <c r="LS36" i="8" s="1"/>
  <c r="LS38" i="8" s="1"/>
  <c r="LT27" i="13"/>
  <c r="LT23" i="13" s="1"/>
  <c r="LT31" i="13"/>
  <c r="LT32" i="13" s="1"/>
  <c r="LT36" i="13" s="1"/>
  <c r="LT38" i="13" s="1"/>
  <c r="LT25" i="8" l="1"/>
  <c r="LS24" i="8"/>
  <c r="LU25" i="13"/>
  <c r="LT24" i="13"/>
  <c r="LT27" i="8" l="1"/>
  <c r="LT23" i="8" s="1"/>
  <c r="LT31" i="8"/>
  <c r="LT32" i="8" s="1"/>
  <c r="LT36" i="8" s="1"/>
  <c r="LT38" i="8" s="1"/>
  <c r="LU27" i="13"/>
  <c r="LU23" i="13" s="1"/>
  <c r="LU31" i="13"/>
  <c r="LU32" i="13" s="1"/>
  <c r="LU36" i="13" s="1"/>
  <c r="LU38" i="13" s="1"/>
  <c r="LU25" i="8" l="1"/>
  <c r="LT24" i="8"/>
  <c r="LV25" i="13"/>
  <c r="LU24" i="13"/>
  <c r="LU27" i="8" l="1"/>
  <c r="LU23" i="8" s="1"/>
  <c r="LU31" i="8"/>
  <c r="LU32" i="8" s="1"/>
  <c r="LU36" i="8" s="1"/>
  <c r="LU38" i="8" s="1"/>
  <c r="LV27" i="13"/>
  <c r="LV23" i="13" s="1"/>
  <c r="LV31" i="13"/>
  <c r="LV32" i="13" s="1"/>
  <c r="LV36" i="13" s="1"/>
  <c r="LV38" i="13" s="1"/>
  <c r="LV25" i="8" l="1"/>
  <c r="LU24" i="8"/>
  <c r="LW25" i="13"/>
  <c r="LV24" i="13"/>
  <c r="LV27" i="8" l="1"/>
  <c r="LV23" i="8" s="1"/>
  <c r="LV31" i="8"/>
  <c r="LV32" i="8" s="1"/>
  <c r="LV36" i="8" s="1"/>
  <c r="LV38" i="8" s="1"/>
  <c r="LW27" i="13"/>
  <c r="LW23" i="13" s="1"/>
  <c r="LW31" i="13"/>
  <c r="LW32" i="13" s="1"/>
  <c r="LW36" i="13" s="1"/>
  <c r="LW38" i="13" s="1"/>
  <c r="LW25" i="8" l="1"/>
  <c r="LV24" i="8"/>
  <c r="LX25" i="13"/>
  <c r="LW24" i="13"/>
  <c r="LW27" i="8" l="1"/>
  <c r="LW23" i="8" s="1"/>
  <c r="LW31" i="8"/>
  <c r="LW32" i="8" s="1"/>
  <c r="LW36" i="8" s="1"/>
  <c r="LW38" i="8" s="1"/>
  <c r="LX27" i="13"/>
  <c r="LX23" i="13" s="1"/>
  <c r="LX31" i="13"/>
  <c r="LX32" i="13" s="1"/>
  <c r="LX36" i="13" s="1"/>
  <c r="LX38" i="13" s="1"/>
  <c r="LX25" i="8" l="1"/>
  <c r="LW24" i="8"/>
  <c r="LY25" i="13"/>
  <c r="LX24" i="13"/>
  <c r="LX27" i="8" l="1"/>
  <c r="LX23" i="8" s="1"/>
  <c r="LX31" i="8"/>
  <c r="LX32" i="8" s="1"/>
  <c r="LX36" i="8" s="1"/>
  <c r="LX38" i="8" s="1"/>
  <c r="LY27" i="13"/>
  <c r="LY23" i="13" s="1"/>
  <c r="LY31" i="13"/>
  <c r="LY32" i="13" s="1"/>
  <c r="LY36" i="13" s="1"/>
  <c r="LY38" i="13" s="1"/>
  <c r="LY25" i="8" l="1"/>
  <c r="LX24" i="8"/>
  <c r="LZ25" i="13"/>
  <c r="LY24" i="13"/>
  <c r="LY27" i="8" l="1"/>
  <c r="LY23" i="8" s="1"/>
  <c r="LY31" i="8"/>
  <c r="LY32" i="8" s="1"/>
  <c r="LY36" i="8" s="1"/>
  <c r="LY38" i="8" s="1"/>
  <c r="LZ27" i="13"/>
  <c r="LZ23" i="13" s="1"/>
  <c r="LZ31" i="13"/>
  <c r="LZ32" i="13" s="1"/>
  <c r="LZ36" i="13" s="1"/>
  <c r="LZ38" i="13" s="1"/>
  <c r="LZ25" i="8" l="1"/>
  <c r="LY24" i="8"/>
  <c r="MA25" i="13"/>
  <c r="LZ24" i="13"/>
  <c r="LZ27" i="8" l="1"/>
  <c r="LZ23" i="8" s="1"/>
  <c r="LZ31" i="8"/>
  <c r="LZ32" i="8" s="1"/>
  <c r="LZ36" i="8" s="1"/>
  <c r="LZ38" i="8" s="1"/>
  <c r="MA27" i="13"/>
  <c r="MA23" i="13" s="1"/>
  <c r="MA31" i="13"/>
  <c r="MA32" i="13" s="1"/>
  <c r="MA36" i="13" s="1"/>
  <c r="MA38" i="13" s="1"/>
  <c r="MA25" i="8" l="1"/>
  <c r="LZ24" i="8"/>
  <c r="MB25" i="13"/>
  <c r="MA24" i="13"/>
  <c r="MA27" i="8" l="1"/>
  <c r="MA23" i="8" s="1"/>
  <c r="MA31" i="8"/>
  <c r="MA32" i="8" s="1"/>
  <c r="MA36" i="8" s="1"/>
  <c r="MA38" i="8" s="1"/>
  <c r="MB27" i="13"/>
  <c r="MB23" i="13" s="1"/>
  <c r="MB31" i="13"/>
  <c r="MB32" i="13" s="1"/>
  <c r="MB36" i="13" s="1"/>
  <c r="MB38" i="13" s="1"/>
  <c r="MB25" i="8" l="1"/>
  <c r="MA24" i="8"/>
  <c r="MC25" i="13"/>
  <c r="MB24" i="13"/>
  <c r="MB27" i="8" l="1"/>
  <c r="MB23" i="8" s="1"/>
  <c r="MB31" i="8"/>
  <c r="MB32" i="8" s="1"/>
  <c r="MB36" i="8" s="1"/>
  <c r="MB38" i="8" s="1"/>
  <c r="MC27" i="13"/>
  <c r="MC23" i="13" s="1"/>
  <c r="MC31" i="13"/>
  <c r="MC32" i="13" s="1"/>
  <c r="MC36" i="13" s="1"/>
  <c r="MC38" i="13" s="1"/>
  <c r="MC25" i="8" l="1"/>
  <c r="MB24" i="8"/>
  <c r="MD25" i="13"/>
  <c r="MC24" i="13"/>
  <c r="MC27" i="8" l="1"/>
  <c r="MC23" i="8" s="1"/>
  <c r="MC31" i="8"/>
  <c r="MC32" i="8" s="1"/>
  <c r="MC36" i="8" s="1"/>
  <c r="MC38" i="8" s="1"/>
  <c r="MD27" i="13"/>
  <c r="MD23" i="13" s="1"/>
  <c r="MD31" i="13"/>
  <c r="MD32" i="13" s="1"/>
  <c r="MD36" i="13" s="1"/>
  <c r="MD38" i="13" s="1"/>
  <c r="MD25" i="8" l="1"/>
  <c r="MC24" i="8"/>
  <c r="ME25" i="13"/>
  <c r="MD24" i="13"/>
  <c r="MD27" i="8" l="1"/>
  <c r="MD23" i="8" s="1"/>
  <c r="MD31" i="8"/>
  <c r="MD32" i="8" s="1"/>
  <c r="MD36" i="8" s="1"/>
  <c r="MD38" i="8" s="1"/>
  <c r="ME27" i="13"/>
  <c r="ME23" i="13" s="1"/>
  <c r="ME31" i="13"/>
  <c r="ME32" i="13" s="1"/>
  <c r="ME36" i="13" s="1"/>
  <c r="ME38" i="13" s="1"/>
  <c r="ME25" i="8" l="1"/>
  <c r="MD24" i="8"/>
  <c r="MF25" i="13"/>
  <c r="ME24" i="13"/>
  <c r="ME27" i="8" l="1"/>
  <c r="ME23" i="8" s="1"/>
  <c r="ME31" i="8"/>
  <c r="ME32" i="8" s="1"/>
  <c r="ME36" i="8" s="1"/>
  <c r="ME38" i="8" s="1"/>
  <c r="MF27" i="13"/>
  <c r="MF23" i="13" s="1"/>
  <c r="MF31" i="13"/>
  <c r="MF32" i="13" s="1"/>
  <c r="MF36" i="13" s="1"/>
  <c r="MF38" i="13" s="1"/>
  <c r="MF25" i="8" l="1"/>
  <c r="ME24" i="8"/>
  <c r="MG25" i="13"/>
  <c r="MF24" i="13"/>
  <c r="MF27" i="8" l="1"/>
  <c r="MF23" i="8" s="1"/>
  <c r="MF31" i="8"/>
  <c r="MF32" i="8" s="1"/>
  <c r="MF36" i="8" s="1"/>
  <c r="MF38" i="8" s="1"/>
  <c r="MG27" i="13"/>
  <c r="MG23" i="13" s="1"/>
  <c r="MG31" i="13"/>
  <c r="MG32" i="13" s="1"/>
  <c r="MG36" i="13" s="1"/>
  <c r="MG38" i="13" s="1"/>
  <c r="MG25" i="8" l="1"/>
  <c r="MF24" i="8"/>
  <c r="MH25" i="13"/>
  <c r="MG24" i="13"/>
  <c r="MG27" i="8" l="1"/>
  <c r="MG23" i="8" s="1"/>
  <c r="MG31" i="8"/>
  <c r="MG32" i="8" s="1"/>
  <c r="MG36" i="8" s="1"/>
  <c r="MG38" i="8" s="1"/>
  <c r="MH27" i="13"/>
  <c r="MH23" i="13" s="1"/>
  <c r="MH31" i="13"/>
  <c r="MH32" i="13" s="1"/>
  <c r="MH36" i="13" s="1"/>
  <c r="MH38" i="13" s="1"/>
  <c r="MH25" i="8" l="1"/>
  <c r="MG24" i="8"/>
  <c r="MI25" i="13"/>
  <c r="MH24" i="13"/>
  <c r="MH27" i="8" l="1"/>
  <c r="MH23" i="8" s="1"/>
  <c r="MH31" i="8"/>
  <c r="MH32" i="8" s="1"/>
  <c r="MH36" i="8" s="1"/>
  <c r="MH38" i="8" s="1"/>
  <c r="MI27" i="13"/>
  <c r="MI23" i="13" s="1"/>
  <c r="MI31" i="13"/>
  <c r="MI32" i="13" s="1"/>
  <c r="MI36" i="13" s="1"/>
  <c r="MI38" i="13" s="1"/>
  <c r="MI25" i="8" l="1"/>
  <c r="MH24" i="8"/>
  <c r="MJ25" i="13"/>
  <c r="MI24" i="13"/>
  <c r="MI27" i="8" l="1"/>
  <c r="MI23" i="8" s="1"/>
  <c r="MI31" i="8"/>
  <c r="MI32" i="8" s="1"/>
  <c r="MI36" i="8" s="1"/>
  <c r="MI38" i="8" s="1"/>
  <c r="MJ27" i="13"/>
  <c r="MJ23" i="13" s="1"/>
  <c r="MJ31" i="13"/>
  <c r="MJ32" i="13" s="1"/>
  <c r="MJ36" i="13" s="1"/>
  <c r="MJ38" i="13" s="1"/>
  <c r="MJ25" i="8" l="1"/>
  <c r="MI24" i="8"/>
  <c r="MK25" i="13"/>
  <c r="MJ24" i="13"/>
  <c r="MJ27" i="8" l="1"/>
  <c r="MJ23" i="8" s="1"/>
  <c r="MJ31" i="8"/>
  <c r="MJ32" i="8" s="1"/>
  <c r="MJ36" i="8" s="1"/>
  <c r="MJ38" i="8" s="1"/>
  <c r="MK27" i="13"/>
  <c r="MK23" i="13" s="1"/>
  <c r="MK31" i="13"/>
  <c r="MK32" i="13" s="1"/>
  <c r="MK36" i="13" s="1"/>
  <c r="MK38" i="13" s="1"/>
  <c r="MK25" i="8" l="1"/>
  <c r="MJ24" i="8"/>
  <c r="ML25" i="13"/>
  <c r="MK24" i="13"/>
  <c r="MK27" i="8" l="1"/>
  <c r="MK23" i="8" s="1"/>
  <c r="MK31" i="8"/>
  <c r="MK32" i="8" s="1"/>
  <c r="MK36" i="8" s="1"/>
  <c r="MK38" i="8" s="1"/>
  <c r="ML27" i="13"/>
  <c r="ML23" i="13" s="1"/>
  <c r="ML31" i="13"/>
  <c r="ML32" i="13" s="1"/>
  <c r="ML36" i="13" s="1"/>
  <c r="ML38" i="13" s="1"/>
  <c r="ML25" i="8" l="1"/>
  <c r="MK24" i="8"/>
  <c r="MM25" i="13"/>
  <c r="ML24" i="13"/>
  <c r="ML27" i="8" l="1"/>
  <c r="ML23" i="8" s="1"/>
  <c r="ML31" i="8"/>
  <c r="ML32" i="8" s="1"/>
  <c r="ML36" i="8" s="1"/>
  <c r="ML38" i="8" s="1"/>
  <c r="MM27" i="13"/>
  <c r="MM23" i="13" s="1"/>
  <c r="MM31" i="13"/>
  <c r="MM32" i="13" s="1"/>
  <c r="MM36" i="13" s="1"/>
  <c r="MM38" i="13" s="1"/>
  <c r="MM25" i="8" l="1"/>
  <c r="ML24" i="8"/>
  <c r="MN25" i="13"/>
  <c r="MM24" i="13"/>
  <c r="MM27" i="8" l="1"/>
  <c r="MM23" i="8" s="1"/>
  <c r="MM31" i="8"/>
  <c r="MM32" i="8" s="1"/>
  <c r="MM36" i="8" s="1"/>
  <c r="MM38" i="8" s="1"/>
  <c r="MN27" i="13"/>
  <c r="MN23" i="13" s="1"/>
  <c r="MN31" i="13"/>
  <c r="MN32" i="13" s="1"/>
  <c r="MN36" i="13" s="1"/>
  <c r="MN38" i="13" s="1"/>
  <c r="MN25" i="8" l="1"/>
  <c r="MM24" i="8"/>
  <c r="MO25" i="13"/>
  <c r="MN24" i="13"/>
  <c r="MN27" i="8" l="1"/>
  <c r="MN23" i="8" s="1"/>
  <c r="MN31" i="8"/>
  <c r="MN32" i="8" s="1"/>
  <c r="MN36" i="8" s="1"/>
  <c r="MN38" i="8" s="1"/>
  <c r="MO27" i="13"/>
  <c r="MO23" i="13" s="1"/>
  <c r="MO31" i="13"/>
  <c r="MO32" i="13" s="1"/>
  <c r="MO36" i="13" s="1"/>
  <c r="MO38" i="13" s="1"/>
  <c r="MO25" i="8" l="1"/>
  <c r="MN24" i="8"/>
  <c r="MP25" i="13"/>
  <c r="MO24" i="13"/>
  <c r="MO27" i="8" l="1"/>
  <c r="MO23" i="8" s="1"/>
  <c r="MO31" i="8"/>
  <c r="MO32" i="8" s="1"/>
  <c r="MO36" i="8" s="1"/>
  <c r="MO38" i="8" s="1"/>
  <c r="MP27" i="13"/>
  <c r="MP23" i="13" s="1"/>
  <c r="MP31" i="13"/>
  <c r="MP32" i="13" s="1"/>
  <c r="MP36" i="13" s="1"/>
  <c r="MP38" i="13" s="1"/>
  <c r="MP25" i="8" l="1"/>
  <c r="MO24" i="8"/>
  <c r="MQ25" i="13"/>
  <c r="MP24" i="13"/>
  <c r="MP27" i="8" l="1"/>
  <c r="MP23" i="8" s="1"/>
  <c r="MP31" i="8"/>
  <c r="MP32" i="8" s="1"/>
  <c r="MP36" i="8" s="1"/>
  <c r="MP38" i="8" s="1"/>
  <c r="MQ27" i="13"/>
  <c r="MQ23" i="13" s="1"/>
  <c r="MQ31" i="13"/>
  <c r="MQ32" i="13" s="1"/>
  <c r="MQ36" i="13" s="1"/>
  <c r="MQ38" i="13" s="1"/>
  <c r="MQ25" i="8" l="1"/>
  <c r="MP24" i="8"/>
  <c r="MR25" i="13"/>
  <c r="MQ24" i="13"/>
  <c r="MQ27" i="8" l="1"/>
  <c r="MQ23" i="8" s="1"/>
  <c r="MQ31" i="8"/>
  <c r="MQ32" i="8" s="1"/>
  <c r="MQ36" i="8" s="1"/>
  <c r="MQ38" i="8" s="1"/>
  <c r="MR27" i="13"/>
  <c r="MR23" i="13" s="1"/>
  <c r="MR31" i="13"/>
  <c r="MR32" i="13" s="1"/>
  <c r="MR36" i="13" s="1"/>
  <c r="MR38" i="13" s="1"/>
  <c r="MR25" i="8" l="1"/>
  <c r="MQ24" i="8"/>
  <c r="MS25" i="13"/>
  <c r="MR24" i="13"/>
  <c r="MR27" i="8" l="1"/>
  <c r="MR23" i="8" s="1"/>
  <c r="MR31" i="8"/>
  <c r="MR32" i="8" s="1"/>
  <c r="MR36" i="8" s="1"/>
  <c r="MR38" i="8" s="1"/>
  <c r="MS27" i="13"/>
  <c r="MS23" i="13" s="1"/>
  <c r="MS31" i="13"/>
  <c r="MS32" i="13" s="1"/>
  <c r="MS36" i="13" s="1"/>
  <c r="MS38" i="13" s="1"/>
  <c r="MS25" i="8" l="1"/>
  <c r="MR24" i="8"/>
  <c r="MT25" i="13"/>
  <c r="MS24" i="13"/>
  <c r="MS27" i="8" l="1"/>
  <c r="MS23" i="8" s="1"/>
  <c r="MS31" i="8"/>
  <c r="MS32" i="8" s="1"/>
  <c r="MS36" i="8" s="1"/>
  <c r="MS38" i="8" s="1"/>
  <c r="MT27" i="13"/>
  <c r="MT23" i="13" s="1"/>
  <c r="MT31" i="13"/>
  <c r="MT32" i="13" s="1"/>
  <c r="MT36" i="13" s="1"/>
  <c r="MT38" i="13" s="1"/>
  <c r="MT25" i="8" l="1"/>
  <c r="MS24" i="8"/>
  <c r="MU25" i="13"/>
  <c r="MT24" i="13"/>
  <c r="MT27" i="8" l="1"/>
  <c r="MT23" i="8" s="1"/>
  <c r="MT31" i="8"/>
  <c r="MT32" i="8" s="1"/>
  <c r="MT36" i="8" s="1"/>
  <c r="MT38" i="8" s="1"/>
  <c r="MU27" i="13"/>
  <c r="MU23" i="13" s="1"/>
  <c r="MU31" i="13"/>
  <c r="MU32" i="13" s="1"/>
  <c r="MU36" i="13" s="1"/>
  <c r="MU38" i="13" s="1"/>
  <c r="MU25" i="8" l="1"/>
  <c r="MT24" i="8"/>
  <c r="MV25" i="13"/>
  <c r="MU24" i="13"/>
  <c r="MU27" i="8" l="1"/>
  <c r="MU23" i="8" s="1"/>
  <c r="MU31" i="8"/>
  <c r="MU32" i="8" s="1"/>
  <c r="MU36" i="8" s="1"/>
  <c r="MU38" i="8" s="1"/>
  <c r="MV27" i="13"/>
  <c r="MV23" i="13" s="1"/>
  <c r="MV31" i="13"/>
  <c r="MV32" i="13" s="1"/>
  <c r="MV36" i="13" s="1"/>
  <c r="MV38" i="13" s="1"/>
  <c r="MV25" i="8" l="1"/>
  <c r="MU24" i="8"/>
  <c r="MW25" i="13"/>
  <c r="MV24" i="13"/>
  <c r="MV27" i="8" l="1"/>
  <c r="MV23" i="8" s="1"/>
  <c r="MV31" i="8"/>
  <c r="MV32" i="8" s="1"/>
  <c r="MV36" i="8" s="1"/>
  <c r="MV38" i="8" s="1"/>
  <c r="MW27" i="13"/>
  <c r="MW23" i="13" s="1"/>
  <c r="MW31" i="13"/>
  <c r="MW32" i="13" s="1"/>
  <c r="MW36" i="13" s="1"/>
  <c r="MW38" i="13" s="1"/>
  <c r="MW25" i="8" l="1"/>
  <c r="MV24" i="8"/>
  <c r="MX25" i="13"/>
  <c r="MW24" i="13"/>
  <c r="MW27" i="8" l="1"/>
  <c r="MW23" i="8" s="1"/>
  <c r="MW31" i="8"/>
  <c r="MW32" i="8" s="1"/>
  <c r="MW36" i="8" s="1"/>
  <c r="MW38" i="8" s="1"/>
  <c r="MX27" i="13"/>
  <c r="MX23" i="13" s="1"/>
  <c r="MX24" i="13" s="1"/>
  <c r="MX31" i="13"/>
  <c r="MX32" i="13" s="1"/>
  <c r="MX36" i="13" s="1"/>
  <c r="MX38" i="13" s="1"/>
  <c r="MX25" i="8" l="1"/>
  <c r="MW24" i="8"/>
  <c r="MX27" i="8" l="1"/>
  <c r="MX23" i="8" s="1"/>
  <c r="MX24" i="8" s="1"/>
  <c r="MX31" i="8"/>
  <c r="MX32" i="8" s="1"/>
  <c r="MX36" i="8" s="1"/>
  <c r="MX38" i="8" s="1"/>
</calcChain>
</file>

<file path=xl/sharedStrings.xml><?xml version="1.0" encoding="utf-8"?>
<sst xmlns="http://schemas.openxmlformats.org/spreadsheetml/2006/main" count="4349" uniqueCount="891">
  <si>
    <t>Zip</t>
  </si>
  <si>
    <t>State</t>
  </si>
  <si>
    <t>City</t>
  </si>
  <si>
    <t>Metro</t>
  </si>
  <si>
    <t>CountyName</t>
  </si>
  <si>
    <t>Rental_price</t>
  </si>
  <si>
    <t>Buying_Price</t>
  </si>
  <si>
    <t>MI</t>
  </si>
  <si>
    <t>Ypsilanti</t>
  </si>
  <si>
    <t>Ann Arbor, MI</t>
  </si>
  <si>
    <t>Washtenaw County</t>
  </si>
  <si>
    <t>Taylor</t>
  </si>
  <si>
    <t>Detroit-Warren-Dearborn, MI</t>
  </si>
  <si>
    <t>Wayne County</t>
  </si>
  <si>
    <t>Detroit</t>
  </si>
  <si>
    <t>Macomb</t>
  </si>
  <si>
    <t>Macomb County</t>
  </si>
  <si>
    <t>Ann Arbor</t>
  </si>
  <si>
    <t>East Lansing</t>
  </si>
  <si>
    <t>Lansing-East Lansing, MI</t>
  </si>
  <si>
    <t>Ingham County</t>
  </si>
  <si>
    <t>Canton</t>
  </si>
  <si>
    <t>Dearborn</t>
  </si>
  <si>
    <t>Mount Pleasant</t>
  </si>
  <si>
    <t>Mount Pleasant, MI</t>
  </si>
  <si>
    <t>Isabella County</t>
  </si>
  <si>
    <t>Jackson</t>
  </si>
  <si>
    <t>Jackson, MI</t>
  </si>
  <si>
    <t>Jackson County</t>
  </si>
  <si>
    <t>Westland</t>
  </si>
  <si>
    <t>Roseville</t>
  </si>
  <si>
    <t>Holland</t>
  </si>
  <si>
    <t>Grand Rapids-Kentwood, MI</t>
  </si>
  <si>
    <t>Ottawa County</t>
  </si>
  <si>
    <t>Grand Blanc</t>
  </si>
  <si>
    <t>Flint, MI</t>
  </si>
  <si>
    <t>Genesee County</t>
  </si>
  <si>
    <t>Howell</t>
  </si>
  <si>
    <t>Livingston County</t>
  </si>
  <si>
    <t>Rochester Hills</t>
  </si>
  <si>
    <t>Oakland County</t>
  </si>
  <si>
    <t>Sterling Heights</t>
  </si>
  <si>
    <t>Muskegon</t>
  </si>
  <si>
    <t>Muskegon, MI</t>
  </si>
  <si>
    <t>Muskegon County</t>
  </si>
  <si>
    <t>Kalamazoo</t>
  </si>
  <si>
    <t>Kalamazoo-Portage, MI</t>
  </si>
  <si>
    <t>Kalamazoo County</t>
  </si>
  <si>
    <t>Woodhaven</t>
  </si>
  <si>
    <t>Clinton</t>
  </si>
  <si>
    <t>Belleville</t>
  </si>
  <si>
    <t>Kentwood</t>
  </si>
  <si>
    <t>Kent County</t>
  </si>
  <si>
    <t>Lansing</t>
  </si>
  <si>
    <t>Adrian</t>
  </si>
  <si>
    <t>Adrian, MI</t>
  </si>
  <si>
    <t>Lenawee County</t>
  </si>
  <si>
    <t>Plymouth</t>
  </si>
  <si>
    <t>Chesterfield</t>
  </si>
  <si>
    <t>Port Huron</t>
  </si>
  <si>
    <t>Saint Clair County</t>
  </si>
  <si>
    <t>Bangor Township</t>
  </si>
  <si>
    <t>Bay City, MI</t>
  </si>
  <si>
    <t>Bay County</t>
  </si>
  <si>
    <t>Grand Rapids</t>
  </si>
  <si>
    <t>Fenton</t>
  </si>
  <si>
    <t>Hamtramck</t>
  </si>
  <si>
    <t>Lincoln Park</t>
  </si>
  <si>
    <t>Niles</t>
  </si>
  <si>
    <t>Niles, MI</t>
  </si>
  <si>
    <t>Berrien County</t>
  </si>
  <si>
    <t>Hudsonville</t>
  </si>
  <si>
    <t>Livonia</t>
  </si>
  <si>
    <t>Dearborn Heights</t>
  </si>
  <si>
    <t>Rockford</t>
  </si>
  <si>
    <t>South Lyon</t>
  </si>
  <si>
    <t>Norton Shores</t>
  </si>
  <si>
    <t>Saginaw</t>
  </si>
  <si>
    <t>Saginaw, MI</t>
  </si>
  <si>
    <t>Saginaw County</t>
  </si>
  <si>
    <t>Redford</t>
  </si>
  <si>
    <t>East Grand Rapids</t>
  </si>
  <si>
    <t>Royal Oak</t>
  </si>
  <si>
    <t>Eastpointe</t>
  </si>
  <si>
    <t>West Bloomfield</t>
  </si>
  <si>
    <t>Marquette</t>
  </si>
  <si>
    <t>Marquette, MI</t>
  </si>
  <si>
    <t>Marquette County</t>
  </si>
  <si>
    <t>Eaton County</t>
  </si>
  <si>
    <t>Davison</t>
  </si>
  <si>
    <t>Romulus</t>
  </si>
  <si>
    <t>Midland</t>
  </si>
  <si>
    <t>Midland, MI</t>
  </si>
  <si>
    <t>Midland County</t>
  </si>
  <si>
    <t>Grand Haven</t>
  </si>
  <si>
    <t>Warren</t>
  </si>
  <si>
    <t>Lapeer</t>
  </si>
  <si>
    <t>Lapeer County</t>
  </si>
  <si>
    <t>Benton Harbor</t>
  </si>
  <si>
    <t>Flint</t>
  </si>
  <si>
    <t>Madison Heights</t>
  </si>
  <si>
    <t>Zeeland</t>
  </si>
  <si>
    <t>Grosse Pointe Woods</t>
  </si>
  <si>
    <t>Oak Park</t>
  </si>
  <si>
    <t>Southgate</t>
  </si>
  <si>
    <t>Grandville</t>
  </si>
  <si>
    <t>Portage</t>
  </si>
  <si>
    <t>Wyoming</t>
  </si>
  <si>
    <t>Shelby</t>
  </si>
  <si>
    <t>Jenison</t>
  </si>
  <si>
    <t>Owosso</t>
  </si>
  <si>
    <t>Shiawassee County</t>
  </si>
  <si>
    <t>Brighton</t>
  </si>
  <si>
    <t>Monroe</t>
  </si>
  <si>
    <t>Monroe, MI</t>
  </si>
  <si>
    <t>Monroe County</t>
  </si>
  <si>
    <t>Allen Park</t>
  </si>
  <si>
    <t>Battle Creek</t>
  </si>
  <si>
    <t>Battle Creek, MI</t>
  </si>
  <si>
    <t>Calhoun County</t>
  </si>
  <si>
    <t>Allendale</t>
  </si>
  <si>
    <t>Garden City</t>
  </si>
  <si>
    <t>Waterford</t>
  </si>
  <si>
    <t>Troy</t>
  </si>
  <si>
    <t>Bay City</t>
  </si>
  <si>
    <t>Commerce</t>
  </si>
  <si>
    <t>Comstock</t>
  </si>
  <si>
    <t>Oxford</t>
  </si>
  <si>
    <t>Pontiac</t>
  </si>
  <si>
    <t>Farmington Hills</t>
  </si>
  <si>
    <t>Lathrup Village</t>
  </si>
  <si>
    <t>Wyandotte</t>
  </si>
  <si>
    <t>Flushing</t>
  </si>
  <si>
    <t>Harrison Township</t>
  </si>
  <si>
    <t>Inkster</t>
  </si>
  <si>
    <t>Walled Lake</t>
  </si>
  <si>
    <t>Byron Center</t>
  </si>
  <si>
    <t>Farmington</t>
  </si>
  <si>
    <t>Northville</t>
  </si>
  <si>
    <t>Clarkston</t>
  </si>
  <si>
    <t>Auburn Hills</t>
  </si>
  <si>
    <t>Saint Joseph</t>
  </si>
  <si>
    <t>Coldwater</t>
  </si>
  <si>
    <t>Coldwater, MI</t>
  </si>
  <si>
    <t>Branch County</t>
  </si>
  <si>
    <t>Traverse City</t>
  </si>
  <si>
    <t>Traverse City, MI</t>
  </si>
  <si>
    <t>Grand Traverse County</t>
  </si>
  <si>
    <t>Ferndale</t>
  </si>
  <si>
    <t>Ada</t>
  </si>
  <si>
    <t>Novi</t>
  </si>
  <si>
    <t>Cadillac</t>
  </si>
  <si>
    <t>Cadillac, MI</t>
  </si>
  <si>
    <t>Wexford County</t>
  </si>
  <si>
    <t>Saline</t>
  </si>
  <si>
    <t>Walker</t>
  </si>
  <si>
    <t>Temperance</t>
  </si>
  <si>
    <t>Mason</t>
  </si>
  <si>
    <t>Charlotte</t>
  </si>
  <si>
    <t>Gaines</t>
  </si>
  <si>
    <t>Okemos</t>
  </si>
  <si>
    <t>Holly</t>
  </si>
  <si>
    <t>Alpena</t>
  </si>
  <si>
    <t>Alpena, MI</t>
  </si>
  <si>
    <t>Alpena County</t>
  </si>
  <si>
    <t>Southfield</t>
  </si>
  <si>
    <t>Saint Clair Shores</t>
  </si>
  <si>
    <t>Swartz Creek</t>
  </si>
  <si>
    <t>Birmingham</t>
  </si>
  <si>
    <t>Vienna</t>
  </si>
  <si>
    <t>Pinckney</t>
  </si>
  <si>
    <t>Holt</t>
  </si>
  <si>
    <t>Big Rapids</t>
  </si>
  <si>
    <t>Big Rapids, MI</t>
  </si>
  <si>
    <t>Mecosta County</t>
  </si>
  <si>
    <t>Flat Rock</t>
  </si>
  <si>
    <t>Washington</t>
  </si>
  <si>
    <t>Ionia</t>
  </si>
  <si>
    <t>Ionia County</t>
  </si>
  <si>
    <t>Ferrysburg</t>
  </si>
  <si>
    <t>Grand Ledge</t>
  </si>
  <si>
    <t>Gaylord</t>
  </si>
  <si>
    <t>Otsego County</t>
  </si>
  <si>
    <t>Allegan</t>
  </si>
  <si>
    <t>Holland, MI</t>
  </si>
  <si>
    <t>Allegan County</t>
  </si>
  <si>
    <t>Sturgis</t>
  </si>
  <si>
    <t>Sturgis, MI</t>
  </si>
  <si>
    <t>Saint Joseph County</t>
  </si>
  <si>
    <t>Saint Johns</t>
  </si>
  <si>
    <t>Clinton County</t>
  </si>
  <si>
    <t>Hastings</t>
  </si>
  <si>
    <t>Barry County</t>
  </si>
  <si>
    <t>White Lake</t>
  </si>
  <si>
    <t>Cedar Springs</t>
  </si>
  <si>
    <t>Greenville</t>
  </si>
  <si>
    <t>Montcalm County</t>
  </si>
  <si>
    <t>Mount Morris</t>
  </si>
  <si>
    <t>Dewitt</t>
  </si>
  <si>
    <t>Sault Sainte Marie</t>
  </si>
  <si>
    <t>Sault Ste. Marie, MI</t>
  </si>
  <si>
    <t>Chippewa County</t>
  </si>
  <si>
    <t>Comstock Park</t>
  </si>
  <si>
    <t>Three Rivers</t>
  </si>
  <si>
    <t>Ludington</t>
  </si>
  <si>
    <t>Ludington, MI</t>
  </si>
  <si>
    <t>Mason County</t>
  </si>
  <si>
    <t>Lowell</t>
  </si>
  <si>
    <t>Wayne</t>
  </si>
  <si>
    <t>Bloomfield Hills</t>
  </si>
  <si>
    <t>Cooper</t>
  </si>
  <si>
    <t>Orchard Lake</t>
  </si>
  <si>
    <t>Petoskey</t>
  </si>
  <si>
    <t>Emmet County</t>
  </si>
  <si>
    <t>Gunplain</t>
  </si>
  <si>
    <t>Hazel Park</t>
  </si>
  <si>
    <t>Riverview</t>
  </si>
  <si>
    <t>Dexter</t>
  </si>
  <si>
    <t>Lake Orion</t>
  </si>
  <si>
    <t>Eaton Rapids</t>
  </si>
  <si>
    <t>Mount Clemens</t>
  </si>
  <si>
    <t>Grosse Pointe Park</t>
  </si>
  <si>
    <t>Escanaba</t>
  </si>
  <si>
    <t>Escanaba, MI</t>
  </si>
  <si>
    <t>Delta County</t>
  </si>
  <si>
    <t>Gladwin</t>
  </si>
  <si>
    <t>Gladwin County</t>
  </si>
  <si>
    <t>Wixom</t>
  </si>
  <si>
    <t>Berkley</t>
  </si>
  <si>
    <t>Beverly Hills</t>
  </si>
  <si>
    <t>Tecumseh</t>
  </si>
  <si>
    <t>Fowlerville</t>
  </si>
  <si>
    <t>Fraser</t>
  </si>
  <si>
    <t>Milan</t>
  </si>
  <si>
    <t>Linden</t>
  </si>
  <si>
    <t>Paw Paw</t>
  </si>
  <si>
    <t>Van Buren County</t>
  </si>
  <si>
    <t>Hillsdale</t>
  </si>
  <si>
    <t>Hillsdale, MI</t>
  </si>
  <si>
    <t>Hillsdale County</t>
  </si>
  <si>
    <t>Marshall</t>
  </si>
  <si>
    <t>Dowagiac</t>
  </si>
  <si>
    <t>South Bend-Mishawaka, IN-MI</t>
  </si>
  <si>
    <t>Cass County</t>
  </si>
  <si>
    <t>Manistee</t>
  </si>
  <si>
    <t>Manistee County</t>
  </si>
  <si>
    <t>Fort Gratiot</t>
  </si>
  <si>
    <t>Freeland</t>
  </si>
  <si>
    <t>Cheboygan</t>
  </si>
  <si>
    <t>Cheboygan County</t>
  </si>
  <si>
    <t>South Haven</t>
  </si>
  <si>
    <t>Sparta</t>
  </si>
  <si>
    <t>Harper Woods</t>
  </si>
  <si>
    <t>Albion</t>
  </si>
  <si>
    <t>Ortonville</t>
  </si>
  <si>
    <t>Harrison</t>
  </si>
  <si>
    <t>Clare County</t>
  </si>
  <si>
    <t>Middleville</t>
  </si>
  <si>
    <t>Wayland</t>
  </si>
  <si>
    <t>Brownstown</t>
  </si>
  <si>
    <t>Whitmore Lake</t>
  </si>
  <si>
    <t>Chelsea</t>
  </si>
  <si>
    <t>Milford</t>
  </si>
  <si>
    <t>Alma</t>
  </si>
  <si>
    <t>Alma, MI</t>
  </si>
  <si>
    <t>Gratiot County</t>
  </si>
  <si>
    <t>Ishpeming</t>
  </si>
  <si>
    <t>Fremont</t>
  </si>
  <si>
    <t>Newaygo County</t>
  </si>
  <si>
    <t>Orion</t>
  </si>
  <si>
    <t>Saint Clair</t>
  </si>
  <si>
    <t>Clawson</t>
  </si>
  <si>
    <t>Haslett</t>
  </si>
  <si>
    <t>Vicksburg</t>
  </si>
  <si>
    <t>Newport</t>
  </si>
  <si>
    <t>Newaygo</t>
  </si>
  <si>
    <t>Williamston</t>
  </si>
  <si>
    <t>Caro</t>
  </si>
  <si>
    <t>Tuscola County</t>
  </si>
  <si>
    <t>Lincoln</t>
  </si>
  <si>
    <t>Menominee</t>
  </si>
  <si>
    <t>Marinette, WI-MI</t>
  </si>
  <si>
    <t>Menominee County</t>
  </si>
  <si>
    <t>Algonac</t>
  </si>
  <si>
    <t>Belding</t>
  </si>
  <si>
    <t>Oronoko</t>
  </si>
  <si>
    <t>Romeo</t>
  </si>
  <si>
    <t>Brooklyn</t>
  </si>
  <si>
    <t>Twin Lake</t>
  </si>
  <si>
    <t>Hampton</t>
  </si>
  <si>
    <t>Iron Mountain</t>
  </si>
  <si>
    <t>Iron Mountain, MI-WI</t>
  </si>
  <si>
    <t>Dickinson County</t>
  </si>
  <si>
    <t>Grayling</t>
  </si>
  <si>
    <t>Crawford County</t>
  </si>
  <si>
    <t>Huron</t>
  </si>
  <si>
    <t>Belmont</t>
  </si>
  <si>
    <t>Richmond</t>
  </si>
  <si>
    <t>Melvindale</t>
  </si>
  <si>
    <t>Saint Louis</t>
  </si>
  <si>
    <t>Fennville</t>
  </si>
  <si>
    <t>Carleton</t>
  </si>
  <si>
    <t>Buchanan</t>
  </si>
  <si>
    <t>West Branch</t>
  </si>
  <si>
    <t>Ogemaw County</t>
  </si>
  <si>
    <t>Lambertville</t>
  </si>
  <si>
    <t>Vassar</t>
  </si>
  <si>
    <t>Highland</t>
  </si>
  <si>
    <t>Grass Lake</t>
  </si>
  <si>
    <t>Burton</t>
  </si>
  <si>
    <t>Marysville</t>
  </si>
  <si>
    <t>Edwardsburg</t>
  </si>
  <si>
    <t>Portland</t>
  </si>
  <si>
    <t>Houghton</t>
  </si>
  <si>
    <t>Houghton, MI</t>
  </si>
  <si>
    <t>Houghton County</t>
  </si>
  <si>
    <t>Durand</t>
  </si>
  <si>
    <t>Ecorse</t>
  </si>
  <si>
    <t>New Haven</t>
  </si>
  <si>
    <t>Gladstone</t>
  </si>
  <si>
    <t>Smiths Creek</t>
  </si>
  <si>
    <t>Grosse Ile</t>
  </si>
  <si>
    <t>Imlay City</t>
  </si>
  <si>
    <t>Otsego</t>
  </si>
  <si>
    <t>Coloma</t>
  </si>
  <si>
    <t>Negaunee</t>
  </si>
  <si>
    <t>Roscommon</t>
  </si>
  <si>
    <t>Roscommon County</t>
  </si>
  <si>
    <t>Beaverton</t>
  </si>
  <si>
    <t>Williamsburg</t>
  </si>
  <si>
    <t>Clare</t>
  </si>
  <si>
    <t>Charlevoix</t>
  </si>
  <si>
    <t>Charlevoix County</t>
  </si>
  <si>
    <t>West Olive</t>
  </si>
  <si>
    <t>Whitehall</t>
  </si>
  <si>
    <t>Oscoda</t>
  </si>
  <si>
    <t>Iosco County</t>
  </si>
  <si>
    <t>Mattawan</t>
  </si>
  <si>
    <t>White Cloud</t>
  </si>
  <si>
    <t>Coopersville</t>
  </si>
  <si>
    <t>Millington</t>
  </si>
  <si>
    <t>Montrose</t>
  </si>
  <si>
    <t>Center Line</t>
  </si>
  <si>
    <t>Delton</t>
  </si>
  <si>
    <t>Cassopolis</t>
  </si>
  <si>
    <t>Howard City</t>
  </si>
  <si>
    <t>Dorr</t>
  </si>
  <si>
    <t>Schoolcraft</t>
  </si>
  <si>
    <t>Grant</t>
  </si>
  <si>
    <t>North Branch</t>
  </si>
  <si>
    <t>Calumet</t>
  </si>
  <si>
    <t>East Jordan</t>
  </si>
  <si>
    <t>Richland</t>
  </si>
  <si>
    <t>Hancock</t>
  </si>
  <si>
    <t>Metamora</t>
  </si>
  <si>
    <t>Hamilton</t>
  </si>
  <si>
    <t>Pinconning</t>
  </si>
  <si>
    <t>Marine City</t>
  </si>
  <si>
    <t>Mancelona</t>
  </si>
  <si>
    <t>Antrim County</t>
  </si>
  <si>
    <t>River Rouge</t>
  </si>
  <si>
    <t>Ironwood</t>
  </si>
  <si>
    <t>Gogebic County</t>
  </si>
  <si>
    <t>Springfield</t>
  </si>
  <si>
    <t>Kalkaska</t>
  </si>
  <si>
    <t>Kalkaska County</t>
  </si>
  <si>
    <t>Oakland</t>
  </si>
  <si>
    <t>Shepherd</t>
  </si>
  <si>
    <t>Manchester</t>
  </si>
  <si>
    <t>Reed City</t>
  </si>
  <si>
    <t>Osceola County</t>
  </si>
  <si>
    <t>Lake City</t>
  </si>
  <si>
    <t>Missaukee County</t>
  </si>
  <si>
    <t>Sanford</t>
  </si>
  <si>
    <t>China</t>
  </si>
  <si>
    <t>Harbor Springs</t>
  </si>
  <si>
    <t>Frankenmuth</t>
  </si>
  <si>
    <t>Dundee</t>
  </si>
  <si>
    <t>Bath</t>
  </si>
  <si>
    <t>Montague</t>
  </si>
  <si>
    <t>Perry</t>
  </si>
  <si>
    <t>Gwinn</t>
  </si>
  <si>
    <t>Laingsburg</t>
  </si>
  <si>
    <t>Boyne City</t>
  </si>
  <si>
    <t>Hartford</t>
  </si>
  <si>
    <t>Chesaning</t>
  </si>
  <si>
    <t>Kingsley</t>
  </si>
  <si>
    <t>Bad Axe</t>
  </si>
  <si>
    <t>Huron County</t>
  </si>
  <si>
    <t>Interlochen</t>
  </si>
  <si>
    <t>Greater Galesburg</t>
  </si>
  <si>
    <t>Goodrich</t>
  </si>
  <si>
    <t>Houghton Lake</t>
  </si>
  <si>
    <t>Huntington Woods</t>
  </si>
  <si>
    <t>Auburn</t>
  </si>
  <si>
    <t>New Hudson</t>
  </si>
  <si>
    <t>Bellevue</t>
  </si>
  <si>
    <t>Fruitport</t>
  </si>
  <si>
    <t>Almont</t>
  </si>
  <si>
    <t>Leslie</t>
  </si>
  <si>
    <t>Cass City</t>
  </si>
  <si>
    <t>Saint Charles</t>
  </si>
  <si>
    <t>Kingsford</t>
  </si>
  <si>
    <t>Ravenna</t>
  </si>
  <si>
    <t>Jonesville</t>
  </si>
  <si>
    <t>White Pigeon</t>
  </si>
  <si>
    <t>Columbiaville</t>
  </si>
  <si>
    <t>Croswell</t>
  </si>
  <si>
    <t>Sanilac County</t>
  </si>
  <si>
    <t>Gobles</t>
  </si>
  <si>
    <t>Ithaca</t>
  </si>
  <si>
    <t>Stockbridge</t>
  </si>
  <si>
    <t>Stanton</t>
  </si>
  <si>
    <t>Bronson</t>
  </si>
  <si>
    <t>Lake Odessa</t>
  </si>
  <si>
    <t>Quincy</t>
  </si>
  <si>
    <t>Dimondale</t>
  </si>
  <si>
    <t>Manton</t>
  </si>
  <si>
    <t>Kincheloe</t>
  </si>
  <si>
    <t>Iron County</t>
  </si>
  <si>
    <t>Hemlock</t>
  </si>
  <si>
    <t>Watervliet</t>
  </si>
  <si>
    <t>Hart</t>
  </si>
  <si>
    <t>Oceana County</t>
  </si>
  <si>
    <t>Coleman</t>
  </si>
  <si>
    <t>Hudson</t>
  </si>
  <si>
    <t>Corunna</t>
  </si>
  <si>
    <t>Decatur</t>
  </si>
  <si>
    <t>Lake</t>
  </si>
  <si>
    <t>Evart</t>
  </si>
  <si>
    <t>Petersburg</t>
  </si>
  <si>
    <t>Sand Lake</t>
  </si>
  <si>
    <t>Newberry</t>
  </si>
  <si>
    <t>Luce County</t>
  </si>
  <si>
    <t>Kent City</t>
  </si>
  <si>
    <t>Brown City</t>
  </si>
  <si>
    <t>Manistique</t>
  </si>
  <si>
    <t>Schoolcraft County</t>
  </si>
  <si>
    <t>Attica</t>
  </si>
  <si>
    <t>Blissfield</t>
  </si>
  <si>
    <t>Hartland</t>
  </si>
  <si>
    <t>Armada</t>
  </si>
  <si>
    <t>Lawton</t>
  </si>
  <si>
    <t>North Street</t>
  </si>
  <si>
    <t>Bangor</t>
  </si>
  <si>
    <t>Prudenville</t>
  </si>
  <si>
    <t>Marlette</t>
  </si>
  <si>
    <t>Yale</t>
  </si>
  <si>
    <t>Sandusky</t>
  </si>
  <si>
    <t>Erie</t>
  </si>
  <si>
    <t>Standish</t>
  </si>
  <si>
    <t>Arenac County</t>
  </si>
  <si>
    <t>Stanwood</t>
  </si>
  <si>
    <t>Keego Harbor</t>
  </si>
  <si>
    <t>Parma</t>
  </si>
  <si>
    <t>Webberville</t>
  </si>
  <si>
    <t>Constantine</t>
  </si>
  <si>
    <t>Farwell</t>
  </si>
  <si>
    <t>Nashville</t>
  </si>
  <si>
    <t>Lakeview</t>
  </si>
  <si>
    <t>East Tawas</t>
  </si>
  <si>
    <t>Leonard</t>
  </si>
  <si>
    <t>Dryden</t>
  </si>
  <si>
    <t>Prescott</t>
  </si>
  <si>
    <t>Morley</t>
  </si>
  <si>
    <t>Homer</t>
  </si>
  <si>
    <t>Grawn</t>
  </si>
  <si>
    <t>Otisville</t>
  </si>
  <si>
    <t>Alanson</t>
  </si>
  <si>
    <t>Olivet</t>
  </si>
  <si>
    <t>Hesperia</t>
  </si>
  <si>
    <t>Spring Arbor</t>
  </si>
  <si>
    <t>Mayville</t>
  </si>
  <si>
    <t>Ovid</t>
  </si>
  <si>
    <t>Marcellus</t>
  </si>
  <si>
    <t>Gregory</t>
  </si>
  <si>
    <t>Onsted</t>
  </si>
  <si>
    <t>Grand Junction</t>
  </si>
  <si>
    <t>Lexington</t>
  </si>
  <si>
    <t>Marne</t>
  </si>
  <si>
    <t>Carson City</t>
  </si>
  <si>
    <t>Tawas City</t>
  </si>
  <si>
    <t>Rogers City</t>
  </si>
  <si>
    <t>Presque Isle County</t>
  </si>
  <si>
    <t>Marion</t>
  </si>
  <si>
    <t>Saint Helen</t>
  </si>
  <si>
    <t>Sheridan</t>
  </si>
  <si>
    <t>Edmore</t>
  </si>
  <si>
    <t>Fair Haven</t>
  </si>
  <si>
    <t>Holton</t>
  </si>
  <si>
    <t>Merrill</t>
  </si>
  <si>
    <t>Harbor Beach</t>
  </si>
  <si>
    <t>Fife Lake</t>
  </si>
  <si>
    <t>Three Oaks</t>
  </si>
  <si>
    <t>Indian River</t>
  </si>
  <si>
    <t>Crystal Falls</t>
  </si>
  <si>
    <t>Capac</t>
  </si>
  <si>
    <t>Avoca</t>
  </si>
  <si>
    <t>Casco</t>
  </si>
  <si>
    <t>McBain</t>
  </si>
  <si>
    <t>Columbus</t>
  </si>
  <si>
    <t>Ray</t>
  </si>
  <si>
    <t>Reading</t>
  </si>
  <si>
    <t>Onaway</t>
  </si>
  <si>
    <t>Bridgman</t>
  </si>
  <si>
    <t>Ottawa Lake</t>
  </si>
  <si>
    <t>Brimley</t>
  </si>
  <si>
    <t>L'' Anse</t>
  </si>
  <si>
    <t>Baraga County</t>
  </si>
  <si>
    <t>New Buffalo</t>
  </si>
  <si>
    <t>Memphis</t>
  </si>
  <si>
    <t>Lewiston</t>
  </si>
  <si>
    <t>Oscoda County</t>
  </si>
  <si>
    <t>Bellaire</t>
  </si>
  <si>
    <t>Suttons Bay</t>
  </si>
  <si>
    <t>Leelanau County</t>
  </si>
  <si>
    <t>Byron</t>
  </si>
  <si>
    <t>Hale</t>
  </si>
  <si>
    <t>Hopkins</t>
  </si>
  <si>
    <t>Union City</t>
  </si>
  <si>
    <t>Remus</t>
  </si>
  <si>
    <t>Gowen</t>
  </si>
  <si>
    <t>Scottville</t>
  </si>
  <si>
    <t>Rapid City</t>
  </si>
  <si>
    <t>Elsie</t>
  </si>
  <si>
    <t>Nunica</t>
  </si>
  <si>
    <t>Morenci</t>
  </si>
  <si>
    <t>Baldwin</t>
  </si>
  <si>
    <t>Lake County</t>
  </si>
  <si>
    <t>Britton</t>
  </si>
  <si>
    <t>Lawrence</t>
  </si>
  <si>
    <t>Augusta</t>
  </si>
  <si>
    <t>Mendon</t>
  </si>
  <si>
    <t>Baroda</t>
  </si>
  <si>
    <t>Springport</t>
  </si>
  <si>
    <t>Horton</t>
  </si>
  <si>
    <t>Eau Claire</t>
  </si>
  <si>
    <t>Atlanta</t>
  </si>
  <si>
    <t>Montmorency County</t>
  </si>
  <si>
    <t>Scotts</t>
  </si>
  <si>
    <t>Frankfort</t>
  </si>
  <si>
    <t>Benzie County</t>
  </si>
  <si>
    <t>Munising</t>
  </si>
  <si>
    <t>Alger County</t>
  </si>
  <si>
    <t>Linwood</t>
  </si>
  <si>
    <t>Reese</t>
  </si>
  <si>
    <t>Climax</t>
  </si>
  <si>
    <t>Mio</t>
  </si>
  <si>
    <t>South Rockwood</t>
  </si>
  <si>
    <t>Blanchard</t>
  </si>
  <si>
    <t>Concord</t>
  </si>
  <si>
    <t>Saint Ignace</t>
  </si>
  <si>
    <t>Mackinac County</t>
  </si>
  <si>
    <t>Hillman</t>
  </si>
  <si>
    <t>Morrice</t>
  </si>
  <si>
    <t>Stephenson</t>
  </si>
  <si>
    <t>Potterville</t>
  </si>
  <si>
    <t>Cedar</t>
  </si>
  <si>
    <t>Lyons</t>
  </si>
  <si>
    <t>Norway</t>
  </si>
  <si>
    <t>Vermontville</t>
  </si>
  <si>
    <t>Allenton</t>
  </si>
  <si>
    <t>Conklin</t>
  </si>
  <si>
    <t>Goodells</t>
  </si>
  <si>
    <t>Osseo</t>
  </si>
  <si>
    <t>Colon</t>
  </si>
  <si>
    <t>La Salle</t>
  </si>
  <si>
    <t>Ontonagon</t>
  </si>
  <si>
    <t>Ontonagon County</t>
  </si>
  <si>
    <t>Maybee</t>
  </si>
  <si>
    <t>Alger</t>
  </si>
  <si>
    <t>Bear Lake</t>
  </si>
  <si>
    <t>Rapid River</t>
  </si>
  <si>
    <t>Burr Oak</t>
  </si>
  <si>
    <t>Bark River</t>
  </si>
  <si>
    <t>Rives Junction</t>
  </si>
  <si>
    <t>Baraga</t>
  </si>
  <si>
    <t>Deckerville</t>
  </si>
  <si>
    <t>Mesick</t>
  </si>
  <si>
    <t>Carsonville</t>
  </si>
  <si>
    <t>Le Roy</t>
  </si>
  <si>
    <t>Shelbyville</t>
  </si>
  <si>
    <t>Bay Port</t>
  </si>
  <si>
    <t>Hersey</t>
  </si>
  <si>
    <t>Camden</t>
  </si>
  <si>
    <t>Pullman</t>
  </si>
  <si>
    <t>Atlantic Mine</t>
  </si>
  <si>
    <t>Mecosta</t>
  </si>
  <si>
    <t>Bridgeport</t>
  </si>
  <si>
    <t>Ida</t>
  </si>
  <si>
    <t>Michigan Center</t>
  </si>
  <si>
    <t>Lake Ann</t>
  </si>
  <si>
    <t>Jerome</t>
  </si>
  <si>
    <t>Centreville</t>
  </si>
  <si>
    <t>Beulah</t>
  </si>
  <si>
    <t>Elmira</t>
  </si>
  <si>
    <t>Dansville</t>
  </si>
  <si>
    <t>Pentwater</t>
  </si>
  <si>
    <t>Vestaburg</t>
  </si>
  <si>
    <t>Hanover</t>
  </si>
  <si>
    <t>Ubly</t>
  </si>
  <si>
    <t>Sebewaing</t>
  </si>
  <si>
    <t>Tustin</t>
  </si>
  <si>
    <t>Fenwick</t>
  </si>
  <si>
    <t>Breckenridge</t>
  </si>
  <si>
    <t>Thompsonville</t>
  </si>
  <si>
    <t>Chassell</t>
  </si>
  <si>
    <t>Pleasant Ridge</t>
  </si>
  <si>
    <t>Emmett</t>
  </si>
  <si>
    <t>Boyne Falls</t>
  </si>
  <si>
    <t>Westphalia</t>
  </si>
  <si>
    <t>Addison</t>
  </si>
  <si>
    <t>Vulcan</t>
  </si>
  <si>
    <t>Central Lake</t>
  </si>
  <si>
    <t>Tekonsha</t>
  </si>
  <si>
    <t>Sterling</t>
  </si>
  <si>
    <t>Pierson</t>
  </si>
  <si>
    <t>Fowler</t>
  </si>
  <si>
    <t>Covert</t>
  </si>
  <si>
    <t>Hope</t>
  </si>
  <si>
    <t>Lennon</t>
  </si>
  <si>
    <t>Manitou Beach</t>
  </si>
  <si>
    <t>Eagle</t>
  </si>
  <si>
    <t>Clarklake</t>
  </si>
  <si>
    <t>Bancroft</t>
  </si>
  <si>
    <t>Clarksville</t>
  </si>
  <si>
    <t>Athens</t>
  </si>
  <si>
    <t>Bessemer</t>
  </si>
  <si>
    <t>Crystal</t>
  </si>
  <si>
    <t>Johannesburg</t>
  </si>
  <si>
    <t>Litchfield</t>
  </si>
  <si>
    <t>Wakefield</t>
  </si>
  <si>
    <t>Jones</t>
  </si>
  <si>
    <t>New Lothrop</t>
  </si>
  <si>
    <t>East Leroy</t>
  </si>
  <si>
    <t>Rose City</t>
  </si>
  <si>
    <t>Montgomery</t>
  </si>
  <si>
    <t>Harrisville</t>
  </si>
  <si>
    <t>Alcona County</t>
  </si>
  <si>
    <t>Lake Linden</t>
  </si>
  <si>
    <t>Burt</t>
  </si>
  <si>
    <t>Ossineke</t>
  </si>
  <si>
    <t>Rudyard</t>
  </si>
  <si>
    <t>Saugatuck</t>
  </si>
  <si>
    <t>Clayton</t>
  </si>
  <si>
    <t>Munith</t>
  </si>
  <si>
    <t>Pleasant Lake</t>
  </si>
  <si>
    <t>South Boardman</t>
  </si>
  <si>
    <t>Onondaga</t>
  </si>
  <si>
    <t>Jeddo</t>
  </si>
  <si>
    <t>Free Soil</t>
  </si>
  <si>
    <t>Levering</t>
  </si>
  <si>
    <t>Unionville</t>
  </si>
  <si>
    <t>Port Austin</t>
  </si>
  <si>
    <t>Frederic</t>
  </si>
  <si>
    <t>Otter Lake</t>
  </si>
  <si>
    <t>Sunfield</t>
  </si>
  <si>
    <t>Pittsford</t>
  </si>
  <si>
    <t>Kewadin</t>
  </si>
  <si>
    <t>Lachine</t>
  </si>
  <si>
    <t>Galien</t>
  </si>
  <si>
    <t>Woodland</t>
  </si>
  <si>
    <t>Vanderbilt</t>
  </si>
  <si>
    <t>New Era</t>
  </si>
  <si>
    <t>Caseville</t>
  </si>
  <si>
    <t>Rodney</t>
  </si>
  <si>
    <t>Freeport</t>
  </si>
  <si>
    <t>Kingston</t>
  </si>
  <si>
    <t>Berrien Center</t>
  </si>
  <si>
    <t>Fostoria</t>
  </si>
  <si>
    <t>Custer</t>
  </si>
  <si>
    <t>Sherwood</t>
  </si>
  <si>
    <t>Skandia</t>
  </si>
  <si>
    <t>Riverdale</t>
  </si>
  <si>
    <t>Muir</t>
  </si>
  <si>
    <t>Bloomingdale</t>
  </si>
  <si>
    <t>Pickford</t>
  </si>
  <si>
    <t>Irons</t>
  </si>
  <si>
    <t>Honor</t>
  </si>
  <si>
    <t>Buckley</t>
  </si>
  <si>
    <t>Ashley</t>
  </si>
  <si>
    <t>Sawyer</t>
  </si>
  <si>
    <t>Elk Rapids</t>
  </si>
  <si>
    <t>Ellsworth</t>
  </si>
  <si>
    <t>Cornell</t>
  </si>
  <si>
    <t>Posen</t>
  </si>
  <si>
    <t>Fairgrove</t>
  </si>
  <si>
    <t>Vandalia</t>
  </si>
  <si>
    <t>Au Gres</t>
  </si>
  <si>
    <t>Deerfield</t>
  </si>
  <si>
    <t>Orleans</t>
  </si>
  <si>
    <t>Millersburg</t>
  </si>
  <si>
    <t>Walkerville</t>
  </si>
  <si>
    <t>Barryton</t>
  </si>
  <si>
    <t>Pewamo</t>
  </si>
  <si>
    <t>Hickory Corners</t>
  </si>
  <si>
    <t>Sears</t>
  </si>
  <si>
    <t>Luther</t>
  </si>
  <si>
    <t>Hubbard Lake</t>
  </si>
  <si>
    <t>Bitely</t>
  </si>
  <si>
    <t>Shingleton</t>
  </si>
  <si>
    <t>Pellston</t>
  </si>
  <si>
    <t>Elkton</t>
  </si>
  <si>
    <t>Rosebush</t>
  </si>
  <si>
    <t>Snover</t>
  </si>
  <si>
    <t>Wheeler</t>
  </si>
  <si>
    <t>Rothbury</t>
  </si>
  <si>
    <t>Perrinton</t>
  </si>
  <si>
    <t>National City</t>
  </si>
  <si>
    <t>Wallace</t>
  </si>
  <si>
    <t>Champion</t>
  </si>
  <si>
    <t>Oakley</t>
  </si>
  <si>
    <t>Mears</t>
  </si>
  <si>
    <t>Glennie</t>
  </si>
  <si>
    <t>Wetmore</t>
  </si>
  <si>
    <t>Mikado</t>
  </si>
  <si>
    <t>Akron</t>
  </si>
  <si>
    <t>Brutus</t>
  </si>
  <si>
    <t>Daggett</t>
  </si>
  <si>
    <t>Waldron</t>
  </si>
  <si>
    <t>Watersmeet</t>
  </si>
  <si>
    <t>Benzonia</t>
  </si>
  <si>
    <t>Peck</t>
  </si>
  <si>
    <t>Burlington</t>
  </si>
  <si>
    <t>Whittemore</t>
  </si>
  <si>
    <t>Copemish</t>
  </si>
  <si>
    <t>Dowling</t>
  </si>
  <si>
    <t>Kinde</t>
  </si>
  <si>
    <t>Chase</t>
  </si>
  <si>
    <t>Deford</t>
  </si>
  <si>
    <t>Maple City</t>
  </si>
  <si>
    <t>Wellston</t>
  </si>
  <si>
    <t>Trufant</t>
  </si>
  <si>
    <t>Brant</t>
  </si>
  <si>
    <t>Alden</t>
  </si>
  <si>
    <t>Lupton</t>
  </si>
  <si>
    <t>Kaleva</t>
  </si>
  <si>
    <t>Lake Leelanau</t>
  </si>
  <si>
    <t>Elwell</t>
  </si>
  <si>
    <t>Northport</t>
  </si>
  <si>
    <t>Silverwood</t>
  </si>
  <si>
    <t>Omer</t>
  </si>
  <si>
    <t>Sodus</t>
  </si>
  <si>
    <t>Sidney</t>
  </si>
  <si>
    <t>Mulliken</t>
  </si>
  <si>
    <t>Sumner</t>
  </si>
  <si>
    <t>Casnovia</t>
  </si>
  <si>
    <t>Dafter</t>
  </si>
  <si>
    <t>Luna Pier</t>
  </si>
  <si>
    <t>Applegate</t>
  </si>
  <si>
    <t>Spruce</t>
  </si>
  <si>
    <t>Twining</t>
  </si>
  <si>
    <t>Fairview</t>
  </si>
  <si>
    <t>Hubbardston</t>
  </si>
  <si>
    <t>Coral</t>
  </si>
  <si>
    <t>Palmyra</t>
  </si>
  <si>
    <t>Rock</t>
  </si>
  <si>
    <t>Bentley</t>
  </si>
  <si>
    <t>Harrietta</t>
  </si>
  <si>
    <t>Middleton</t>
  </si>
  <si>
    <t>Pelkie</t>
  </si>
  <si>
    <t>South Branch</t>
  </si>
  <si>
    <t>Jasper</t>
  </si>
  <si>
    <t>Marenisco</t>
  </si>
  <si>
    <t>Onekama</t>
  </si>
  <si>
    <t>Union</t>
  </si>
  <si>
    <t>Port Hope</t>
  </si>
  <si>
    <t>Melvin</t>
  </si>
  <si>
    <t>Arcadia</t>
  </si>
  <si>
    <t>Mackinac Island</t>
  </si>
  <si>
    <t>Brethren</t>
  </si>
  <si>
    <t>Decker</t>
  </si>
  <si>
    <t>Fountain</t>
  </si>
  <si>
    <t>Falmouth</t>
  </si>
  <si>
    <t>Clifford</t>
  </si>
  <si>
    <t>Empire</t>
  </si>
  <si>
    <t>Greenbush</t>
  </si>
  <si>
    <t>Gagetown</t>
  </si>
  <si>
    <t>Moran</t>
  </si>
  <si>
    <t>Mohawk</t>
  </si>
  <si>
    <t>Keweenaw County</t>
  </si>
  <si>
    <t>Allen</t>
  </si>
  <si>
    <t>Hawks</t>
  </si>
  <si>
    <t>Owendale</t>
  </si>
  <si>
    <t>Riga</t>
  </si>
  <si>
    <t>Allouez</t>
  </si>
  <si>
    <t>Republic</t>
  </si>
  <si>
    <t>Hermansville</t>
  </si>
  <si>
    <t>Bailey</t>
  </si>
  <si>
    <t>Luzerne</t>
  </si>
  <si>
    <t>Boon</t>
  </si>
  <si>
    <t>Gould City</t>
  </si>
  <si>
    <t>Minden City</t>
  </si>
  <si>
    <t>Gulliver</t>
  </si>
  <si>
    <t>Henderson</t>
  </si>
  <si>
    <t>Palms</t>
  </si>
  <si>
    <t>Bannister</t>
  </si>
  <si>
    <t>Germfask</t>
  </si>
  <si>
    <t>Goetzville</t>
  </si>
  <si>
    <t>Ruth</t>
  </si>
  <si>
    <t>Carp Lake</t>
  </si>
  <si>
    <t>Comins</t>
  </si>
  <si>
    <t>Leonidas</t>
  </si>
  <si>
    <t>Mackinaw City</t>
  </si>
  <si>
    <t>Naubinway</t>
  </si>
  <si>
    <t>Port Sanilac</t>
  </si>
  <si>
    <t>Trout Creek</t>
  </si>
  <si>
    <t>Harbert</t>
  </si>
  <si>
    <t>Hubbell</t>
  </si>
  <si>
    <t>Curran</t>
  </si>
  <si>
    <t>Douglas</t>
  </si>
  <si>
    <t>Hessel</t>
  </si>
  <si>
    <t>Barton City</t>
  </si>
  <si>
    <t>Spalding</t>
  </si>
  <si>
    <t>McMillan</t>
  </si>
  <si>
    <t>Black River</t>
  </si>
  <si>
    <t>Barbeau</t>
  </si>
  <si>
    <t>Engadine</t>
  </si>
  <si>
    <t>Au Train</t>
  </si>
  <si>
    <t>Filion</t>
  </si>
  <si>
    <t>Curtis</t>
  </si>
  <si>
    <t>Genesee</t>
  </si>
  <si>
    <t>Trout Lake</t>
  </si>
  <si>
    <t>Paradise</t>
  </si>
  <si>
    <t>Gaastra</t>
  </si>
  <si>
    <t>Union Pier</t>
  </si>
  <si>
    <t>Garden</t>
  </si>
  <si>
    <t>Lakeside</t>
  </si>
  <si>
    <t>Brohman</t>
  </si>
  <si>
    <t>Bois Blanc Island</t>
  </si>
  <si>
    <t>Beaver Island</t>
  </si>
  <si>
    <t>Vernon</t>
  </si>
  <si>
    <t>South Range</t>
  </si>
  <si>
    <t>Copper Harbor</t>
  </si>
  <si>
    <t>Dollar Bay</t>
  </si>
  <si>
    <t>Alpha</t>
  </si>
  <si>
    <t>Bergland</t>
  </si>
  <si>
    <t>Palmer</t>
  </si>
  <si>
    <t>Chippewa Lake</t>
  </si>
  <si>
    <t>Forestville</t>
  </si>
  <si>
    <t>Data is for 02/28/2023</t>
  </si>
  <si>
    <t>Home purchase model</t>
  </si>
  <si>
    <t>Interest Rates</t>
  </si>
  <si>
    <t>Zip Codes</t>
  </si>
  <si>
    <t>PurchasePrice</t>
  </si>
  <si>
    <t>Zip Code</t>
  </si>
  <si>
    <t>Purchase price</t>
  </si>
  <si>
    <t>Downpayment (%)</t>
  </si>
  <si>
    <t>Downpayment (Calculated amount)</t>
  </si>
  <si>
    <t>Interest rate</t>
  </si>
  <si>
    <t>Principal amortization (years)</t>
  </si>
  <si>
    <t>Property tax rate</t>
  </si>
  <si>
    <t>Annual maintainance</t>
  </si>
  <si>
    <t>Annual insurance</t>
  </si>
  <si>
    <t>Assumed annual appreciation</t>
  </si>
  <si>
    <t>Assumed marginal income tax rate</t>
  </si>
  <si>
    <t>General inflation</t>
  </si>
  <si>
    <t>Monthly mortage payment</t>
  </si>
  <si>
    <t>Cost of renting similar home</t>
  </si>
  <si>
    <t>Assumed rental price inflation</t>
  </si>
  <si>
    <t>Assumed annual (after tax) return on cash</t>
  </si>
  <si>
    <t>Buying scenario</t>
  </si>
  <si>
    <t>Month</t>
  </si>
  <si>
    <t>Home Value</t>
  </si>
  <si>
    <t>Debt</t>
  </si>
  <si>
    <t>Equity in home</t>
  </si>
  <si>
    <t>Interest on debt</t>
  </si>
  <si>
    <t>Mortage payment</t>
  </si>
  <si>
    <t>Paid principal</t>
  </si>
  <si>
    <t>Insurance payment</t>
  </si>
  <si>
    <t>Maintenance</t>
  </si>
  <si>
    <t>Property tax</t>
  </si>
  <si>
    <t>Income tax savings from interest deduction</t>
  </si>
  <si>
    <t>Total cash outflow in buying scenario</t>
  </si>
  <si>
    <t>Renting Scenario</t>
  </si>
  <si>
    <t xml:space="preserve">Rent </t>
  </si>
  <si>
    <t>Savings when renting</t>
  </si>
  <si>
    <t>Home value after 10 years</t>
  </si>
  <si>
    <t>Debt after 10 years</t>
  </si>
  <si>
    <t>Home Equity after 10 years</t>
  </si>
  <si>
    <t>Transaction costs of selling in year 10</t>
  </si>
  <si>
    <t>Net cash if home sold in 10 years (assuming no capital gains)</t>
  </si>
  <si>
    <t>Savings after 10 years if renting</t>
  </si>
  <si>
    <t>Present value benefit of owning vs. renting for 10 years</t>
  </si>
  <si>
    <t>Data table to create graph</t>
  </si>
  <si>
    <t>Cashflow that could be spent on home-purchase/expenses</t>
  </si>
  <si>
    <t>Rent_Price</t>
  </si>
  <si>
    <t>City Name</t>
  </si>
  <si>
    <t>Ann Arbor 1</t>
  </si>
  <si>
    <t>Flint 1</t>
  </si>
  <si>
    <t>County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</si>
</sst>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quot;$&quot;#,##0.00"/>
    <numFmt numFmtId="165" formatCode="[$$-409]#,##0_);\([$$-409]#,##0\)"/>
    <numFmt numFmtId="166" formatCode="0.0%"/>
    <numFmt numFmtId="167" formatCode="[$$]#,##0"/>
    <numFmt numFmtId="168" formatCode="_(* #,##0_);_(* \(#,##0\);_(* \-??_);_(@_)"/>
  </numFmts>
  <fonts count="9" x14ac:knownFonts="1">
    <font>
      <sz val="11"/>
      <color theme="1"/>
      <name val="Calibri"/>
      <scheme val="minor"/>
    </font>
    <font>
      <sz val="11"/>
      <color theme="1"/>
      <name val="Calibri"/>
      <family val="2"/>
    </font>
    <font>
      <b/>
      <sz val="11"/>
      <color theme="1"/>
      <name val="Calibri"/>
      <family val="2"/>
    </font>
    <font>
      <b/>
      <sz val="11"/>
      <color theme="1"/>
      <name val="Arial"/>
      <family val="2"/>
    </font>
    <font>
      <b/>
      <sz val="10"/>
      <color theme="1"/>
      <name val="Arial"/>
      <family val="2"/>
    </font>
    <font>
      <sz val="10"/>
      <color theme="1"/>
      <name val="Arial"/>
      <family val="2"/>
    </font>
    <font>
      <sz val="10"/>
      <color theme="1"/>
      <name val="Calibri"/>
      <family val="2"/>
    </font>
    <font>
      <sz val="11"/>
      <color rgb="FF000000"/>
      <name val="Calibri"/>
      <family val="2"/>
    </font>
    <font>
      <sz val="11"/>
      <color theme="1"/>
      <name val="Calibri"/>
      <family val="2"/>
      <scheme val="minor"/>
    </font>
  </fonts>
  <fills count="7">
    <fill>
      <patternFill patternType="none"/>
    </fill>
    <fill>
      <patternFill patternType="gray125"/>
    </fill>
    <fill>
      <patternFill patternType="solid">
        <fgColor theme="5"/>
        <bgColor theme="5"/>
      </patternFill>
    </fill>
    <fill>
      <patternFill patternType="solid">
        <fgColor rgb="FFF7CAAC"/>
        <bgColor rgb="FFF7CAAC"/>
      </patternFill>
    </fill>
    <fill>
      <patternFill patternType="solid">
        <fgColor rgb="FF8EAADB"/>
        <bgColor rgb="FF8EAADB"/>
      </patternFill>
    </fill>
    <fill>
      <patternFill patternType="solid">
        <fgColor rgb="FFC5E0B3"/>
        <bgColor rgb="FFC5E0B3"/>
      </patternFill>
    </fill>
    <fill>
      <patternFill patternType="solid">
        <fgColor theme="5" tint="0.39997558519241921"/>
        <bgColor indexed="64"/>
      </patternFill>
    </fill>
  </fills>
  <borders count="36">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bottom/>
      <diagonal/>
    </border>
    <border>
      <left style="thin">
        <color rgb="FF000000"/>
      </left>
      <right/>
      <top style="thin">
        <color rgb="FF000000"/>
      </top>
      <bottom style="medium">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style="thin">
        <color rgb="FF000000"/>
      </right>
      <top style="medium">
        <color rgb="FF000000"/>
      </top>
      <bottom style="thin">
        <color rgb="FF000000"/>
      </bottom>
      <diagonal/>
    </border>
    <border>
      <left/>
      <right style="thin">
        <color indexed="64"/>
      </right>
      <top style="thin">
        <color rgb="FF000000"/>
      </top>
      <bottom/>
      <diagonal/>
    </border>
    <border>
      <left/>
      <right style="thin">
        <color indexed="64"/>
      </right>
      <top/>
      <bottom/>
      <diagonal/>
    </border>
    <border>
      <left/>
      <right style="thin">
        <color indexed="64"/>
      </right>
      <top/>
      <bottom style="thin">
        <color rgb="FF000000"/>
      </bottom>
      <diagonal/>
    </border>
    <border>
      <left style="thin">
        <color rgb="FF000000"/>
      </left>
      <right style="medium">
        <color rgb="FF000000"/>
      </right>
      <top style="thin">
        <color rgb="FF000000"/>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rgb="FF000000"/>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9" fontId="8" fillId="0" borderId="0" applyFont="0" applyFill="0" applyBorder="0" applyAlignment="0" applyProtection="0"/>
  </cellStyleXfs>
  <cellXfs count="77">
    <xf numFmtId="0" fontId="0" fillId="0" borderId="0" xfId="0"/>
    <xf numFmtId="0" fontId="1" fillId="0" borderId="0" xfId="0" applyFont="1"/>
    <xf numFmtId="14" fontId="1" fillId="0" borderId="0" xfId="0" applyNumberFormat="1" applyFont="1"/>
    <xf numFmtId="2" fontId="1" fillId="0" borderId="0" xfId="0" applyNumberFormat="1" applyFont="1"/>
    <xf numFmtId="0" fontId="2" fillId="0" borderId="0" xfId="0" applyFont="1"/>
    <xf numFmtId="164" fontId="1" fillId="0" borderId="0" xfId="0" applyNumberFormat="1" applyFont="1"/>
    <xf numFmtId="0" fontId="3" fillId="2" borderId="1" xfId="0" applyFont="1" applyFill="1" applyBorder="1"/>
    <xf numFmtId="0" fontId="1" fillId="0" borderId="2" xfId="0" applyFont="1" applyBorder="1"/>
    <xf numFmtId="0" fontId="4" fillId="0" borderId="0" xfId="0" applyFont="1"/>
    <xf numFmtId="0" fontId="1" fillId="0" borderId="3" xfId="0" applyFont="1" applyBorder="1"/>
    <xf numFmtId="0" fontId="1" fillId="0" borderId="4" xfId="0" applyFont="1" applyBorder="1"/>
    <xf numFmtId="0" fontId="1" fillId="0" borderId="5" xfId="0" applyFont="1" applyBorder="1"/>
    <xf numFmtId="0" fontId="5" fillId="3" borderId="6" xfId="0" applyFont="1" applyFill="1" applyBorder="1"/>
    <xf numFmtId="10" fontId="1" fillId="0" borderId="0" xfId="0" applyNumberFormat="1" applyFont="1"/>
    <xf numFmtId="44" fontId="1" fillId="0" borderId="0" xfId="0" applyNumberFormat="1" applyFont="1"/>
    <xf numFmtId="0" fontId="6" fillId="0" borderId="7" xfId="0" applyFont="1" applyBorder="1"/>
    <xf numFmtId="165" fontId="5" fillId="3" borderId="8" xfId="0" applyNumberFormat="1" applyFont="1" applyFill="1" applyBorder="1"/>
    <xf numFmtId="166" fontId="5" fillId="3" borderId="8" xfId="0" applyNumberFormat="1" applyFont="1" applyFill="1" applyBorder="1"/>
    <xf numFmtId="9" fontId="1" fillId="0" borderId="0" xfId="0" applyNumberFormat="1" applyFont="1"/>
    <xf numFmtId="0" fontId="5" fillId="3" borderId="8" xfId="0" applyFont="1" applyFill="1" applyBorder="1"/>
    <xf numFmtId="10" fontId="5" fillId="3" borderId="8" xfId="0" applyNumberFormat="1" applyFont="1" applyFill="1" applyBorder="1"/>
    <xf numFmtId="9" fontId="5" fillId="2" borderId="8" xfId="0" applyNumberFormat="1" applyFont="1" applyFill="1" applyBorder="1"/>
    <xf numFmtId="9" fontId="5" fillId="3" borderId="8" xfId="0" applyNumberFormat="1" applyFont="1" applyFill="1" applyBorder="1"/>
    <xf numFmtId="2" fontId="5" fillId="0" borderId="0" xfId="0" applyNumberFormat="1" applyFont="1"/>
    <xf numFmtId="167" fontId="1" fillId="0" borderId="0" xfId="0" applyNumberFormat="1" applyFont="1"/>
    <xf numFmtId="0" fontId="6" fillId="0" borderId="10" xfId="0" applyFont="1" applyBorder="1"/>
    <xf numFmtId="0" fontId="3" fillId="2" borderId="11" xfId="0" applyFont="1" applyFill="1" applyBorder="1"/>
    <xf numFmtId="167" fontId="1" fillId="0" borderId="4" xfId="0" applyNumberFormat="1" applyFont="1" applyBorder="1"/>
    <xf numFmtId="0" fontId="4" fillId="4" borderId="12" xfId="0" applyFont="1" applyFill="1" applyBorder="1"/>
    <xf numFmtId="0" fontId="4" fillId="4" borderId="13" xfId="0" applyFont="1" applyFill="1" applyBorder="1"/>
    <xf numFmtId="0" fontId="4" fillId="4" borderId="14" xfId="0" applyFont="1" applyFill="1" applyBorder="1"/>
    <xf numFmtId="0" fontId="6" fillId="0" borderId="3" xfId="0" applyFont="1" applyBorder="1"/>
    <xf numFmtId="165" fontId="5" fillId="0" borderId="4" xfId="0" applyNumberFormat="1" applyFont="1" applyBorder="1"/>
    <xf numFmtId="165" fontId="5" fillId="0" borderId="0" xfId="0" applyNumberFormat="1" applyFont="1"/>
    <xf numFmtId="0" fontId="4" fillId="5" borderId="15" xfId="0" applyFont="1" applyFill="1" applyBorder="1"/>
    <xf numFmtId="165" fontId="4" fillId="5" borderId="16" xfId="0" applyNumberFormat="1" applyFont="1" applyFill="1" applyBorder="1"/>
    <xf numFmtId="165" fontId="4" fillId="5" borderId="9" xfId="0" applyNumberFormat="1" applyFont="1" applyFill="1" applyBorder="1"/>
    <xf numFmtId="0" fontId="6" fillId="0" borderId="17" xfId="0" applyFont="1" applyBorder="1"/>
    <xf numFmtId="165" fontId="5" fillId="0" borderId="18" xfId="0" applyNumberFormat="1" applyFont="1" applyBorder="1"/>
    <xf numFmtId="165" fontId="5" fillId="0" borderId="19" xfId="0" applyNumberFormat="1" applyFont="1" applyBorder="1"/>
    <xf numFmtId="168" fontId="4" fillId="0" borderId="4" xfId="0" applyNumberFormat="1" applyFont="1" applyBorder="1"/>
    <xf numFmtId="168" fontId="4" fillId="0" borderId="0" xfId="0" applyNumberFormat="1" applyFont="1"/>
    <xf numFmtId="0" fontId="4" fillId="5" borderId="20" xfId="0" applyFont="1" applyFill="1" applyBorder="1"/>
    <xf numFmtId="165" fontId="4" fillId="5" borderId="21" xfId="0" applyNumberFormat="1" applyFont="1" applyFill="1" applyBorder="1"/>
    <xf numFmtId="165" fontId="4" fillId="5" borderId="22" xfId="0" applyNumberFormat="1" applyFont="1" applyFill="1" applyBorder="1"/>
    <xf numFmtId="0" fontId="6" fillId="0" borderId="23" xfId="0" applyFont="1" applyBorder="1" applyAlignment="1">
      <alignment horizontal="left"/>
    </xf>
    <xf numFmtId="165" fontId="5" fillId="0" borderId="2" xfId="0" applyNumberFormat="1" applyFont="1" applyBorder="1"/>
    <xf numFmtId="168" fontId="5" fillId="0" borderId="0" xfId="0" applyNumberFormat="1" applyFont="1"/>
    <xf numFmtId="0" fontId="6" fillId="0" borderId="3" xfId="0" applyFont="1" applyBorder="1" applyAlignment="1">
      <alignment horizontal="left"/>
    </xf>
    <xf numFmtId="0" fontId="4" fillId="0" borderId="3" xfId="0" applyFont="1" applyBorder="1" applyAlignment="1">
      <alignment horizontal="left"/>
    </xf>
    <xf numFmtId="165" fontId="4" fillId="0" borderId="4" xfId="0" applyNumberFormat="1" applyFont="1" applyBorder="1"/>
    <xf numFmtId="0" fontId="4" fillId="5" borderId="24" xfId="0" applyFont="1" applyFill="1" applyBorder="1"/>
    <xf numFmtId="165" fontId="4" fillId="5" borderId="24" xfId="0" applyNumberFormat="1" applyFont="1" applyFill="1" applyBorder="1"/>
    <xf numFmtId="166" fontId="5" fillId="0" borderId="0" xfId="1" applyNumberFormat="1" applyFont="1"/>
    <xf numFmtId="0" fontId="4" fillId="4" borderId="25" xfId="0" applyFont="1" applyFill="1" applyBorder="1"/>
    <xf numFmtId="165" fontId="5" fillId="0" borderId="26" xfId="0" applyNumberFormat="1" applyFont="1" applyBorder="1"/>
    <xf numFmtId="165" fontId="4" fillId="5" borderId="26" xfId="0" applyNumberFormat="1" applyFont="1" applyFill="1" applyBorder="1"/>
    <xf numFmtId="165" fontId="5" fillId="0" borderId="27" xfId="0" applyNumberFormat="1" applyFont="1" applyBorder="1"/>
    <xf numFmtId="165" fontId="4" fillId="5" borderId="27" xfId="0" applyNumberFormat="1" applyFont="1" applyFill="1" applyBorder="1"/>
    <xf numFmtId="0" fontId="1" fillId="0" borderId="9" xfId="0" applyFont="1" applyBorder="1"/>
    <xf numFmtId="0" fontId="0" fillId="0" borderId="9" xfId="0" applyBorder="1"/>
    <xf numFmtId="168" fontId="5" fillId="0" borderId="9" xfId="0" applyNumberFormat="1" applyFont="1" applyBorder="1"/>
    <xf numFmtId="9" fontId="5" fillId="2" borderId="28" xfId="0" applyNumberFormat="1" applyFont="1" applyFill="1" applyBorder="1"/>
    <xf numFmtId="166" fontId="5" fillId="0" borderId="29" xfId="1" applyNumberFormat="1" applyFont="1" applyBorder="1"/>
    <xf numFmtId="168" fontId="5" fillId="0" borderId="29" xfId="0" applyNumberFormat="1" applyFont="1" applyBorder="1"/>
    <xf numFmtId="0" fontId="6" fillId="0" borderId="20" xfId="0" applyFont="1" applyBorder="1"/>
    <xf numFmtId="0" fontId="2" fillId="0" borderId="30" xfId="0" applyFont="1" applyBorder="1"/>
    <xf numFmtId="0" fontId="5" fillId="3" borderId="31" xfId="0" applyFont="1" applyFill="1" applyBorder="1"/>
    <xf numFmtId="165" fontId="5" fillId="3" borderId="20" xfId="0" applyNumberFormat="1" applyFont="1" applyFill="1" applyBorder="1"/>
    <xf numFmtId="0" fontId="2" fillId="0" borderId="32" xfId="0" applyFont="1" applyBorder="1"/>
    <xf numFmtId="0" fontId="1" fillId="6" borderId="33" xfId="0" applyFont="1" applyFill="1" applyBorder="1"/>
    <xf numFmtId="0" fontId="2" fillId="0" borderId="34" xfId="0" applyFont="1" applyBorder="1"/>
    <xf numFmtId="0" fontId="1" fillId="6" borderId="35" xfId="0" applyFont="1" applyFill="1" applyBorder="1"/>
    <xf numFmtId="10" fontId="0" fillId="0" borderId="9" xfId="1" applyNumberFormat="1" applyFont="1" applyBorder="1"/>
    <xf numFmtId="165" fontId="0" fillId="0" borderId="9" xfId="0" applyNumberFormat="1" applyBorder="1"/>
    <xf numFmtId="0" fontId="3" fillId="2" borderId="23" xfId="0" applyFont="1" applyFill="1" applyBorder="1" applyAlignment="1">
      <alignment horizontal="center"/>
    </xf>
    <xf numFmtId="0" fontId="3" fillId="2" borderId="13" xfId="0" applyFon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customschemas.google.com/relationships/workbookmetadata" Target="metadata"/><Relationship Id="rId5" Type="http://schemas.openxmlformats.org/officeDocument/2006/relationships/worksheet" Target="worksheets/sheet5.xml"/><Relationship Id="rId15" Type="http://schemas.openxmlformats.org/officeDocument/2006/relationships/calcChain" Target="calcChain.xml"/><Relationship Id="rId4" Type="http://schemas.openxmlformats.org/officeDocument/2006/relationships/worksheet" Target="worksheets/sheet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Interest rate Vs Present value of owning vs renting for 10 years</a:t>
            </a:r>
          </a:p>
        </c:rich>
      </c:tx>
      <c:layout>
        <c:manualLayout>
          <c:xMode val="edge"/>
          <c:yMode val="edge"/>
          <c:x val="0.13384245509828879"/>
          <c:y val="3.39147286821705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Based_on_zipcodes!$NG$48</c:f>
              <c:strCache>
                <c:ptCount val="1"/>
                <c:pt idx="0">
                  <c:v> 162,602 </c:v>
                </c:pt>
              </c:strCache>
            </c:strRef>
          </c:tx>
          <c:spPr>
            <a:ln w="22225" cap="rnd" cmpd="sng" algn="ctr">
              <a:solidFill>
                <a:schemeClr val="accent1"/>
              </a:solidFill>
              <a:round/>
            </a:ln>
            <a:effectLst/>
          </c:spPr>
          <c:marker>
            <c:symbol val="none"/>
          </c:marker>
          <c:cat>
            <c:numRef>
              <c:f>Based_on_zipcodes!$NF$49:$NF$134</c:f>
              <c:numCache>
                <c:formatCode>0.0%</c:formatCode>
                <c:ptCount val="86"/>
                <c:pt idx="0">
                  <c:v>1.4999999999999999E-2</c:v>
                </c:pt>
                <c:pt idx="1">
                  <c:v>1.6E-2</c:v>
                </c:pt>
                <c:pt idx="2">
                  <c:v>1.7000000000000001E-2</c:v>
                </c:pt>
                <c:pt idx="3">
                  <c:v>1.7999999999999999E-2</c:v>
                </c:pt>
                <c:pt idx="4">
                  <c:v>1.9E-2</c:v>
                </c:pt>
                <c:pt idx="5">
                  <c:v>0.02</c:v>
                </c:pt>
                <c:pt idx="6">
                  <c:v>2.1000000000000001E-2</c:v>
                </c:pt>
                <c:pt idx="7">
                  <c:v>2.1999999999999999E-2</c:v>
                </c:pt>
                <c:pt idx="8">
                  <c:v>2.3E-2</c:v>
                </c:pt>
                <c:pt idx="9">
                  <c:v>2.4E-2</c:v>
                </c:pt>
                <c:pt idx="10">
                  <c:v>2.5000000000000001E-2</c:v>
                </c:pt>
                <c:pt idx="11">
                  <c:v>2.5999999999999999E-2</c:v>
                </c:pt>
                <c:pt idx="12">
                  <c:v>2.7E-2</c:v>
                </c:pt>
                <c:pt idx="13">
                  <c:v>2.8000000000000001E-2</c:v>
                </c:pt>
                <c:pt idx="14">
                  <c:v>2.9000000000000001E-2</c:v>
                </c:pt>
                <c:pt idx="15">
                  <c:v>0.03</c:v>
                </c:pt>
                <c:pt idx="16">
                  <c:v>3.1E-2</c:v>
                </c:pt>
                <c:pt idx="17">
                  <c:v>3.2000000000000001E-2</c:v>
                </c:pt>
                <c:pt idx="18">
                  <c:v>3.3000000000000002E-2</c:v>
                </c:pt>
                <c:pt idx="19">
                  <c:v>3.4000000000000002E-2</c:v>
                </c:pt>
                <c:pt idx="20">
                  <c:v>3.5000000000000003E-2</c:v>
                </c:pt>
                <c:pt idx="21">
                  <c:v>3.5999999999999997E-2</c:v>
                </c:pt>
                <c:pt idx="22">
                  <c:v>3.6999999999999998E-2</c:v>
                </c:pt>
                <c:pt idx="23">
                  <c:v>3.7999999999999999E-2</c:v>
                </c:pt>
                <c:pt idx="24">
                  <c:v>3.9E-2</c:v>
                </c:pt>
                <c:pt idx="25">
                  <c:v>0.04</c:v>
                </c:pt>
                <c:pt idx="26">
                  <c:v>4.1000000000000002E-2</c:v>
                </c:pt>
                <c:pt idx="27">
                  <c:v>4.2000000000000003E-2</c:v>
                </c:pt>
                <c:pt idx="28">
                  <c:v>4.2999999999999997E-2</c:v>
                </c:pt>
                <c:pt idx="29">
                  <c:v>4.3999999999999997E-2</c:v>
                </c:pt>
                <c:pt idx="30">
                  <c:v>4.4999999999999901E-2</c:v>
                </c:pt>
                <c:pt idx="31">
                  <c:v>4.5999999999999902E-2</c:v>
                </c:pt>
                <c:pt idx="32">
                  <c:v>4.6999999999999903E-2</c:v>
                </c:pt>
                <c:pt idx="33">
                  <c:v>4.7999999999999897E-2</c:v>
                </c:pt>
                <c:pt idx="34">
                  <c:v>4.8999999999999898E-2</c:v>
                </c:pt>
                <c:pt idx="35">
                  <c:v>4.9999999999999899E-2</c:v>
                </c:pt>
                <c:pt idx="36">
                  <c:v>5.09999999999999E-2</c:v>
                </c:pt>
                <c:pt idx="37">
                  <c:v>5.19999999999999E-2</c:v>
                </c:pt>
                <c:pt idx="38">
                  <c:v>5.2999999999999901E-2</c:v>
                </c:pt>
                <c:pt idx="39">
                  <c:v>5.3999999999999902E-2</c:v>
                </c:pt>
                <c:pt idx="40">
                  <c:v>5.4999999999999903E-2</c:v>
                </c:pt>
                <c:pt idx="41">
                  <c:v>5.5999999999999897E-2</c:v>
                </c:pt>
                <c:pt idx="42">
                  <c:v>5.6999999999999898E-2</c:v>
                </c:pt>
                <c:pt idx="43">
                  <c:v>5.7999999999999899E-2</c:v>
                </c:pt>
                <c:pt idx="44">
                  <c:v>5.89999999999999E-2</c:v>
                </c:pt>
                <c:pt idx="45">
                  <c:v>5.9999999999999901E-2</c:v>
                </c:pt>
                <c:pt idx="46">
                  <c:v>6.0999999999999902E-2</c:v>
                </c:pt>
                <c:pt idx="47">
                  <c:v>6.1999999999999902E-2</c:v>
                </c:pt>
                <c:pt idx="48">
                  <c:v>6.2999999999999903E-2</c:v>
                </c:pt>
                <c:pt idx="49">
                  <c:v>6.3999999999999904E-2</c:v>
                </c:pt>
                <c:pt idx="50">
                  <c:v>6.4999999999999905E-2</c:v>
                </c:pt>
                <c:pt idx="51">
                  <c:v>6.5999999999999906E-2</c:v>
                </c:pt>
                <c:pt idx="52">
                  <c:v>6.6999999999999907E-2</c:v>
                </c:pt>
                <c:pt idx="53">
                  <c:v>6.7999999999999894E-2</c:v>
                </c:pt>
                <c:pt idx="54">
                  <c:v>6.8999999999999895E-2</c:v>
                </c:pt>
                <c:pt idx="55">
                  <c:v>6.9999999999999896E-2</c:v>
                </c:pt>
                <c:pt idx="56">
                  <c:v>7.0999999999999897E-2</c:v>
                </c:pt>
                <c:pt idx="57">
                  <c:v>7.1999999999999897E-2</c:v>
                </c:pt>
                <c:pt idx="58">
                  <c:v>7.2999999999999898E-2</c:v>
                </c:pt>
                <c:pt idx="59">
                  <c:v>7.3999999999999899E-2</c:v>
                </c:pt>
                <c:pt idx="60">
                  <c:v>7.49999999999999E-2</c:v>
                </c:pt>
                <c:pt idx="61">
                  <c:v>7.5999999999999901E-2</c:v>
                </c:pt>
                <c:pt idx="62">
                  <c:v>7.6999999999999902E-2</c:v>
                </c:pt>
                <c:pt idx="63">
                  <c:v>7.7999999999999903E-2</c:v>
                </c:pt>
                <c:pt idx="64">
                  <c:v>7.8999999999999904E-2</c:v>
                </c:pt>
                <c:pt idx="65">
                  <c:v>7.9999999999999905E-2</c:v>
                </c:pt>
                <c:pt idx="66">
                  <c:v>8.0999999999999905E-2</c:v>
                </c:pt>
                <c:pt idx="67">
                  <c:v>8.1999999999999906E-2</c:v>
                </c:pt>
                <c:pt idx="68">
                  <c:v>8.2999999999999893E-2</c:v>
                </c:pt>
                <c:pt idx="69">
                  <c:v>8.3999999999999894E-2</c:v>
                </c:pt>
                <c:pt idx="70">
                  <c:v>8.4999999999999895E-2</c:v>
                </c:pt>
                <c:pt idx="71">
                  <c:v>8.5999999999999896E-2</c:v>
                </c:pt>
                <c:pt idx="72">
                  <c:v>8.6999999999999897E-2</c:v>
                </c:pt>
                <c:pt idx="73">
                  <c:v>8.7999999999999898E-2</c:v>
                </c:pt>
                <c:pt idx="74">
                  <c:v>8.8999999999999899E-2</c:v>
                </c:pt>
                <c:pt idx="75">
                  <c:v>8.99999999999999E-2</c:v>
                </c:pt>
                <c:pt idx="76">
                  <c:v>9.09999999999999E-2</c:v>
                </c:pt>
                <c:pt idx="77">
                  <c:v>9.1999999999999901E-2</c:v>
                </c:pt>
                <c:pt idx="78">
                  <c:v>9.2999999999999902E-2</c:v>
                </c:pt>
                <c:pt idx="79">
                  <c:v>9.3999999999999903E-2</c:v>
                </c:pt>
                <c:pt idx="80">
                  <c:v>9.4999999999999904E-2</c:v>
                </c:pt>
                <c:pt idx="81">
                  <c:v>9.5999999999999905E-2</c:v>
                </c:pt>
                <c:pt idx="82">
                  <c:v>9.6999999999999906E-2</c:v>
                </c:pt>
                <c:pt idx="83">
                  <c:v>9.7999999999999907E-2</c:v>
                </c:pt>
                <c:pt idx="84">
                  <c:v>9.8999999999999894E-2</c:v>
                </c:pt>
                <c:pt idx="85">
                  <c:v>9.9999999999999895E-2</c:v>
                </c:pt>
              </c:numCache>
            </c:numRef>
          </c:cat>
          <c:val>
            <c:numRef>
              <c:f>Based_on_zipcodes!$NG$49:$NG$134</c:f>
              <c:numCache>
                <c:formatCode>_(* #,##0_);_(* \(#,##0\);_(* \-??_);_(@_)</c:formatCode>
                <c:ptCount val="86"/>
                <c:pt idx="0">
                  <c:v>162602.23124913321</c:v>
                </c:pt>
                <c:pt idx="1">
                  <c:v>159442.66041002152</c:v>
                </c:pt>
                <c:pt idx="2">
                  <c:v>156267.55265017733</c:v>
                </c:pt>
                <c:pt idx="3">
                  <c:v>153077.03607447009</c:v>
                </c:pt>
                <c:pt idx="4">
                  <c:v>149871.24064059896</c:v>
                </c:pt>
                <c:pt idx="5">
                  <c:v>146650.29809744441</c:v>
                </c:pt>
                <c:pt idx="6">
                  <c:v>143414.34192267954</c:v>
                </c:pt>
                <c:pt idx="7">
                  <c:v>140163.5072597134</c:v>
                </c:pt>
                <c:pt idx="8">
                  <c:v>136897.93085401278</c:v>
                </c:pt>
                <c:pt idx="9">
                  <c:v>133617.75098888509</c:v>
                </c:pt>
                <c:pt idx="10">
                  <c:v>130323.10742077271</c:v>
                </c:pt>
                <c:pt idx="11">
                  <c:v>127014.14131412515</c:v>
                </c:pt>
                <c:pt idx="12">
                  <c:v>123690.99517591046</c:v>
                </c:pt>
                <c:pt idx="13">
                  <c:v>120353.81278983595</c:v>
                </c:pt>
                <c:pt idx="14">
                  <c:v>117002.73915033082</c:v>
                </c:pt>
                <c:pt idx="15">
                  <c:v>113637.92039635914</c:v>
                </c:pt>
                <c:pt idx="16">
                  <c:v>110259.50374512629</c:v>
                </c:pt>
                <c:pt idx="17">
                  <c:v>106867.63742573257</c:v>
                </c:pt>
                <c:pt idx="18">
                  <c:v>103462.47061284685</c:v>
                </c:pt>
                <c:pt idx="19">
                  <c:v>100044.15336044562</c:v>
                </c:pt>
                <c:pt idx="20">
                  <c:v>96612.83653568897</c:v>
                </c:pt>
                <c:pt idx="21">
                  <c:v>93168.671752986716</c:v>
                </c:pt>
                <c:pt idx="22">
                  <c:v>89711.811308309363</c:v>
                </c:pt>
                <c:pt idx="23">
                  <c:v>86242.408113804646</c:v>
                </c:pt>
                <c:pt idx="24">
                  <c:v>82760.615632773755</c:v>
                </c:pt>
                <c:pt idx="25">
                  <c:v>79266.587815059029</c:v>
                </c:pt>
                <c:pt idx="26">
                  <c:v>75760.479032896648</c:v>
                </c:pt>
                <c:pt idx="27">
                  <c:v>72242.444017287649</c:v>
                </c:pt>
                <c:pt idx="28">
                  <c:v>68712.637794935305</c:v>
                </c:pt>
                <c:pt idx="29">
                  <c:v>65171.215625795521</c:v>
                </c:pt>
                <c:pt idx="30">
                  <c:v>61618.332941293593</c:v>
                </c:pt>
                <c:pt idx="31">
                  <c:v>58054.14528324503</c:v>
                </c:pt>
                <c:pt idx="32">
                  <c:v>54478.808243529173</c:v>
                </c:pt>
                <c:pt idx="33">
                  <c:v>50892.477404556805</c:v>
                </c:pt>
                <c:pt idx="34">
                  <c:v>47295.308280572957</c:v>
                </c:pt>
                <c:pt idx="35">
                  <c:v>43687.456259831612</c:v>
                </c:pt>
                <c:pt idx="36">
                  <c:v>40069.076547682474</c:v>
                </c:pt>
                <c:pt idx="37">
                  <c:v>36440.324110602669</c:v>
                </c:pt>
                <c:pt idx="38">
                  <c:v>32801.353621211252</c:v>
                </c:pt>
                <c:pt idx="39">
                  <c:v>29152.319404290982</c:v>
                </c:pt>
                <c:pt idx="40">
                  <c:v>25493.375383854989</c:v>
                </c:pt>
                <c:pt idx="41">
                  <c:v>21824.675031284143</c:v>
                </c:pt>
                <c:pt idx="42">
                  <c:v>18146.371314560398</c:v>
                </c:pt>
                <c:pt idx="43">
                  <c:v>14458.616648625004</c:v>
                </c:pt>
                <c:pt idx="44">
                  <c:v>10761.562846871908</c:v>
                </c:pt>
                <c:pt idx="45">
                  <c:v>7055.3610738210373</c:v>
                </c:pt>
                <c:pt idx="46">
                  <c:v>3340.1617989663669</c:v>
                </c:pt>
                <c:pt idx="47">
                  <c:v>-383.88524816799946</c:v>
                </c:pt>
                <c:pt idx="48">
                  <c:v>-4116.6311217601833</c:v>
                </c:pt>
                <c:pt idx="49">
                  <c:v>-7857.9277021751923</c:v>
                </c:pt>
                <c:pt idx="50">
                  <c:v>-11607.627737220741</c:v>
                </c:pt>
                <c:pt idx="51">
                  <c:v>-15365.584882139266</c:v>
                </c:pt>
                <c:pt idx="52">
                  <c:v>-19131.653738331424</c:v>
                </c:pt>
                <c:pt idx="53">
                  <c:v>-22905.689890817088</c:v>
                </c:pt>
                <c:pt idx="54">
                  <c:v>-26687.549944409155</c:v>
                </c:pt>
                <c:pt idx="55">
                  <c:v>-30477.091558611548</c:v>
                </c:pt>
                <c:pt idx="56">
                  <c:v>-34274.173481225807</c:v>
                </c:pt>
                <c:pt idx="57">
                  <c:v>-38078.655580682171</c:v>
                </c:pt>
                <c:pt idx="58">
                  <c:v>-41890.398877069609</c:v>
                </c:pt>
                <c:pt idx="59">
                  <c:v>-45709.265571901473</c:v>
                </c:pt>
                <c:pt idx="60">
                  <c:v>-49535.119076583294</c:v>
                </c:pt>
                <c:pt idx="61">
                  <c:v>-53367.824039615836</c:v>
                </c:pt>
                <c:pt idx="62">
                  <c:v>-57207.24637252291</c:v>
                </c:pt>
                <c:pt idx="63">
                  <c:v>-61053.253274517134</c:v>
                </c:pt>
                <c:pt idx="64">
                  <c:v>-64905.71325591467</c:v>
                </c:pt>
                <c:pt idx="65">
                  <c:v>-68764.496160299881</c:v>
                </c:pt>
                <c:pt idx="66">
                  <c:v>-72629.473185461073</c:v>
                </c:pt>
                <c:pt idx="67">
                  <c:v>-76500.516903099269</c:v>
                </c:pt>
                <c:pt idx="68">
                  <c:v>-80377.501277330841</c:v>
                </c:pt>
                <c:pt idx="69">
                  <c:v>-84260.301681991143</c:v>
                </c:pt>
                <c:pt idx="70">
                  <c:v>-88148.794916761006</c:v>
                </c:pt>
                <c:pt idx="71">
                  <c:v>-92042.859222125117</c:v>
                </c:pt>
                <c:pt idx="72">
                  <c:v>-95942.374293180546</c:v>
                </c:pt>
                <c:pt idx="73">
                  <c:v>-99847.22129231802</c:v>
                </c:pt>
                <c:pt idx="74">
                  <c:v>-103757.28286078053</c:v>
                </c:pt>
                <c:pt idx="75">
                  <c:v>-107672.44312914055</c:v>
                </c:pt>
                <c:pt idx="76">
                  <c:v>-111592.58772668723</c:v>
                </c:pt>
                <c:pt idx="77">
                  <c:v>-115517.60378976865</c:v>
                </c:pt>
                <c:pt idx="78">
                  <c:v>-119447.37996908974</c:v>
                </c:pt>
                <c:pt idx="79">
                  <c:v>-123381.80643600579</c:v>
                </c:pt>
                <c:pt idx="80">
                  <c:v>-127320.77488781404</c:v>
                </c:pt>
                <c:pt idx="81">
                  <c:v>-131264.17855208044</c:v>
                </c:pt>
                <c:pt idx="82">
                  <c:v>-135211.91219001333</c:v>
                </c:pt>
                <c:pt idx="83">
                  <c:v>-139163.8720989156</c:v>
                </c:pt>
                <c:pt idx="84">
                  <c:v>-143119.95611373172</c:v>
                </c:pt>
                <c:pt idx="85">
                  <c:v>-147080.06360771329</c:v>
                </c:pt>
              </c:numCache>
            </c:numRef>
          </c:val>
          <c:smooth val="0"/>
          <c:extLst>
            <c:ext xmlns:c16="http://schemas.microsoft.com/office/drawing/2014/chart" uri="{C3380CC4-5D6E-409C-BE32-E72D297353CC}">
              <c16:uniqueId val="{00000000-6F5B-48D8-BB63-12C885B0708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39061680"/>
        <c:axId val="439060960"/>
      </c:lineChart>
      <c:catAx>
        <c:axId val="439061680"/>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Interest rate on the home loan</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0960"/>
        <c:crosses val="autoZero"/>
        <c:auto val="1"/>
        <c:lblAlgn val="ctr"/>
        <c:lblOffset val="100"/>
        <c:noMultiLvlLbl val="0"/>
      </c:catAx>
      <c:valAx>
        <c:axId val="43906096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Benefit</a:t>
                </a:r>
                <a:r>
                  <a:rPr lang="en-US" baseline="0"/>
                  <a:t> of owning Vs buying (in $)</a:t>
                </a:r>
                <a:endParaRPr lang="en-US"/>
              </a:p>
            </c:rich>
          </c:tx>
          <c:layout>
            <c:manualLayout>
              <c:xMode val="edge"/>
              <c:yMode val="edge"/>
              <c:x val="3.3264033264033266E-2"/>
              <c:y val="0.22612029714833454"/>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_(* #,##0_);_(* \(#,##0\);_(* \-??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1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Interest rate Vs Present value of owning vs renting for 10 years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User_inputs_based!$NE$48</c:f>
              <c:strCache>
                <c:ptCount val="1"/>
                <c:pt idx="0">
                  <c:v> 41,107 </c:v>
                </c:pt>
              </c:strCache>
            </c:strRef>
          </c:tx>
          <c:spPr>
            <a:ln w="22225" cap="rnd" cmpd="sng" algn="ctr">
              <a:solidFill>
                <a:schemeClr val="accent1"/>
              </a:solidFill>
              <a:round/>
            </a:ln>
            <a:effectLst/>
          </c:spPr>
          <c:marker>
            <c:symbol val="none"/>
          </c:marker>
          <c:cat>
            <c:numRef>
              <c:f>User_inputs_based!$ND$49:$ND$134</c:f>
              <c:numCache>
                <c:formatCode>0.0%</c:formatCode>
                <c:ptCount val="86"/>
                <c:pt idx="0">
                  <c:v>1.4999999999999999E-2</c:v>
                </c:pt>
                <c:pt idx="1">
                  <c:v>1.6E-2</c:v>
                </c:pt>
                <c:pt idx="2">
                  <c:v>1.7000000000000001E-2</c:v>
                </c:pt>
                <c:pt idx="3">
                  <c:v>1.7999999999999999E-2</c:v>
                </c:pt>
                <c:pt idx="4">
                  <c:v>1.9E-2</c:v>
                </c:pt>
                <c:pt idx="5">
                  <c:v>0.02</c:v>
                </c:pt>
                <c:pt idx="6">
                  <c:v>2.1000000000000001E-2</c:v>
                </c:pt>
                <c:pt idx="7">
                  <c:v>2.1999999999999999E-2</c:v>
                </c:pt>
                <c:pt idx="8">
                  <c:v>2.3E-2</c:v>
                </c:pt>
                <c:pt idx="9">
                  <c:v>2.4E-2</c:v>
                </c:pt>
                <c:pt idx="10">
                  <c:v>2.5000000000000001E-2</c:v>
                </c:pt>
                <c:pt idx="11">
                  <c:v>2.5999999999999999E-2</c:v>
                </c:pt>
                <c:pt idx="12">
                  <c:v>2.7E-2</c:v>
                </c:pt>
                <c:pt idx="13">
                  <c:v>2.8000000000000001E-2</c:v>
                </c:pt>
                <c:pt idx="14">
                  <c:v>2.9000000000000001E-2</c:v>
                </c:pt>
                <c:pt idx="15">
                  <c:v>0.03</c:v>
                </c:pt>
                <c:pt idx="16">
                  <c:v>3.1E-2</c:v>
                </c:pt>
                <c:pt idx="17">
                  <c:v>3.2000000000000001E-2</c:v>
                </c:pt>
                <c:pt idx="18">
                  <c:v>3.3000000000000002E-2</c:v>
                </c:pt>
                <c:pt idx="19">
                  <c:v>3.4000000000000002E-2</c:v>
                </c:pt>
                <c:pt idx="20">
                  <c:v>3.5000000000000003E-2</c:v>
                </c:pt>
                <c:pt idx="21">
                  <c:v>3.5999999999999997E-2</c:v>
                </c:pt>
                <c:pt idx="22">
                  <c:v>3.6999999999999998E-2</c:v>
                </c:pt>
                <c:pt idx="23">
                  <c:v>3.7999999999999999E-2</c:v>
                </c:pt>
                <c:pt idx="24">
                  <c:v>3.9E-2</c:v>
                </c:pt>
                <c:pt idx="25">
                  <c:v>0.04</c:v>
                </c:pt>
                <c:pt idx="26">
                  <c:v>4.1000000000000002E-2</c:v>
                </c:pt>
                <c:pt idx="27">
                  <c:v>4.2000000000000003E-2</c:v>
                </c:pt>
                <c:pt idx="28">
                  <c:v>4.2999999999999997E-2</c:v>
                </c:pt>
                <c:pt idx="29">
                  <c:v>4.3999999999999997E-2</c:v>
                </c:pt>
                <c:pt idx="30">
                  <c:v>4.4999999999999901E-2</c:v>
                </c:pt>
                <c:pt idx="31">
                  <c:v>4.5999999999999902E-2</c:v>
                </c:pt>
                <c:pt idx="32">
                  <c:v>4.6999999999999903E-2</c:v>
                </c:pt>
                <c:pt idx="33">
                  <c:v>4.7999999999999897E-2</c:v>
                </c:pt>
                <c:pt idx="34">
                  <c:v>4.8999999999999898E-2</c:v>
                </c:pt>
                <c:pt idx="35">
                  <c:v>4.9999999999999899E-2</c:v>
                </c:pt>
                <c:pt idx="36">
                  <c:v>5.09999999999999E-2</c:v>
                </c:pt>
                <c:pt idx="37">
                  <c:v>5.19999999999999E-2</c:v>
                </c:pt>
                <c:pt idx="38">
                  <c:v>5.2999999999999901E-2</c:v>
                </c:pt>
                <c:pt idx="39">
                  <c:v>5.3999999999999902E-2</c:v>
                </c:pt>
                <c:pt idx="40">
                  <c:v>5.4999999999999903E-2</c:v>
                </c:pt>
                <c:pt idx="41">
                  <c:v>5.5999999999999897E-2</c:v>
                </c:pt>
                <c:pt idx="42">
                  <c:v>5.6999999999999898E-2</c:v>
                </c:pt>
                <c:pt idx="43">
                  <c:v>5.7999999999999899E-2</c:v>
                </c:pt>
                <c:pt idx="44">
                  <c:v>5.89999999999999E-2</c:v>
                </c:pt>
                <c:pt idx="45">
                  <c:v>5.9999999999999901E-2</c:v>
                </c:pt>
                <c:pt idx="46">
                  <c:v>6.0999999999999902E-2</c:v>
                </c:pt>
                <c:pt idx="47">
                  <c:v>6.1999999999999902E-2</c:v>
                </c:pt>
                <c:pt idx="48">
                  <c:v>6.2999999999999903E-2</c:v>
                </c:pt>
                <c:pt idx="49">
                  <c:v>6.3999999999999904E-2</c:v>
                </c:pt>
                <c:pt idx="50">
                  <c:v>6.4999999999999905E-2</c:v>
                </c:pt>
                <c:pt idx="51">
                  <c:v>6.5999999999999906E-2</c:v>
                </c:pt>
                <c:pt idx="52">
                  <c:v>6.6999999999999907E-2</c:v>
                </c:pt>
                <c:pt idx="53">
                  <c:v>6.7999999999999894E-2</c:v>
                </c:pt>
                <c:pt idx="54">
                  <c:v>6.8999999999999895E-2</c:v>
                </c:pt>
                <c:pt idx="55">
                  <c:v>6.9999999999999896E-2</c:v>
                </c:pt>
                <c:pt idx="56">
                  <c:v>7.0999999999999897E-2</c:v>
                </c:pt>
                <c:pt idx="57">
                  <c:v>7.1999999999999897E-2</c:v>
                </c:pt>
                <c:pt idx="58">
                  <c:v>7.2999999999999898E-2</c:v>
                </c:pt>
                <c:pt idx="59">
                  <c:v>7.3999999999999899E-2</c:v>
                </c:pt>
                <c:pt idx="60">
                  <c:v>7.49999999999999E-2</c:v>
                </c:pt>
                <c:pt idx="61">
                  <c:v>7.5999999999999901E-2</c:v>
                </c:pt>
                <c:pt idx="62">
                  <c:v>7.6999999999999902E-2</c:v>
                </c:pt>
                <c:pt idx="63">
                  <c:v>7.7999999999999903E-2</c:v>
                </c:pt>
                <c:pt idx="64">
                  <c:v>7.8999999999999904E-2</c:v>
                </c:pt>
                <c:pt idx="65">
                  <c:v>7.9999999999999905E-2</c:v>
                </c:pt>
                <c:pt idx="66">
                  <c:v>8.0999999999999905E-2</c:v>
                </c:pt>
                <c:pt idx="67">
                  <c:v>8.1999999999999906E-2</c:v>
                </c:pt>
                <c:pt idx="68">
                  <c:v>8.2999999999999893E-2</c:v>
                </c:pt>
                <c:pt idx="69">
                  <c:v>8.3999999999999894E-2</c:v>
                </c:pt>
                <c:pt idx="70">
                  <c:v>8.4999999999999895E-2</c:v>
                </c:pt>
                <c:pt idx="71">
                  <c:v>8.5999999999999896E-2</c:v>
                </c:pt>
                <c:pt idx="72">
                  <c:v>8.6999999999999897E-2</c:v>
                </c:pt>
                <c:pt idx="73">
                  <c:v>8.7999999999999898E-2</c:v>
                </c:pt>
                <c:pt idx="74">
                  <c:v>8.8999999999999899E-2</c:v>
                </c:pt>
                <c:pt idx="75">
                  <c:v>8.99999999999999E-2</c:v>
                </c:pt>
                <c:pt idx="76">
                  <c:v>9.09999999999999E-2</c:v>
                </c:pt>
                <c:pt idx="77">
                  <c:v>9.1999999999999901E-2</c:v>
                </c:pt>
                <c:pt idx="78">
                  <c:v>9.2999999999999902E-2</c:v>
                </c:pt>
                <c:pt idx="79">
                  <c:v>9.3999999999999903E-2</c:v>
                </c:pt>
                <c:pt idx="80">
                  <c:v>9.4999999999999904E-2</c:v>
                </c:pt>
                <c:pt idx="81">
                  <c:v>9.5999999999999905E-2</c:v>
                </c:pt>
                <c:pt idx="82">
                  <c:v>9.6999999999999906E-2</c:v>
                </c:pt>
                <c:pt idx="83">
                  <c:v>9.7999999999999907E-2</c:v>
                </c:pt>
                <c:pt idx="84">
                  <c:v>9.8999999999999894E-2</c:v>
                </c:pt>
                <c:pt idx="85">
                  <c:v>9.9999999999999895E-2</c:v>
                </c:pt>
              </c:numCache>
            </c:numRef>
          </c:cat>
          <c:val>
            <c:numRef>
              <c:f>User_inputs_based!$NE$49:$NE$134</c:f>
              <c:numCache>
                <c:formatCode>_(* #,##0_);_(* \(#,##0\);_(* \-??_);_(@_)</c:formatCode>
                <c:ptCount val="86"/>
                <c:pt idx="0">
                  <c:v>128317.4847241962</c:v>
                </c:pt>
                <c:pt idx="1">
                  <c:v>126546.01642259277</c:v>
                </c:pt>
                <c:pt idx="2">
                  <c:v>124765.83707636296</c:v>
                </c:pt>
                <c:pt idx="3">
                  <c:v>122977.0185097268</c:v>
                </c:pt>
                <c:pt idx="4">
                  <c:v>121179.63358572758</c:v>
                </c:pt>
                <c:pt idx="5">
                  <c:v>119373.75617166443</c:v>
                </c:pt>
                <c:pt idx="6">
                  <c:v>117559.46110411553</c:v>
                </c:pt>
                <c:pt idx="7">
                  <c:v>115736.82415358022</c:v>
                </c:pt>
                <c:pt idx="8">
                  <c:v>113905.92198878239</c:v>
                </c:pt>
                <c:pt idx="9">
                  <c:v>112066.8321406607</c:v>
                </c:pt>
                <c:pt idx="10">
                  <c:v>110219.63296609434</c:v>
                </c:pt>
                <c:pt idx="11">
                  <c:v>108364.40361138403</c:v>
                </c:pt>
                <c:pt idx="12">
                  <c:v>106501.22397553927</c:v>
                </c:pt>
                <c:pt idx="13">
                  <c:v>104630.1746733937</c:v>
                </c:pt>
                <c:pt idx="14">
                  <c:v>102751.33699859401</c:v>
                </c:pt>
                <c:pt idx="15">
                  <c:v>100864.79288649038</c:v>
                </c:pt>
                <c:pt idx="16">
                  <c:v>98970.624876967078</c:v>
                </c:pt>
                <c:pt idx="17">
                  <c:v>97068.916077245813</c:v>
                </c:pt>
                <c:pt idx="18">
                  <c:v>95159.750124696991</c:v>
                </c:pt>
                <c:pt idx="19">
                  <c:v>93243.211149690163</c:v>
                </c:pt>
                <c:pt idx="20">
                  <c:v>91319.383738520948</c:v>
                </c:pt>
                <c:pt idx="21">
                  <c:v>89388.352896442724</c:v>
                </c:pt>
                <c:pt idx="22">
                  <c:v>87450.20401083841</c:v>
                </c:pt>
                <c:pt idx="23">
                  <c:v>85505.02281456138</c:v>
                </c:pt>
                <c:pt idx="24">
                  <c:v>83552.895349478073</c:v>
                </c:pt>
                <c:pt idx="25">
                  <c:v>81593.907930243033</c:v>
                </c:pt>
                <c:pt idx="26">
                  <c:v>79628.147108333418</c:v>
                </c:pt>
                <c:pt idx="27">
                  <c:v>77655.699636374411</c:v>
                </c:pt>
                <c:pt idx="28">
                  <c:v>75676.652432780902</c:v>
                </c:pt>
                <c:pt idx="29">
                  <c:v>73691.092546746222</c:v>
                </c:pt>
                <c:pt idx="30">
                  <c:v>71699.107123599708</c:v>
                </c:pt>
                <c:pt idx="31">
                  <c:v>69700.783370562945</c:v>
                </c:pt>
                <c:pt idx="32">
                  <c:v>67696.208522927918</c:v>
                </c:pt>
                <c:pt idx="33">
                  <c:v>65685.46981067679</c:v>
                </c:pt>
                <c:pt idx="34">
                  <c:v>63668.654425573739</c:v>
                </c:pt>
                <c:pt idx="35">
                  <c:v>61645.849488743828</c:v>
                </c:pt>
                <c:pt idx="36">
                  <c:v>59617.142018764069</c:v>
                </c:pt>
                <c:pt idx="37">
                  <c:v>57582.618900283131</c:v>
                </c:pt>
                <c:pt idx="38">
                  <c:v>55542.366853192267</c:v>
                </c:pt>
                <c:pt idx="39">
                  <c:v>53496.472402363099</c:v>
                </c:pt>
                <c:pt idx="40">
                  <c:v>51445.021847968877</c:v>
                </c:pt>
                <c:pt idx="41">
                  <c:v>49388.101236406772</c:v>
                </c:pt>
                <c:pt idx="42">
                  <c:v>47325.796331834339</c:v>
                </c:pt>
                <c:pt idx="43">
                  <c:v>45258.192588335864</c:v>
                </c:pt>
                <c:pt idx="44">
                  <c:v>43185.37512273118</c:v>
                </c:pt>
                <c:pt idx="45">
                  <c:v>41107.428688034102</c:v>
                </c:pt>
                <c:pt idx="46">
                  <c:v>39024.437647581741</c:v>
                </c:pt>
                <c:pt idx="47">
                  <c:v>36936.485949833615</c:v>
                </c:pt>
                <c:pt idx="48">
                  <c:v>34843.657103853926</c:v>
                </c:pt>
                <c:pt idx="49">
                  <c:v>32746.034155490775</c:v>
                </c:pt>
                <c:pt idx="50">
                  <c:v>30643.69966424274</c:v>
                </c:pt>
                <c:pt idx="51">
                  <c:v>28536.735680843864</c:v>
                </c:pt>
                <c:pt idx="52">
                  <c:v>26425.223725544431</c:v>
                </c:pt>
                <c:pt idx="53">
                  <c:v>24309.244767113567</c:v>
                </c:pt>
                <c:pt idx="54">
                  <c:v>22188.879202554137</c:v>
                </c:pt>
                <c:pt idx="55">
                  <c:v>20064.206837539954</c:v>
                </c:pt>
                <c:pt idx="56">
                  <c:v>17935.306867570373</c:v>
                </c:pt>
                <c:pt idx="57">
                  <c:v>15802.257859846079</c:v>
                </c:pt>
                <c:pt idx="58">
                  <c:v>13665.137735867789</c:v>
                </c:pt>
                <c:pt idx="59">
                  <c:v>11524.023754753647</c:v>
                </c:pt>
                <c:pt idx="60">
                  <c:v>9378.9924972718654</c:v>
                </c:pt>
                <c:pt idx="61">
                  <c:v>7230.1198505932334</c:v>
                </c:pt>
                <c:pt idx="62">
                  <c:v>5077.4809937533373</c:v>
                </c:pt>
                <c:pt idx="63">
                  <c:v>2921.1503838196868</c:v>
                </c:pt>
                <c:pt idx="64">
                  <c:v>761.20174276950934</c:v>
                </c:pt>
                <c:pt idx="65">
                  <c:v>-1402.2919549403259</c:v>
                </c:pt>
                <c:pt idx="66">
                  <c:v>-3569.2584941119571</c:v>
                </c:pt>
                <c:pt idx="67">
                  <c:v>-5739.6264298548276</c:v>
                </c:pt>
                <c:pt idx="68">
                  <c:v>-7913.3250979603536</c:v>
                </c:pt>
                <c:pt idx="69">
                  <c:v>-10090.284624603693</c:v>
                </c:pt>
                <c:pt idx="70">
                  <c:v>-12270.435935384519</c:v>
                </c:pt>
                <c:pt idx="71">
                  <c:v>-14453.710763714049</c:v>
                </c:pt>
                <c:pt idx="72">
                  <c:v>-16640.041658558144</c:v>
                </c:pt>
                <c:pt idx="73">
                  <c:v>-18829.361991545698</c:v>
                </c:pt>
                <c:pt idx="74">
                  <c:v>-21021.605963450671</c:v>
                </c:pt>
                <c:pt idx="75">
                  <c:v>-23216.708610063928</c:v>
                </c:pt>
                <c:pt idx="76">
                  <c:v>-25414.605807459033</c:v>
                </c:pt>
                <c:pt idx="77">
                  <c:v>-27615.234276667692</c:v>
                </c:pt>
                <c:pt idx="78">
                  <c:v>-29818.531587773799</c:v>
                </c:pt>
                <c:pt idx="79">
                  <c:v>-32024.436163437556</c:v>
                </c:pt>
                <c:pt idx="80">
                  <c:v>-34232.887281867159</c:v>
                </c:pt>
                <c:pt idx="81">
                  <c:v>-36443.825079240887</c:v>
                </c:pt>
                <c:pt idx="82">
                  <c:v>-38657.190551602675</c:v>
                </c:pt>
                <c:pt idx="83">
                  <c:v>-40872.92555623268</c:v>
                </c:pt>
                <c:pt idx="84">
                  <c:v>-43090.97281251668</c:v>
                </c:pt>
                <c:pt idx="85">
                  <c:v>-45311.27590231879</c:v>
                </c:pt>
              </c:numCache>
            </c:numRef>
          </c:val>
          <c:smooth val="0"/>
          <c:extLst>
            <c:ext xmlns:c16="http://schemas.microsoft.com/office/drawing/2014/chart" uri="{C3380CC4-5D6E-409C-BE32-E72D297353CC}">
              <c16:uniqueId val="{00000000-18AD-43C0-ABAB-7CB96EB9890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39061680"/>
        <c:axId val="439060960"/>
      </c:lineChart>
      <c:catAx>
        <c:axId val="439061680"/>
        <c:scaling>
          <c:orientation val="minMax"/>
        </c:scaling>
        <c:delete val="0"/>
        <c:axPos val="b"/>
        <c:numFmt formatCode="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0960"/>
        <c:crosses val="autoZero"/>
        <c:auto val="1"/>
        <c:lblAlgn val="ctr"/>
        <c:lblOffset val="100"/>
        <c:noMultiLvlLbl val="0"/>
      </c:catAx>
      <c:valAx>
        <c:axId val="439060960"/>
        <c:scaling>
          <c:orientation val="minMax"/>
        </c:scaling>
        <c:delete val="0"/>
        <c:axPos val="l"/>
        <c:numFmt formatCode="_(* #,##0_);_(* \(#,##0\);_(* \-??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3906168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2</xdr:row>
          <xdr:rowOff>30480</xdr:rowOff>
        </xdr:from>
        <xdr:to>
          <xdr:col>16</xdr:col>
          <xdr:colOff>137160</xdr:colOff>
          <xdr:row>4</xdr:row>
          <xdr:rowOff>137160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601980</xdr:colOff>
          <xdr:row>0</xdr:row>
          <xdr:rowOff>175260</xdr:rowOff>
        </xdr:from>
        <xdr:to>
          <xdr:col>8</xdr:col>
          <xdr:colOff>525780</xdr:colOff>
          <xdr:row>2</xdr:row>
          <xdr:rowOff>175260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114300</xdr:colOff>
          <xdr:row>3</xdr:row>
          <xdr:rowOff>38100</xdr:rowOff>
        </xdr:from>
        <xdr:to>
          <xdr:col>8</xdr:col>
          <xdr:colOff>571500</xdr:colOff>
          <xdr:row>5</xdr:row>
          <xdr:rowOff>99060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586740</xdr:colOff>
          <xdr:row>11</xdr:row>
          <xdr:rowOff>129540</xdr:rowOff>
        </xdr:from>
        <xdr:to>
          <xdr:col>5</xdr:col>
          <xdr:colOff>320040</xdr:colOff>
          <xdr:row>13</xdr:row>
          <xdr:rowOff>167640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11</xdr:row>
          <xdr:rowOff>114300</xdr:rowOff>
        </xdr:from>
        <xdr:to>
          <xdr:col>8</xdr:col>
          <xdr:colOff>175260</xdr:colOff>
          <xdr:row>14</xdr:row>
          <xdr:rowOff>76200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housing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533400</xdr:colOff>
          <xdr:row>11</xdr:row>
          <xdr:rowOff>129540</xdr:rowOff>
        </xdr:from>
        <xdr:to>
          <xdr:col>11</xdr:col>
          <xdr:colOff>106680</xdr:colOff>
          <xdr:row>14</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renting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266700</xdr:colOff>
          <xdr:row>7</xdr:row>
          <xdr:rowOff>91440</xdr:rowOff>
        </xdr:from>
        <xdr:to>
          <xdr:col>6</xdr:col>
          <xdr:colOff>182880</xdr:colOff>
          <xdr:row>9</xdr:row>
          <xdr:rowOff>175260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decision based on zipcode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228600</xdr:colOff>
          <xdr:row>7</xdr:row>
          <xdr:rowOff>30480</xdr:rowOff>
        </xdr:from>
        <xdr:to>
          <xdr:col>10</xdr:col>
          <xdr:colOff>144780</xdr:colOff>
          <xdr:row>9</xdr:row>
          <xdr:rowOff>152400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300-000005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decision based on customized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137160</xdr:colOff>
          <xdr:row>6</xdr:row>
          <xdr:rowOff>144780</xdr:rowOff>
        </xdr:from>
        <xdr:to>
          <xdr:col>14</xdr:col>
          <xdr:colOff>137160</xdr:colOff>
          <xdr:row>9</xdr:row>
          <xdr:rowOff>167640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300-000006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See Visualizations</a:t>
              </a:r>
            </a:p>
          </xdr:txBody>
        </xdr:sp>
        <xdr:clientData fPrintsWithSheet="0"/>
      </xdr:twoCellAnchor>
    </mc:Choice>
    <mc:Fallback/>
  </mc:AlternateContent>
  <xdr:twoCellAnchor>
    <xdr:from>
      <xdr:col>5</xdr:col>
      <xdr:colOff>187325</xdr:colOff>
      <xdr:row>2</xdr:row>
      <xdr:rowOff>76200</xdr:rowOff>
    </xdr:from>
    <xdr:to>
      <xdr:col>10</xdr:col>
      <xdr:colOff>228600</xdr:colOff>
      <xdr:row>4</xdr:row>
      <xdr:rowOff>111125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3235325" y="438150"/>
          <a:ext cx="3089275" cy="396875"/>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Housing Buy vs rent Decision Tool</a:t>
          </a:r>
        </a:p>
      </xdr:txBody>
    </xdr:sp>
    <xdr:clientData/>
  </xdr:twoCellAnchor>
  <xdr:twoCellAnchor>
    <xdr:from>
      <xdr:col>2</xdr:col>
      <xdr:colOff>352425</xdr:colOff>
      <xdr:row>0</xdr:row>
      <xdr:rowOff>161925</xdr:rowOff>
    </xdr:from>
    <xdr:to>
      <xdr:col>14</xdr:col>
      <xdr:colOff>542925</xdr:colOff>
      <xdr:row>16</xdr:row>
      <xdr:rowOff>114300</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666875" y="161925"/>
          <a:ext cx="8077200" cy="2847975"/>
        </a:xfrm>
        <a:prstGeom prst="roundRect">
          <a:avLst/>
        </a:prstGeom>
        <a:noFill/>
        <a:ln w="762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188912</xdr:colOff>
      <xdr:row>1</xdr:row>
      <xdr:rowOff>107632</xdr:rowOff>
    </xdr:from>
    <xdr:to>
      <xdr:col>12</xdr:col>
      <xdr:colOff>773112</xdr:colOff>
      <xdr:row>18</xdr:row>
      <xdr:rowOff>20637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495300</xdr:colOff>
          <xdr:row>5</xdr:row>
          <xdr:rowOff>76200</xdr:rowOff>
        </xdr:from>
        <xdr:to>
          <xdr:col>4</xdr:col>
          <xdr:colOff>350520</xdr:colOff>
          <xdr:row>7</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Buying Scenario</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495300</xdr:colOff>
          <xdr:row>8</xdr:row>
          <xdr:rowOff>83820</xdr:rowOff>
        </xdr:from>
        <xdr:to>
          <xdr:col>5</xdr:col>
          <xdr:colOff>556260</xdr:colOff>
          <xdr:row>10</xdr:row>
          <xdr:rowOff>129540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Contents</a:t>
              </a: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419100</xdr:colOff>
          <xdr:row>5</xdr:row>
          <xdr:rowOff>68580</xdr:rowOff>
        </xdr:from>
        <xdr:to>
          <xdr:col>6</xdr:col>
          <xdr:colOff>289560</xdr:colOff>
          <xdr:row>7</xdr:row>
          <xdr:rowOff>106680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Renting Scenario</a:t>
              </a:r>
            </a:p>
            <a:p>
              <a:pPr algn="ctr" rtl="0">
                <a:defRPr sz="1000"/>
              </a:pP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106680</xdr:colOff>
          <xdr:row>11</xdr:row>
          <xdr:rowOff>83820</xdr:rowOff>
        </xdr:from>
        <xdr:to>
          <xdr:col>6</xdr:col>
          <xdr:colOff>205740</xdr:colOff>
          <xdr:row>13</xdr:row>
          <xdr:rowOff>137160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me the decision</a:t>
              </a:r>
            </a:p>
          </xdr:txBody>
        </xdr:sp>
        <xdr:clientData/>
      </xdr:twoCellAnchor>
    </mc:Choice>
    <mc:Fallback/>
  </mc:AlternateContent>
  <xdr:twoCellAnchor>
    <xdr:from>
      <xdr:col>13</xdr:col>
      <xdr:colOff>152400</xdr:colOff>
      <xdr:row>0</xdr:row>
      <xdr:rowOff>161924</xdr:rowOff>
    </xdr:from>
    <xdr:to>
      <xdr:col>25</xdr:col>
      <xdr:colOff>771525</xdr:colOff>
      <xdr:row>5</xdr:row>
      <xdr:rowOff>142874</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4268450" y="161924"/>
          <a:ext cx="10220325" cy="790575"/>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Model</a:t>
          </a:r>
          <a:r>
            <a:rPr lang="en-US" sz="1100" b="1" baseline="0"/>
            <a:t> Assumptions : </a:t>
          </a:r>
        </a:p>
        <a:p>
          <a:r>
            <a:rPr lang="en-US" sz="1100" baseline="0"/>
            <a:t>1. Annual maintenance is 1% of the house value</a:t>
          </a:r>
        </a:p>
        <a:p>
          <a:r>
            <a:rPr lang="en-US" sz="1100" baseline="0"/>
            <a:t>2. The values for Property tax rate, Annual insurance, assumed annual appreciation, assumed marginal income tax rate, general inflation, assumed rental price inflation, assumed annual (after tax) return on cash  and transaction costs of selling a home can be modified by the user as per market standards.</a:t>
          </a:r>
          <a:endParaRPr lang="en-US" sz="1100"/>
        </a:p>
      </xdr:txBody>
    </xdr:sp>
    <xdr:clientData/>
  </xdr:twoCellAnchor>
  <xdr:twoCellAnchor>
    <xdr:from>
      <xdr:col>13</xdr:col>
      <xdr:colOff>152400</xdr:colOff>
      <xdr:row>7</xdr:row>
      <xdr:rowOff>3174</xdr:rowOff>
    </xdr:from>
    <xdr:to>
      <xdr:col>19</xdr:col>
      <xdr:colOff>9525</xdr:colOff>
      <xdr:row>15</xdr:row>
      <xdr:rowOff>31749</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3858875" y="1136649"/>
          <a:ext cx="4657725" cy="1247775"/>
        </a:xfrm>
        <a:prstGeom prst="rect">
          <a:avLst/>
        </a:prstGeom>
        <a:solidFill>
          <a:schemeClr val="accent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 :</a:t>
          </a:r>
        </a:p>
        <a:p>
          <a:r>
            <a:rPr lang="en-US" sz="1100" b="0"/>
            <a:t>1.</a:t>
          </a:r>
          <a:r>
            <a:rPr lang="en-US" sz="1100" b="0" baseline="0"/>
            <a:t> Click on "Clear Contents" button to clear the existing calculations</a:t>
          </a:r>
        </a:p>
        <a:p>
          <a:r>
            <a:rPr lang="en-US" sz="1100" b="0" baseline="0"/>
            <a:t>2. Choose the zip code from the drop-down</a:t>
          </a:r>
        </a:p>
        <a:p>
          <a:r>
            <a:rPr lang="en-US" sz="1100" b="0" baseline="0"/>
            <a:t>3. Choose the % of downpayment and the interest rates from the drop-down</a:t>
          </a:r>
        </a:p>
        <a:p>
          <a:r>
            <a:rPr lang="en-US" sz="1100" b="0" baseline="0"/>
            <a:t>4. Click on "Buying Scenario" and "Renting Scenario" buttons</a:t>
          </a:r>
        </a:p>
        <a:p>
          <a:r>
            <a:rPr lang="en-US" sz="1100" b="0" baseline="0"/>
            <a:t>5. Click on "Show me the decision" button.</a:t>
          </a:r>
          <a:endParaRPr lang="en-US" sz="1100" b="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60642</xdr:colOff>
      <xdr:row>1</xdr:row>
      <xdr:rowOff>51117</xdr:rowOff>
    </xdr:from>
    <xdr:to>
      <xdr:col>12</xdr:col>
      <xdr:colOff>626427</xdr:colOff>
      <xdr:row>17</xdr:row>
      <xdr:rowOff>142557</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236220</xdr:colOff>
      <xdr:row>4</xdr:row>
      <xdr:rowOff>83820</xdr:rowOff>
    </xdr:from>
    <xdr:to>
      <xdr:col>6</xdr:col>
      <xdr:colOff>434340</xdr:colOff>
      <xdr:row>14</xdr:row>
      <xdr:rowOff>114300</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5029200" y="723900"/>
          <a:ext cx="3337560" cy="1577340"/>
          <a:chOff x="9174480" y="838200"/>
          <a:chExt cx="3337560" cy="1577340"/>
        </a:xfrm>
      </xdr:grpSpPr>
      <xdr:sp macro="" textlink="">
        <xdr:nvSpPr>
          <xdr:cNvPr id="4" name="Rectangle 3">
            <a:extLst>
              <a:ext uri="{FF2B5EF4-FFF2-40B4-BE49-F238E27FC236}">
                <a16:creationId xmlns:a16="http://schemas.microsoft.com/office/drawing/2014/main" id="{00000000-0008-0000-0500-000004000000}"/>
              </a:ext>
            </a:extLst>
          </xdr:cNvPr>
          <xdr:cNvSpPr/>
        </xdr:nvSpPr>
        <xdr:spPr>
          <a:xfrm>
            <a:off x="9174480" y="838200"/>
            <a:ext cx="3337560" cy="1577340"/>
          </a:xfrm>
          <a:prstGeom prst="rect">
            <a:avLst/>
          </a:prstGeom>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9403080" y="975360"/>
                <a:ext cx="142494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Buying Scenario</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10187940" y="1455420"/>
                <a:ext cx="1630680" cy="35052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Contents</a:t>
                </a: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10896600" y="967740"/>
                <a:ext cx="144018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Renting Scenario</a:t>
                </a:r>
              </a:p>
              <a:p>
                <a:pPr algn="ctr" rtl="0">
                  <a:defRPr sz="1000"/>
                </a:pPr>
                <a:endParaRPr lang="en-US" sz="1100" b="0" i="0" u="none" strike="noStrike" baseline="0">
                  <a:solidFill>
                    <a:srgbClr val="000000"/>
                  </a:solidFill>
                  <a:latin typeface="Calibri"/>
                  <a:cs typeface="Calibri"/>
                </a:endParaRPr>
              </a:p>
            </xdr:txBody>
          </xdr:sp>
        </mc:Choice>
        <mc:Fallback/>
      </mc:AlternateContent>
      <mc:AlternateContent xmlns:mc="http://schemas.openxmlformats.org/markup-compatibility/2006">
        <mc:Choice xmlns:a14="http://schemas.microsoft.com/office/drawing/2010/main" Requires="a14">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500-0000043C0000}"/>
                  </a:ext>
                </a:extLst>
              </xdr:cNvPr>
              <xdr:cNvSpPr/>
            </xdr:nvSpPr>
            <xdr:spPr bwMode="auto">
              <a:xfrm>
                <a:off x="9799320" y="1912620"/>
                <a:ext cx="2453640" cy="35814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me the decision</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251460</xdr:colOff>
          <xdr:row>4</xdr:row>
          <xdr:rowOff>30480</xdr:rowOff>
        </xdr:from>
        <xdr:to>
          <xdr:col>26</xdr:col>
          <xdr:colOff>228600</xdr:colOff>
          <xdr:row>6</xdr:row>
          <xdr:rowOff>68580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oneCellAnchor>
    <xdr:from>
      <xdr:col>1</xdr:col>
      <xdr:colOff>541020</xdr:colOff>
      <xdr:row>20</xdr:row>
      <xdr:rowOff>152400</xdr:rowOff>
    </xdr:from>
    <xdr:ext cx="11010900" cy="4429125"/>
    <xdr:pic>
      <xdr:nvPicPr>
        <xdr:cNvPr id="4" name="image1.png" title="Image">
          <a:extLst>
            <a:ext uri="{FF2B5EF4-FFF2-40B4-BE49-F238E27FC236}">
              <a16:creationId xmlns:a16="http://schemas.microsoft.com/office/drawing/2014/main" id="{00000000-0008-0000-0600-000004000000}"/>
            </a:ext>
          </a:extLst>
        </xdr:cNvPr>
        <xdr:cNvPicPr preferRelativeResize="0"/>
      </xdr:nvPicPr>
      <xdr:blipFill>
        <a:blip xmlns:r="http://schemas.openxmlformats.org/officeDocument/2006/relationships" r:embed="rId1" cstate="print"/>
        <a:stretch>
          <a:fillRect/>
        </a:stretch>
      </xdr:blipFill>
      <xdr:spPr>
        <a:xfrm>
          <a:off x="1150620" y="3810000"/>
          <a:ext cx="11010900" cy="4429125"/>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20</xdr:col>
          <xdr:colOff>83820</xdr:colOff>
          <xdr:row>20</xdr:row>
          <xdr:rowOff>22860</xdr:rowOff>
        </xdr:from>
        <xdr:to>
          <xdr:col>22</xdr:col>
          <xdr:colOff>38100</xdr:colOff>
          <xdr:row>22</xdr:row>
          <xdr:rowOff>60960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Back to main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4.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1000"/>
  <sheetViews>
    <sheetView workbookViewId="0">
      <selection activeCell="E9" sqref="E9"/>
    </sheetView>
  </sheetViews>
  <sheetFormatPr defaultColWidth="14.44140625" defaultRowHeight="15" customHeight="1" x14ac:dyDescent="0.3"/>
  <cols>
    <col min="1" max="1" width="8.77734375" customWidth="1"/>
    <col min="2" max="2" width="5.21875" customWidth="1"/>
    <col min="3" max="3" width="17.5546875" customWidth="1"/>
    <col min="4" max="4" width="27" customWidth="1"/>
    <col min="5" max="5" width="20.44140625" customWidth="1"/>
    <col min="6" max="6" width="11.77734375" customWidth="1"/>
    <col min="7" max="8" width="8.77734375" customWidth="1"/>
    <col min="9" max="9" width="8.77734375" hidden="1" customWidth="1"/>
    <col min="10" max="10" width="17" hidden="1" customWidth="1"/>
    <col min="11" max="11" width="26.21875" hidden="1" customWidth="1"/>
    <col min="12" max="12" width="17.5546875" hidden="1" customWidth="1"/>
    <col min="13" max="14" width="11.77734375" hidden="1" customWidth="1"/>
    <col min="15" max="26" width="8.77734375" customWidth="1"/>
  </cols>
  <sheetData>
    <row r="1" spans="1:14" ht="14.25" customHeight="1" x14ac:dyDescent="0.3">
      <c r="A1" s="1" t="s">
        <v>0</v>
      </c>
      <c r="B1" s="1" t="s">
        <v>1</v>
      </c>
      <c r="C1" s="1" t="s">
        <v>2</v>
      </c>
      <c r="D1" s="1" t="s">
        <v>3</v>
      </c>
      <c r="E1" s="1" t="s">
        <v>4</v>
      </c>
      <c r="F1" s="2" t="s">
        <v>6</v>
      </c>
      <c r="I1" s="1" t="s">
        <v>0</v>
      </c>
      <c r="J1" s="1" t="s">
        <v>2</v>
      </c>
      <c r="K1" s="1" t="s">
        <v>3</v>
      </c>
      <c r="L1" s="1" t="s">
        <v>4</v>
      </c>
      <c r="M1" s="2" t="s">
        <v>5</v>
      </c>
      <c r="N1" s="1" t="s">
        <v>6</v>
      </c>
    </row>
    <row r="2" spans="1:14" ht="14.25" customHeight="1" x14ac:dyDescent="0.3">
      <c r="A2" s="1">
        <v>48197</v>
      </c>
      <c r="B2" s="1" t="s">
        <v>7</v>
      </c>
      <c r="C2" s="1" t="s">
        <v>8</v>
      </c>
      <c r="D2" s="1" t="s">
        <v>9</v>
      </c>
      <c r="E2" s="1" t="s">
        <v>10</v>
      </c>
      <c r="F2" s="1">
        <v>308132.28440966102</v>
      </c>
      <c r="I2" s="1">
        <v>48197</v>
      </c>
      <c r="J2" s="1" t="str">
        <f t="shared" ref="J2:J127" si="0">VLOOKUP(I2,A2:F897,3,)</f>
        <v>Ypsilanti</v>
      </c>
      <c r="K2" s="1" t="str">
        <f t="shared" ref="K2:K127" si="1">VLOOKUP(I2,A2:F897,4,FALSE)</f>
        <v>Ann Arbor, MI</v>
      </c>
      <c r="L2" s="1" t="str">
        <f t="shared" ref="L2:L127" si="2">VLOOKUP(I2,A2:F897,5,FALSE)</f>
        <v>Washtenaw County</v>
      </c>
      <c r="M2" s="1">
        <v>1294.1584250000001</v>
      </c>
      <c r="N2" s="3">
        <f t="shared" ref="N2:N127" si="3">VLOOKUP(I2,A2:F897,6,FALSE)</f>
        <v>308132.28440966102</v>
      </c>
    </row>
    <row r="3" spans="1:14" ht="14.25" customHeight="1" x14ac:dyDescent="0.3">
      <c r="A3" s="1">
        <v>48180</v>
      </c>
      <c r="B3" s="1" t="s">
        <v>7</v>
      </c>
      <c r="C3" s="1" t="s">
        <v>11</v>
      </c>
      <c r="D3" s="1" t="s">
        <v>12</v>
      </c>
      <c r="E3" s="1" t="s">
        <v>13</v>
      </c>
      <c r="F3" s="1">
        <v>144456.84932324101</v>
      </c>
      <c r="I3" s="1">
        <v>48180</v>
      </c>
      <c r="J3" s="1" t="str">
        <f t="shared" si="0"/>
        <v>Taylor</v>
      </c>
      <c r="K3" s="1" t="str">
        <f t="shared" si="1"/>
        <v>Detroit-Warren-Dearborn, MI</v>
      </c>
      <c r="L3" s="1" t="str">
        <f t="shared" si="2"/>
        <v>Wayne County</v>
      </c>
      <c r="M3" s="1">
        <v>1292.5</v>
      </c>
      <c r="N3" s="3">
        <f t="shared" si="3"/>
        <v>144456.84932324101</v>
      </c>
    </row>
    <row r="4" spans="1:14" ht="14.25" customHeight="1" x14ac:dyDescent="0.3">
      <c r="A4" s="1">
        <v>48228</v>
      </c>
      <c r="B4" s="1" t="s">
        <v>7</v>
      </c>
      <c r="C4" s="1" t="s">
        <v>14</v>
      </c>
      <c r="D4" s="1" t="s">
        <v>12</v>
      </c>
      <c r="E4" s="1" t="s">
        <v>13</v>
      </c>
      <c r="F4" s="1">
        <v>51911.909004460802</v>
      </c>
      <c r="I4" s="1">
        <v>48228</v>
      </c>
      <c r="J4" s="1" t="str">
        <f t="shared" si="0"/>
        <v>Detroit</v>
      </c>
      <c r="K4" s="1" t="str">
        <f t="shared" si="1"/>
        <v>Detroit-Warren-Dearborn, MI</v>
      </c>
      <c r="L4" s="1" t="str">
        <f t="shared" si="2"/>
        <v>Wayne County</v>
      </c>
      <c r="M4" s="1">
        <v>1003.965368</v>
      </c>
      <c r="N4" s="3">
        <f t="shared" si="3"/>
        <v>51911.909004460802</v>
      </c>
    </row>
    <row r="5" spans="1:14" ht="14.25" customHeight="1" x14ac:dyDescent="0.3">
      <c r="A5" s="1">
        <v>48044</v>
      </c>
      <c r="B5" s="1" t="s">
        <v>7</v>
      </c>
      <c r="C5" s="1" t="s">
        <v>15</v>
      </c>
      <c r="D5" s="1" t="s">
        <v>12</v>
      </c>
      <c r="E5" s="1" t="s">
        <v>16</v>
      </c>
      <c r="F5" s="1">
        <v>382791.39764575899</v>
      </c>
      <c r="I5" s="1">
        <v>48103</v>
      </c>
      <c r="J5" s="1" t="str">
        <f t="shared" si="0"/>
        <v>Ann Arbor</v>
      </c>
      <c r="K5" s="1" t="str">
        <f t="shared" si="1"/>
        <v>Ann Arbor, MI</v>
      </c>
      <c r="L5" s="1" t="str">
        <f t="shared" si="2"/>
        <v>Washtenaw County</v>
      </c>
      <c r="M5" s="1">
        <v>2139.9523810000001</v>
      </c>
      <c r="N5" s="3">
        <f t="shared" si="3"/>
        <v>460840.05182310601</v>
      </c>
    </row>
    <row r="6" spans="1:14" ht="14.25" customHeight="1" x14ac:dyDescent="0.3">
      <c r="A6" s="1">
        <v>48103</v>
      </c>
      <c r="B6" s="1" t="s">
        <v>7</v>
      </c>
      <c r="C6" s="1" t="s">
        <v>17</v>
      </c>
      <c r="D6" s="1" t="s">
        <v>9</v>
      </c>
      <c r="E6" s="1" t="s">
        <v>10</v>
      </c>
      <c r="F6" s="1">
        <v>460840.05182310601</v>
      </c>
      <c r="I6" s="1">
        <v>48823</v>
      </c>
      <c r="J6" s="1" t="str">
        <f t="shared" si="0"/>
        <v>East Lansing</v>
      </c>
      <c r="K6" s="1" t="str">
        <f t="shared" si="1"/>
        <v>Lansing-East Lansing, MI</v>
      </c>
      <c r="L6" s="1" t="str">
        <f t="shared" si="2"/>
        <v>Ingham County</v>
      </c>
      <c r="M6" s="1">
        <v>1423.583333</v>
      </c>
      <c r="N6" s="3">
        <f t="shared" si="3"/>
        <v>273281.76622000802</v>
      </c>
    </row>
    <row r="7" spans="1:14" ht="14.25" customHeight="1" x14ac:dyDescent="0.3">
      <c r="A7" s="1">
        <v>48823</v>
      </c>
      <c r="B7" s="1" t="s">
        <v>7</v>
      </c>
      <c r="C7" s="1" t="s">
        <v>18</v>
      </c>
      <c r="D7" s="1" t="s">
        <v>19</v>
      </c>
      <c r="E7" s="1" t="s">
        <v>20</v>
      </c>
      <c r="F7" s="1">
        <v>273281.76622000802</v>
      </c>
      <c r="I7" s="1">
        <v>48187</v>
      </c>
      <c r="J7" s="1" t="str">
        <f t="shared" si="0"/>
        <v>Canton</v>
      </c>
      <c r="K7" s="1" t="str">
        <f t="shared" si="1"/>
        <v>Detroit-Warren-Dearborn, MI</v>
      </c>
      <c r="L7" s="1" t="str">
        <f t="shared" si="2"/>
        <v>Wayne County</v>
      </c>
      <c r="M7" s="1">
        <v>1587.333333</v>
      </c>
      <c r="N7" s="3">
        <f t="shared" si="3"/>
        <v>349218.10313556198</v>
      </c>
    </row>
    <row r="8" spans="1:14" ht="14.25" customHeight="1" x14ac:dyDescent="0.3">
      <c r="A8" s="1">
        <v>48187</v>
      </c>
      <c r="B8" s="1" t="s">
        <v>7</v>
      </c>
      <c r="C8" s="1" t="s">
        <v>21</v>
      </c>
      <c r="D8" s="1" t="s">
        <v>12</v>
      </c>
      <c r="E8" s="1" t="s">
        <v>13</v>
      </c>
      <c r="F8" s="1">
        <v>349218.10313556198</v>
      </c>
      <c r="I8" s="1">
        <v>48126</v>
      </c>
      <c r="J8" s="1" t="str">
        <f t="shared" si="0"/>
        <v>Dearborn</v>
      </c>
      <c r="K8" s="1" t="str">
        <f t="shared" si="1"/>
        <v>Detroit-Warren-Dearborn, MI</v>
      </c>
      <c r="L8" s="1" t="str">
        <f t="shared" si="2"/>
        <v>Wayne County</v>
      </c>
      <c r="M8" s="1">
        <v>1777.555556</v>
      </c>
      <c r="N8" s="3">
        <f t="shared" si="3"/>
        <v>191147.404022856</v>
      </c>
    </row>
    <row r="9" spans="1:14" ht="14.25" customHeight="1" x14ac:dyDescent="0.3">
      <c r="A9" s="1">
        <v>48126</v>
      </c>
      <c r="B9" s="1" t="s">
        <v>7</v>
      </c>
      <c r="C9" s="1" t="s">
        <v>22</v>
      </c>
      <c r="D9" s="1" t="s">
        <v>12</v>
      </c>
      <c r="E9" s="1" t="s">
        <v>13</v>
      </c>
      <c r="F9" s="1">
        <v>191147.404022856</v>
      </c>
      <c r="I9" s="1">
        <v>49201</v>
      </c>
      <c r="J9" s="1" t="str">
        <f t="shared" si="0"/>
        <v>Jackson</v>
      </c>
      <c r="K9" s="1" t="str">
        <f t="shared" si="1"/>
        <v>Jackson, MI</v>
      </c>
      <c r="L9" s="1" t="str">
        <f t="shared" si="2"/>
        <v>Jackson County</v>
      </c>
      <c r="N9" s="3">
        <f t="shared" si="3"/>
        <v>211073.45463518999</v>
      </c>
    </row>
    <row r="10" spans="1:14" ht="14.25" customHeight="1" x14ac:dyDescent="0.3">
      <c r="A10" s="1">
        <v>48858</v>
      </c>
      <c r="B10" s="1" t="s">
        <v>7</v>
      </c>
      <c r="C10" s="1" t="s">
        <v>23</v>
      </c>
      <c r="D10" s="1" t="s">
        <v>24</v>
      </c>
      <c r="E10" s="1" t="s">
        <v>25</v>
      </c>
      <c r="F10" s="1">
        <v>173050.77137618299</v>
      </c>
      <c r="I10" s="1">
        <v>48185</v>
      </c>
      <c r="J10" s="1" t="str">
        <f t="shared" si="0"/>
        <v>Westland</v>
      </c>
      <c r="K10" s="1" t="str">
        <f t="shared" si="1"/>
        <v>Detroit-Warren-Dearborn, MI</v>
      </c>
      <c r="L10" s="1" t="str">
        <f t="shared" si="2"/>
        <v>Wayne County</v>
      </c>
      <c r="M10" s="1">
        <v>1159.5888890000001</v>
      </c>
      <c r="N10" s="3">
        <f t="shared" si="3"/>
        <v>196477.55499657299</v>
      </c>
    </row>
    <row r="11" spans="1:14" ht="14.25" customHeight="1" x14ac:dyDescent="0.3">
      <c r="A11" s="1">
        <v>49201</v>
      </c>
      <c r="B11" s="1" t="s">
        <v>7</v>
      </c>
      <c r="C11" s="1" t="s">
        <v>26</v>
      </c>
      <c r="D11" s="1" t="s">
        <v>27</v>
      </c>
      <c r="E11" s="1" t="s">
        <v>28</v>
      </c>
      <c r="F11" s="1">
        <v>211073.45463518999</v>
      </c>
      <c r="I11" s="1">
        <v>48219</v>
      </c>
      <c r="J11" s="1" t="str">
        <f t="shared" si="0"/>
        <v>Detroit</v>
      </c>
      <c r="K11" s="1" t="str">
        <f t="shared" si="1"/>
        <v>Detroit-Warren-Dearborn, MI</v>
      </c>
      <c r="L11" s="1" t="str">
        <f t="shared" si="2"/>
        <v>Wayne County</v>
      </c>
      <c r="M11" s="1">
        <v>1087.5</v>
      </c>
      <c r="N11" s="3">
        <f t="shared" si="3"/>
        <v>71905.613954172994</v>
      </c>
    </row>
    <row r="12" spans="1:14" ht="14.25" customHeight="1" x14ac:dyDescent="0.3">
      <c r="A12" s="1">
        <v>48185</v>
      </c>
      <c r="B12" s="1" t="s">
        <v>7</v>
      </c>
      <c r="C12" s="1" t="s">
        <v>29</v>
      </c>
      <c r="D12" s="1" t="s">
        <v>12</v>
      </c>
      <c r="E12" s="1" t="s">
        <v>13</v>
      </c>
      <c r="F12" s="1">
        <v>196477.55499657299</v>
      </c>
      <c r="I12" s="1">
        <v>48066</v>
      </c>
      <c r="J12" s="1" t="str">
        <f t="shared" si="0"/>
        <v>Roseville</v>
      </c>
      <c r="K12" s="1" t="str">
        <f t="shared" si="1"/>
        <v>Detroit-Warren-Dearborn, MI</v>
      </c>
      <c r="L12" s="1" t="str">
        <f t="shared" si="2"/>
        <v>Macomb County</v>
      </c>
      <c r="M12" s="1">
        <v>1348.119048</v>
      </c>
      <c r="N12" s="3">
        <f t="shared" si="3"/>
        <v>148884.817590716</v>
      </c>
    </row>
    <row r="13" spans="1:14" ht="14.25" customHeight="1" x14ac:dyDescent="0.3">
      <c r="A13" s="1">
        <v>48219</v>
      </c>
      <c r="B13" s="1" t="s">
        <v>7</v>
      </c>
      <c r="C13" s="1" t="s">
        <v>14</v>
      </c>
      <c r="D13" s="1" t="s">
        <v>12</v>
      </c>
      <c r="E13" s="1" t="s">
        <v>13</v>
      </c>
      <c r="F13" s="1">
        <v>71905.613954172994</v>
      </c>
      <c r="I13" s="1">
        <v>48235</v>
      </c>
      <c r="J13" s="1" t="str">
        <f t="shared" si="0"/>
        <v>Detroit</v>
      </c>
      <c r="K13" s="1" t="str">
        <f t="shared" si="1"/>
        <v>Detroit-Warren-Dearborn, MI</v>
      </c>
      <c r="L13" s="1" t="str">
        <f t="shared" si="2"/>
        <v>Wayne County</v>
      </c>
      <c r="M13" s="1">
        <v>1215.2777779999999</v>
      </c>
      <c r="N13" s="3">
        <f t="shared" si="3"/>
        <v>74173.338537788004</v>
      </c>
    </row>
    <row r="14" spans="1:14" ht="14.25" customHeight="1" x14ac:dyDescent="0.3">
      <c r="A14" s="1">
        <v>48066</v>
      </c>
      <c r="B14" s="1" t="s">
        <v>7</v>
      </c>
      <c r="C14" s="1" t="s">
        <v>30</v>
      </c>
      <c r="D14" s="1" t="s">
        <v>12</v>
      </c>
      <c r="E14" s="1" t="s">
        <v>16</v>
      </c>
      <c r="F14" s="1">
        <v>148884.817590716</v>
      </c>
      <c r="I14" s="1">
        <v>49424</v>
      </c>
      <c r="J14" s="1" t="str">
        <f t="shared" si="0"/>
        <v>Holland</v>
      </c>
      <c r="K14" s="1" t="str">
        <f t="shared" si="1"/>
        <v>Grand Rapids-Kentwood, MI</v>
      </c>
      <c r="L14" s="1" t="str">
        <f t="shared" si="2"/>
        <v>Ottawa County</v>
      </c>
      <c r="M14" s="1">
        <v>1461</v>
      </c>
      <c r="N14" s="3">
        <f t="shared" si="3"/>
        <v>334616.79079342401</v>
      </c>
    </row>
    <row r="15" spans="1:14" ht="14.25" customHeight="1" x14ac:dyDescent="0.3">
      <c r="A15" s="1">
        <v>48235</v>
      </c>
      <c r="B15" s="1" t="s">
        <v>7</v>
      </c>
      <c r="C15" s="1" t="s">
        <v>14</v>
      </c>
      <c r="D15" s="1" t="s">
        <v>12</v>
      </c>
      <c r="E15" s="1" t="s">
        <v>13</v>
      </c>
      <c r="F15" s="1">
        <v>74173.338537788004</v>
      </c>
      <c r="I15" s="1">
        <v>48439</v>
      </c>
      <c r="J15" s="1" t="str">
        <f t="shared" si="0"/>
        <v>Grand Blanc</v>
      </c>
      <c r="K15" s="1" t="str">
        <f t="shared" si="1"/>
        <v>Flint, MI</v>
      </c>
      <c r="L15" s="1" t="str">
        <f t="shared" si="2"/>
        <v>Genesee County</v>
      </c>
      <c r="M15" s="1">
        <v>1917.833333</v>
      </c>
      <c r="N15" s="3">
        <f t="shared" si="3"/>
        <v>261882.75318748</v>
      </c>
    </row>
    <row r="16" spans="1:14" ht="14.25" customHeight="1" x14ac:dyDescent="0.3">
      <c r="A16" s="1">
        <v>49424</v>
      </c>
      <c r="B16" s="1" t="s">
        <v>7</v>
      </c>
      <c r="C16" s="1" t="s">
        <v>31</v>
      </c>
      <c r="D16" s="1" t="s">
        <v>32</v>
      </c>
      <c r="E16" s="1" t="s">
        <v>33</v>
      </c>
      <c r="F16" s="1">
        <v>334616.79079342401</v>
      </c>
      <c r="I16" s="1">
        <v>49423</v>
      </c>
      <c r="J16" s="1" t="str">
        <f t="shared" si="0"/>
        <v>Holland</v>
      </c>
      <c r="K16" s="1" t="str">
        <f t="shared" si="1"/>
        <v>Grand Rapids-Kentwood, MI</v>
      </c>
      <c r="L16" s="1" t="str">
        <f t="shared" si="2"/>
        <v>Ottawa County</v>
      </c>
      <c r="M16" s="1">
        <v>1078.75</v>
      </c>
      <c r="N16" s="3">
        <f t="shared" si="3"/>
        <v>284766.01546370098</v>
      </c>
    </row>
    <row r="17" spans="1:14" ht="14.25" customHeight="1" x14ac:dyDescent="0.3">
      <c r="A17" s="1">
        <v>48439</v>
      </c>
      <c r="B17" s="1" t="s">
        <v>7</v>
      </c>
      <c r="C17" s="1" t="s">
        <v>34</v>
      </c>
      <c r="D17" s="1" t="s">
        <v>35</v>
      </c>
      <c r="E17" s="1" t="s">
        <v>36</v>
      </c>
      <c r="F17" s="1">
        <v>261882.75318748</v>
      </c>
      <c r="I17" s="1">
        <v>48104</v>
      </c>
      <c r="J17" s="1" t="str">
        <f t="shared" si="0"/>
        <v>Ann Arbor</v>
      </c>
      <c r="K17" s="1" t="str">
        <f t="shared" si="1"/>
        <v>Ann Arbor, MI</v>
      </c>
      <c r="L17" s="1" t="str">
        <f t="shared" si="2"/>
        <v>Washtenaw County</v>
      </c>
      <c r="M17" s="1">
        <v>3481.1957069999999</v>
      </c>
      <c r="N17" s="3">
        <f t="shared" si="3"/>
        <v>522134.80945018801</v>
      </c>
    </row>
    <row r="18" spans="1:14" ht="14.25" customHeight="1" x14ac:dyDescent="0.3">
      <c r="A18" s="1">
        <v>49423</v>
      </c>
      <c r="B18" s="1" t="s">
        <v>7</v>
      </c>
      <c r="C18" s="1" t="s">
        <v>31</v>
      </c>
      <c r="D18" s="1" t="s">
        <v>32</v>
      </c>
      <c r="E18" s="1" t="s">
        <v>33</v>
      </c>
      <c r="F18" s="1">
        <v>284766.01546370098</v>
      </c>
      <c r="I18" s="1">
        <v>48843</v>
      </c>
      <c r="J18" s="1" t="str">
        <f t="shared" si="0"/>
        <v>Howell</v>
      </c>
      <c r="K18" s="1" t="str">
        <f t="shared" si="1"/>
        <v>Detroit-Warren-Dearborn, MI</v>
      </c>
      <c r="L18" s="1" t="str">
        <f t="shared" si="2"/>
        <v>Livingston County</v>
      </c>
      <c r="M18" s="1">
        <v>1950.75</v>
      </c>
      <c r="N18" s="3">
        <f t="shared" si="3"/>
        <v>354450.29503696098</v>
      </c>
    </row>
    <row r="19" spans="1:14" ht="14.25" customHeight="1" x14ac:dyDescent="0.3">
      <c r="A19" s="1">
        <v>48104</v>
      </c>
      <c r="B19" s="1" t="s">
        <v>7</v>
      </c>
      <c r="C19" s="1" t="s">
        <v>17</v>
      </c>
      <c r="D19" s="1" t="s">
        <v>9</v>
      </c>
      <c r="E19" s="1" t="s">
        <v>10</v>
      </c>
      <c r="F19" s="1">
        <v>522134.80945018801</v>
      </c>
      <c r="I19" s="1">
        <v>48307</v>
      </c>
      <c r="J19" s="1" t="str">
        <f t="shared" si="0"/>
        <v>Rochester Hills</v>
      </c>
      <c r="K19" s="1" t="str">
        <f t="shared" si="1"/>
        <v>Detroit-Warren-Dearborn, MI</v>
      </c>
      <c r="L19" s="1" t="str">
        <f t="shared" si="2"/>
        <v>Oakland County</v>
      </c>
      <c r="M19" s="1">
        <v>1686.3888890000001</v>
      </c>
      <c r="N19" s="3">
        <f t="shared" si="3"/>
        <v>386799.83807291201</v>
      </c>
    </row>
    <row r="20" spans="1:14" ht="14.25" customHeight="1" x14ac:dyDescent="0.3">
      <c r="A20" s="1">
        <v>48843</v>
      </c>
      <c r="B20" s="1" t="s">
        <v>7</v>
      </c>
      <c r="C20" s="1" t="s">
        <v>37</v>
      </c>
      <c r="D20" s="1" t="s">
        <v>12</v>
      </c>
      <c r="E20" s="1" t="s">
        <v>38</v>
      </c>
      <c r="F20" s="1">
        <v>354450.29503696098</v>
      </c>
      <c r="I20" s="1">
        <v>48310</v>
      </c>
      <c r="J20" s="1" t="str">
        <f t="shared" si="0"/>
        <v>Sterling Heights</v>
      </c>
      <c r="K20" s="1" t="str">
        <f t="shared" si="1"/>
        <v>Detroit-Warren-Dearborn, MI</v>
      </c>
      <c r="L20" s="1" t="str">
        <f t="shared" si="2"/>
        <v>Macomb County</v>
      </c>
      <c r="M20" s="1">
        <v>1787.333333</v>
      </c>
      <c r="N20" s="3">
        <f t="shared" si="3"/>
        <v>277870.76621032902</v>
      </c>
    </row>
    <row r="21" spans="1:14" ht="14.25" customHeight="1" x14ac:dyDescent="0.3">
      <c r="A21" s="1">
        <v>48307</v>
      </c>
      <c r="B21" s="1" t="s">
        <v>7</v>
      </c>
      <c r="C21" s="1" t="s">
        <v>39</v>
      </c>
      <c r="D21" s="1" t="s">
        <v>12</v>
      </c>
      <c r="E21" s="1" t="s">
        <v>40</v>
      </c>
      <c r="F21" s="1">
        <v>386799.83807291201</v>
      </c>
      <c r="I21" s="1">
        <v>49442</v>
      </c>
      <c r="J21" s="1" t="str">
        <f t="shared" si="0"/>
        <v>Muskegon</v>
      </c>
      <c r="K21" s="1" t="str">
        <f t="shared" si="1"/>
        <v>Muskegon, MI</v>
      </c>
      <c r="L21" s="1" t="str">
        <f t="shared" si="2"/>
        <v>Muskegon County</v>
      </c>
      <c r="M21" s="1">
        <v>1110.5</v>
      </c>
      <c r="N21" s="3">
        <f t="shared" si="3"/>
        <v>140595.20148828599</v>
      </c>
    </row>
    <row r="22" spans="1:14" ht="14.25" customHeight="1" x14ac:dyDescent="0.3">
      <c r="A22" s="1">
        <v>48310</v>
      </c>
      <c r="B22" s="1" t="s">
        <v>7</v>
      </c>
      <c r="C22" s="1" t="s">
        <v>41</v>
      </c>
      <c r="D22" s="1" t="s">
        <v>12</v>
      </c>
      <c r="E22" s="1" t="s">
        <v>16</v>
      </c>
      <c r="F22" s="1">
        <v>277870.76621032902</v>
      </c>
      <c r="I22" s="1">
        <v>49009</v>
      </c>
      <c r="J22" s="1" t="str">
        <f t="shared" si="0"/>
        <v>Kalamazoo</v>
      </c>
      <c r="K22" s="1" t="str">
        <f t="shared" si="1"/>
        <v>Kalamazoo-Portage, MI</v>
      </c>
      <c r="L22" s="1" t="str">
        <f t="shared" si="2"/>
        <v>Kalamazoo County</v>
      </c>
      <c r="M22" s="1">
        <v>1171.3499999999999</v>
      </c>
      <c r="N22" s="3">
        <f t="shared" si="3"/>
        <v>337646.48776206101</v>
      </c>
    </row>
    <row r="23" spans="1:14" ht="14.25" customHeight="1" x14ac:dyDescent="0.3">
      <c r="A23" s="1">
        <v>49442</v>
      </c>
      <c r="B23" s="1" t="s">
        <v>7</v>
      </c>
      <c r="C23" s="1" t="s">
        <v>42</v>
      </c>
      <c r="D23" s="1" t="s">
        <v>43</v>
      </c>
      <c r="E23" s="1" t="s">
        <v>44</v>
      </c>
      <c r="F23" s="1">
        <v>140595.20148828599</v>
      </c>
      <c r="I23" s="1">
        <v>48224</v>
      </c>
      <c r="J23" s="1" t="str">
        <f t="shared" si="0"/>
        <v>Detroit</v>
      </c>
      <c r="K23" s="1" t="str">
        <f t="shared" si="1"/>
        <v>Detroit-Warren-Dearborn, MI</v>
      </c>
      <c r="L23" s="1" t="str">
        <f t="shared" si="2"/>
        <v>Wayne County</v>
      </c>
      <c r="M23" s="1">
        <v>1131.7316020000001</v>
      </c>
      <c r="N23" s="3">
        <f t="shared" si="3"/>
        <v>69430.475806403498</v>
      </c>
    </row>
    <row r="24" spans="1:14" ht="14.25" customHeight="1" x14ac:dyDescent="0.3">
      <c r="A24" s="1">
        <v>49009</v>
      </c>
      <c r="B24" s="1" t="s">
        <v>7</v>
      </c>
      <c r="C24" s="1" t="s">
        <v>45</v>
      </c>
      <c r="D24" s="1" t="s">
        <v>46</v>
      </c>
      <c r="E24" s="1" t="s">
        <v>47</v>
      </c>
      <c r="F24" s="1">
        <v>337646.48776206101</v>
      </c>
      <c r="I24" s="1">
        <v>48188</v>
      </c>
      <c r="J24" s="1" t="str">
        <f t="shared" si="0"/>
        <v>Canton</v>
      </c>
      <c r="K24" s="1" t="str">
        <f t="shared" si="1"/>
        <v>Detroit-Warren-Dearborn, MI</v>
      </c>
      <c r="L24" s="1" t="str">
        <f t="shared" si="2"/>
        <v>Wayne County</v>
      </c>
      <c r="M24" s="1">
        <v>1800.7944440000001</v>
      </c>
      <c r="N24" s="3">
        <f t="shared" si="3"/>
        <v>400386.22997990402</v>
      </c>
    </row>
    <row r="25" spans="1:14" ht="14.25" customHeight="1" x14ac:dyDescent="0.3">
      <c r="A25" s="1">
        <v>48224</v>
      </c>
      <c r="B25" s="1" t="s">
        <v>7</v>
      </c>
      <c r="C25" s="1" t="s">
        <v>14</v>
      </c>
      <c r="D25" s="1" t="s">
        <v>12</v>
      </c>
      <c r="E25" s="1" t="s">
        <v>13</v>
      </c>
      <c r="F25" s="1">
        <v>69430.475806403498</v>
      </c>
      <c r="I25" s="1">
        <v>48183</v>
      </c>
      <c r="J25" s="1" t="str">
        <f t="shared" si="0"/>
        <v>Woodhaven</v>
      </c>
      <c r="K25" s="1" t="str">
        <f t="shared" si="1"/>
        <v>Detroit-Warren-Dearborn, MI</v>
      </c>
      <c r="L25" s="1" t="str">
        <f t="shared" si="2"/>
        <v>Wayne County</v>
      </c>
      <c r="M25" s="1">
        <v>1598.1111109999999</v>
      </c>
      <c r="N25" s="3">
        <f t="shared" si="3"/>
        <v>227304.19453739701</v>
      </c>
    </row>
    <row r="26" spans="1:14" ht="14.25" customHeight="1" x14ac:dyDescent="0.3">
      <c r="A26" s="1">
        <v>48188</v>
      </c>
      <c r="B26" s="1" t="s">
        <v>7</v>
      </c>
      <c r="C26" s="1" t="s">
        <v>21</v>
      </c>
      <c r="D26" s="1" t="s">
        <v>12</v>
      </c>
      <c r="E26" s="1" t="s">
        <v>13</v>
      </c>
      <c r="F26" s="1">
        <v>400386.22997990402</v>
      </c>
      <c r="I26" s="1">
        <v>48038</v>
      </c>
      <c r="J26" s="1" t="str">
        <f t="shared" si="0"/>
        <v>Clinton</v>
      </c>
      <c r="K26" s="1" t="str">
        <f t="shared" si="1"/>
        <v>Detroit-Warren-Dearborn, MI</v>
      </c>
      <c r="L26" s="1" t="str">
        <f t="shared" si="2"/>
        <v>Macomb County</v>
      </c>
      <c r="M26" s="1">
        <v>1301.75</v>
      </c>
      <c r="N26" s="3">
        <f t="shared" si="3"/>
        <v>300291.63964488101</v>
      </c>
    </row>
    <row r="27" spans="1:14" ht="14.25" customHeight="1" x14ac:dyDescent="0.3">
      <c r="A27" s="1">
        <v>48183</v>
      </c>
      <c r="B27" s="1" t="s">
        <v>7</v>
      </c>
      <c r="C27" s="1" t="s">
        <v>48</v>
      </c>
      <c r="D27" s="1" t="s">
        <v>12</v>
      </c>
      <c r="E27" s="1" t="s">
        <v>13</v>
      </c>
      <c r="F27" s="1">
        <v>227304.19453739701</v>
      </c>
      <c r="I27" s="1">
        <v>48111</v>
      </c>
      <c r="J27" s="1" t="str">
        <f t="shared" si="0"/>
        <v>Belleville</v>
      </c>
      <c r="K27" s="1" t="str">
        <f t="shared" si="1"/>
        <v>Detroit-Warren-Dearborn, MI</v>
      </c>
      <c r="L27" s="1" t="str">
        <f t="shared" si="2"/>
        <v>Wayne County</v>
      </c>
      <c r="M27" s="1">
        <v>1221.1111109999999</v>
      </c>
      <c r="N27" s="3">
        <f t="shared" si="3"/>
        <v>262607.22622710798</v>
      </c>
    </row>
    <row r="28" spans="1:14" ht="14.25" customHeight="1" x14ac:dyDescent="0.3">
      <c r="A28" s="1">
        <v>48038</v>
      </c>
      <c r="B28" s="1" t="s">
        <v>7</v>
      </c>
      <c r="C28" s="1" t="s">
        <v>49</v>
      </c>
      <c r="D28" s="1" t="s">
        <v>12</v>
      </c>
      <c r="E28" s="1" t="s">
        <v>16</v>
      </c>
      <c r="F28" s="1">
        <v>300291.63964488101</v>
      </c>
      <c r="I28" s="1">
        <v>48227</v>
      </c>
      <c r="J28" s="1" t="str">
        <f t="shared" si="0"/>
        <v>Detroit</v>
      </c>
      <c r="K28" s="1" t="str">
        <f t="shared" si="1"/>
        <v>Detroit-Warren-Dearborn, MI</v>
      </c>
      <c r="L28" s="1" t="str">
        <f t="shared" si="2"/>
        <v>Wayne County</v>
      </c>
      <c r="M28" s="1">
        <v>1106.5740740000001</v>
      </c>
      <c r="N28" s="3">
        <f t="shared" si="3"/>
        <v>53426.7195732619</v>
      </c>
    </row>
    <row r="29" spans="1:14" ht="14.25" customHeight="1" x14ac:dyDescent="0.3">
      <c r="A29" s="1">
        <v>48111</v>
      </c>
      <c r="B29" s="1" t="s">
        <v>7</v>
      </c>
      <c r="C29" s="1" t="s">
        <v>50</v>
      </c>
      <c r="D29" s="1" t="s">
        <v>12</v>
      </c>
      <c r="E29" s="1" t="s">
        <v>13</v>
      </c>
      <c r="F29" s="1">
        <v>262607.22622710798</v>
      </c>
      <c r="I29" s="1">
        <v>48221</v>
      </c>
      <c r="J29" s="1" t="str">
        <f t="shared" si="0"/>
        <v>Detroit</v>
      </c>
      <c r="K29" s="1" t="str">
        <f t="shared" si="1"/>
        <v>Detroit-Warren-Dearborn, MI</v>
      </c>
      <c r="L29" s="1" t="str">
        <f t="shared" si="2"/>
        <v>Wayne County</v>
      </c>
      <c r="M29" s="1">
        <v>1318.666667</v>
      </c>
      <c r="N29" s="3">
        <f t="shared" si="3"/>
        <v>121055.42904774001</v>
      </c>
    </row>
    <row r="30" spans="1:14" ht="14.25" customHeight="1" x14ac:dyDescent="0.3">
      <c r="A30" s="1">
        <v>48227</v>
      </c>
      <c r="B30" s="1" t="s">
        <v>7</v>
      </c>
      <c r="C30" s="1" t="s">
        <v>14</v>
      </c>
      <c r="D30" s="1" t="s">
        <v>12</v>
      </c>
      <c r="E30" s="1" t="s">
        <v>13</v>
      </c>
      <c r="F30" s="1">
        <v>53426.7195732619</v>
      </c>
      <c r="I30" s="1">
        <v>48911</v>
      </c>
      <c r="J30" s="1" t="str">
        <f t="shared" si="0"/>
        <v>Lansing</v>
      </c>
      <c r="K30" s="1" t="str">
        <f t="shared" si="1"/>
        <v>Lansing-East Lansing, MI</v>
      </c>
      <c r="L30" s="1" t="str">
        <f t="shared" si="2"/>
        <v>Ingham County</v>
      </c>
      <c r="M30" s="1">
        <v>1142.333333</v>
      </c>
      <c r="N30" s="3">
        <f t="shared" si="3"/>
        <v>135423.584013771</v>
      </c>
    </row>
    <row r="31" spans="1:14" ht="14.25" customHeight="1" x14ac:dyDescent="0.3">
      <c r="A31" s="1">
        <v>49508</v>
      </c>
      <c r="B31" s="1" t="s">
        <v>7</v>
      </c>
      <c r="C31" s="1" t="s">
        <v>51</v>
      </c>
      <c r="D31" s="1" t="s">
        <v>32</v>
      </c>
      <c r="E31" s="1" t="s">
        <v>52</v>
      </c>
      <c r="F31" s="1">
        <v>287600.24901833298</v>
      </c>
      <c r="I31" s="1">
        <v>48170</v>
      </c>
      <c r="J31" s="1" t="str">
        <f t="shared" si="0"/>
        <v>Plymouth</v>
      </c>
      <c r="K31" s="1" t="str">
        <f t="shared" si="1"/>
        <v>Detroit-Warren-Dearborn, MI</v>
      </c>
      <c r="L31" s="1" t="str">
        <f t="shared" si="2"/>
        <v>Wayne County</v>
      </c>
      <c r="M31" s="1">
        <v>1563</v>
      </c>
      <c r="N31" s="3">
        <f t="shared" si="3"/>
        <v>417891.42041844199</v>
      </c>
    </row>
    <row r="32" spans="1:14" ht="14.25" customHeight="1" x14ac:dyDescent="0.3">
      <c r="A32" s="1">
        <v>48221</v>
      </c>
      <c r="B32" s="1" t="s">
        <v>7</v>
      </c>
      <c r="C32" s="1" t="s">
        <v>14</v>
      </c>
      <c r="D32" s="1" t="s">
        <v>12</v>
      </c>
      <c r="E32" s="1" t="s">
        <v>13</v>
      </c>
      <c r="F32" s="1">
        <v>121055.42904774001</v>
      </c>
      <c r="I32" s="1">
        <v>49504</v>
      </c>
      <c r="J32" s="1" t="str">
        <f t="shared" si="0"/>
        <v>Grand Rapids</v>
      </c>
      <c r="K32" s="1" t="str">
        <f t="shared" si="1"/>
        <v>Grand Rapids-Kentwood, MI</v>
      </c>
      <c r="L32" s="1" t="str">
        <f t="shared" si="2"/>
        <v>Kent County</v>
      </c>
      <c r="M32" s="1">
        <v>1497.487179</v>
      </c>
      <c r="N32" s="3">
        <f t="shared" si="3"/>
        <v>237449.929711376</v>
      </c>
    </row>
    <row r="33" spans="1:14" ht="14.25" customHeight="1" x14ac:dyDescent="0.3">
      <c r="A33" s="1">
        <v>48911</v>
      </c>
      <c r="B33" s="1" t="s">
        <v>7</v>
      </c>
      <c r="C33" s="1" t="s">
        <v>53</v>
      </c>
      <c r="D33" s="1" t="s">
        <v>19</v>
      </c>
      <c r="E33" s="1" t="s">
        <v>20</v>
      </c>
      <c r="F33" s="1">
        <v>135423.584013771</v>
      </c>
      <c r="I33" s="1">
        <v>48198</v>
      </c>
      <c r="J33" s="1">
        <f t="shared" si="0"/>
        <v>0</v>
      </c>
      <c r="K33" s="1" t="str">
        <f t="shared" si="1"/>
        <v>Ann Arbor, MI</v>
      </c>
      <c r="L33" s="1" t="str">
        <f t="shared" si="2"/>
        <v>Washtenaw County</v>
      </c>
      <c r="M33" s="1">
        <v>1242.555556</v>
      </c>
      <c r="N33" s="3">
        <f t="shared" si="3"/>
        <v>189350.57895318899</v>
      </c>
    </row>
    <row r="34" spans="1:14" ht="14.25" customHeight="1" x14ac:dyDescent="0.3">
      <c r="A34" s="1">
        <v>49221</v>
      </c>
      <c r="B34" s="1" t="s">
        <v>7</v>
      </c>
      <c r="C34" s="1" t="s">
        <v>54</v>
      </c>
      <c r="D34" s="1" t="s">
        <v>55</v>
      </c>
      <c r="E34" s="1" t="s">
        <v>56</v>
      </c>
      <c r="F34" s="1">
        <v>167645.960850081</v>
      </c>
      <c r="I34" s="1">
        <v>48105</v>
      </c>
      <c r="J34" s="1" t="str">
        <f t="shared" si="0"/>
        <v>Ann Arbor</v>
      </c>
      <c r="K34" s="1" t="str">
        <f t="shared" si="1"/>
        <v>Ann Arbor, MI</v>
      </c>
      <c r="L34" s="1" t="str">
        <f t="shared" si="2"/>
        <v>Washtenaw County</v>
      </c>
      <c r="M34" s="1">
        <v>2004.866667</v>
      </c>
      <c r="N34" s="3">
        <f t="shared" si="3"/>
        <v>516425.402275133</v>
      </c>
    </row>
    <row r="35" spans="1:14" ht="14.25" customHeight="1" x14ac:dyDescent="0.3">
      <c r="A35" s="1">
        <v>48170</v>
      </c>
      <c r="B35" s="1" t="s">
        <v>7</v>
      </c>
      <c r="C35" s="1" t="s">
        <v>57</v>
      </c>
      <c r="D35" s="1" t="s">
        <v>12</v>
      </c>
      <c r="E35" s="1" t="s">
        <v>13</v>
      </c>
      <c r="F35" s="1">
        <v>417891.42041844199</v>
      </c>
      <c r="I35" s="1">
        <v>49507</v>
      </c>
      <c r="J35" s="1" t="str">
        <f t="shared" si="0"/>
        <v>Grand Rapids</v>
      </c>
      <c r="K35" s="1" t="str">
        <f t="shared" si="1"/>
        <v>Grand Rapids-Kentwood, MI</v>
      </c>
      <c r="L35" s="1" t="str">
        <f t="shared" si="2"/>
        <v>Kent County</v>
      </c>
      <c r="M35" s="1">
        <v>1471.1785709999999</v>
      </c>
      <c r="N35" s="3">
        <f t="shared" si="3"/>
        <v>192020.518194576</v>
      </c>
    </row>
    <row r="36" spans="1:14" ht="14.25" customHeight="1" x14ac:dyDescent="0.3">
      <c r="A36" s="1">
        <v>48047</v>
      </c>
      <c r="B36" s="1" t="s">
        <v>7</v>
      </c>
      <c r="C36" s="1" t="s">
        <v>58</v>
      </c>
      <c r="D36" s="1" t="s">
        <v>12</v>
      </c>
      <c r="E36" s="1" t="s">
        <v>16</v>
      </c>
      <c r="F36" s="1">
        <v>314874.65257409099</v>
      </c>
      <c r="I36" s="1">
        <v>48430</v>
      </c>
      <c r="J36" s="1" t="str">
        <f t="shared" si="0"/>
        <v>Fenton</v>
      </c>
      <c r="K36" s="1" t="str">
        <f t="shared" si="1"/>
        <v>Flint, MI</v>
      </c>
      <c r="L36" s="1" t="str">
        <f t="shared" si="2"/>
        <v>Genesee County</v>
      </c>
      <c r="M36" s="1">
        <v>1477.25</v>
      </c>
      <c r="N36" s="3">
        <f t="shared" si="3"/>
        <v>329554.21385650098</v>
      </c>
    </row>
    <row r="37" spans="1:14" ht="14.25" customHeight="1" x14ac:dyDescent="0.3">
      <c r="A37" s="1">
        <v>48060</v>
      </c>
      <c r="B37" s="1" t="s">
        <v>7</v>
      </c>
      <c r="C37" s="1" t="s">
        <v>59</v>
      </c>
      <c r="D37" s="1" t="s">
        <v>12</v>
      </c>
      <c r="E37" s="1" t="s">
        <v>60</v>
      </c>
      <c r="F37" s="1">
        <v>140936.08742884599</v>
      </c>
      <c r="I37" s="1">
        <v>48212</v>
      </c>
      <c r="J37" s="1" t="str">
        <f t="shared" si="0"/>
        <v>Hamtramck</v>
      </c>
      <c r="K37" s="1" t="str">
        <f t="shared" si="1"/>
        <v>Detroit-Warren-Dearborn, MI</v>
      </c>
      <c r="L37" s="1" t="str">
        <f t="shared" si="2"/>
        <v>Wayne County</v>
      </c>
      <c r="M37" s="1">
        <v>1040.166667</v>
      </c>
      <c r="N37" s="3">
        <f t="shared" si="3"/>
        <v>94542.440729063193</v>
      </c>
    </row>
    <row r="38" spans="1:14" ht="14.25" customHeight="1" x14ac:dyDescent="0.3">
      <c r="A38" s="1">
        <v>48706</v>
      </c>
      <c r="B38" s="1" t="s">
        <v>7</v>
      </c>
      <c r="C38" s="1" t="s">
        <v>61</v>
      </c>
      <c r="D38" s="1" t="s">
        <v>62</v>
      </c>
      <c r="E38" s="1" t="s">
        <v>63</v>
      </c>
      <c r="F38" s="1">
        <v>142278.09686993901</v>
      </c>
      <c r="I38" s="1">
        <v>49503</v>
      </c>
      <c r="J38" s="1" t="str">
        <f t="shared" si="0"/>
        <v>Grand Rapids</v>
      </c>
      <c r="K38" s="1" t="str">
        <f t="shared" si="1"/>
        <v>Grand Rapids-Kentwood, MI</v>
      </c>
      <c r="L38" s="1" t="str">
        <f t="shared" si="2"/>
        <v>Kent County</v>
      </c>
      <c r="M38" s="1">
        <v>1430.7326009999999</v>
      </c>
      <c r="N38" s="3">
        <f t="shared" si="3"/>
        <v>227043.28216727401</v>
      </c>
    </row>
    <row r="39" spans="1:14" ht="14.25" customHeight="1" x14ac:dyDescent="0.3">
      <c r="A39" s="1">
        <v>49504</v>
      </c>
      <c r="B39" s="1" t="s">
        <v>7</v>
      </c>
      <c r="C39" s="1" t="s">
        <v>64</v>
      </c>
      <c r="D39" s="1" t="s">
        <v>32</v>
      </c>
      <c r="E39" s="1" t="s">
        <v>52</v>
      </c>
      <c r="F39" s="1">
        <v>237449.929711376</v>
      </c>
      <c r="I39" s="1">
        <v>48146</v>
      </c>
      <c r="J39" s="1" t="str">
        <f t="shared" si="0"/>
        <v>Lincoln Park</v>
      </c>
      <c r="K39" s="1" t="str">
        <f t="shared" si="1"/>
        <v>Detroit-Warren-Dearborn, MI</v>
      </c>
      <c r="L39" s="1" t="str">
        <f t="shared" si="2"/>
        <v>Wayne County</v>
      </c>
      <c r="M39" s="1">
        <v>1210</v>
      </c>
      <c r="N39" s="3">
        <f t="shared" si="3"/>
        <v>122430.00108183001</v>
      </c>
    </row>
    <row r="40" spans="1:14" ht="14.25" customHeight="1" x14ac:dyDescent="0.3">
      <c r="A40" s="1">
        <v>48198</v>
      </c>
      <c r="B40" s="1" t="s">
        <v>7</v>
      </c>
      <c r="D40" s="1" t="s">
        <v>9</v>
      </c>
      <c r="E40" s="1" t="s">
        <v>10</v>
      </c>
      <c r="F40" s="1">
        <v>189350.57895318899</v>
      </c>
      <c r="I40" s="1">
        <v>48127</v>
      </c>
      <c r="J40" s="1" t="str">
        <f t="shared" si="0"/>
        <v>Dearborn Heights</v>
      </c>
      <c r="K40" s="1" t="str">
        <f t="shared" si="1"/>
        <v>Detroit-Warren-Dearborn, MI</v>
      </c>
      <c r="L40" s="1" t="str">
        <f t="shared" si="2"/>
        <v>Wayne County</v>
      </c>
      <c r="M40" s="1">
        <v>1564.916667</v>
      </c>
      <c r="N40" s="3">
        <f t="shared" si="3"/>
        <v>216145.61316256499</v>
      </c>
    </row>
    <row r="41" spans="1:14" ht="14.25" customHeight="1" x14ac:dyDescent="0.3">
      <c r="A41" s="1">
        <v>48105</v>
      </c>
      <c r="B41" s="1" t="s">
        <v>7</v>
      </c>
      <c r="C41" s="1" t="s">
        <v>17</v>
      </c>
      <c r="D41" s="1" t="s">
        <v>9</v>
      </c>
      <c r="E41" s="1" t="s">
        <v>10</v>
      </c>
      <c r="F41" s="1">
        <v>516425.402275133</v>
      </c>
      <c r="I41" s="1">
        <v>48035</v>
      </c>
      <c r="J41" s="1" t="str">
        <f t="shared" si="0"/>
        <v>Clinton</v>
      </c>
      <c r="K41" s="1" t="str">
        <f t="shared" si="1"/>
        <v>Detroit-Warren-Dearborn, MI</v>
      </c>
      <c r="L41" s="1" t="str">
        <f t="shared" si="2"/>
        <v>Macomb County</v>
      </c>
      <c r="M41" s="1">
        <v>1174.166667</v>
      </c>
      <c r="N41" s="3">
        <f t="shared" si="3"/>
        <v>189359.57600907501</v>
      </c>
    </row>
    <row r="42" spans="1:14" ht="14.25" customHeight="1" x14ac:dyDescent="0.3">
      <c r="A42" s="1">
        <v>49507</v>
      </c>
      <c r="B42" s="1" t="s">
        <v>7</v>
      </c>
      <c r="C42" s="1" t="s">
        <v>64</v>
      </c>
      <c r="D42" s="1" t="s">
        <v>32</v>
      </c>
      <c r="E42" s="1" t="s">
        <v>52</v>
      </c>
      <c r="F42" s="1">
        <v>192020.518194576</v>
      </c>
      <c r="I42" s="1">
        <v>48910</v>
      </c>
      <c r="J42" s="1" t="str">
        <f t="shared" si="0"/>
        <v>Lansing</v>
      </c>
      <c r="K42" s="1" t="str">
        <f t="shared" si="1"/>
        <v>Lansing-East Lansing, MI</v>
      </c>
      <c r="L42" s="1" t="str">
        <f t="shared" si="2"/>
        <v>Ingham County</v>
      </c>
      <c r="M42" s="1">
        <v>1038.333333</v>
      </c>
      <c r="N42" s="3">
        <f t="shared" si="3"/>
        <v>107061.243148557</v>
      </c>
    </row>
    <row r="43" spans="1:14" ht="14.25" customHeight="1" x14ac:dyDescent="0.3">
      <c r="A43" s="1">
        <v>48430</v>
      </c>
      <c r="B43" s="1" t="s">
        <v>7</v>
      </c>
      <c r="C43" s="1" t="s">
        <v>65</v>
      </c>
      <c r="D43" s="1" t="s">
        <v>35</v>
      </c>
      <c r="E43" s="1" t="s">
        <v>36</v>
      </c>
      <c r="F43" s="1">
        <v>329554.21385650098</v>
      </c>
      <c r="I43" s="1">
        <v>49203</v>
      </c>
      <c r="J43" s="1" t="str">
        <f t="shared" si="0"/>
        <v>Jackson</v>
      </c>
      <c r="K43" s="1" t="str">
        <f t="shared" si="1"/>
        <v>Jackson, MI</v>
      </c>
      <c r="L43" s="1" t="str">
        <f t="shared" si="2"/>
        <v>Jackson County</v>
      </c>
      <c r="M43" s="1">
        <v>1068.125</v>
      </c>
      <c r="N43" s="3">
        <f t="shared" si="3"/>
        <v>134232.99317909699</v>
      </c>
    </row>
    <row r="44" spans="1:14" ht="14.25" customHeight="1" x14ac:dyDescent="0.3">
      <c r="A44" s="1">
        <v>48212</v>
      </c>
      <c r="B44" s="1" t="s">
        <v>7</v>
      </c>
      <c r="C44" s="1" t="s">
        <v>66</v>
      </c>
      <c r="D44" s="1" t="s">
        <v>12</v>
      </c>
      <c r="E44" s="1" t="s">
        <v>13</v>
      </c>
      <c r="F44" s="1">
        <v>94542.440729063193</v>
      </c>
      <c r="I44" s="1">
        <v>49441</v>
      </c>
      <c r="J44" s="1" t="str">
        <f t="shared" si="0"/>
        <v>Norton Shores</v>
      </c>
      <c r="K44" s="1" t="str">
        <f t="shared" si="1"/>
        <v>Muskegon, MI</v>
      </c>
      <c r="L44" s="1" t="str">
        <f t="shared" si="2"/>
        <v>Muskegon County</v>
      </c>
      <c r="M44" s="1">
        <v>1104.166667</v>
      </c>
      <c r="N44" s="3">
        <f t="shared" si="3"/>
        <v>203647.607783908</v>
      </c>
    </row>
    <row r="45" spans="1:14" ht="14.25" customHeight="1" x14ac:dyDescent="0.3">
      <c r="A45" s="1">
        <v>49503</v>
      </c>
      <c r="B45" s="1" t="s">
        <v>7</v>
      </c>
      <c r="C45" s="1" t="s">
        <v>64</v>
      </c>
      <c r="D45" s="1" t="s">
        <v>32</v>
      </c>
      <c r="E45" s="1" t="s">
        <v>52</v>
      </c>
      <c r="F45" s="1">
        <v>227043.28216727401</v>
      </c>
      <c r="I45" s="1">
        <v>48239</v>
      </c>
      <c r="J45" s="1" t="str">
        <f t="shared" si="0"/>
        <v>Redford</v>
      </c>
      <c r="K45" s="1" t="str">
        <f t="shared" si="1"/>
        <v>Detroit-Warren-Dearborn, MI</v>
      </c>
      <c r="L45" s="1" t="str">
        <f t="shared" si="2"/>
        <v>Wayne County</v>
      </c>
      <c r="M45" s="1">
        <v>1358.333333</v>
      </c>
      <c r="N45" s="3">
        <f t="shared" si="3"/>
        <v>153148.44685108101</v>
      </c>
    </row>
    <row r="46" spans="1:14" ht="14.25" customHeight="1" x14ac:dyDescent="0.3">
      <c r="A46" s="1">
        <v>48146</v>
      </c>
      <c r="B46" s="1" t="s">
        <v>7</v>
      </c>
      <c r="C46" s="1" t="s">
        <v>67</v>
      </c>
      <c r="D46" s="1" t="s">
        <v>12</v>
      </c>
      <c r="E46" s="1" t="s">
        <v>13</v>
      </c>
      <c r="F46" s="1">
        <v>122430.00108183001</v>
      </c>
      <c r="I46" s="1">
        <v>48312</v>
      </c>
      <c r="J46" s="1" t="str">
        <f t="shared" si="0"/>
        <v>Sterling Heights</v>
      </c>
      <c r="K46" s="1" t="str">
        <f t="shared" si="1"/>
        <v>Detroit-Warren-Dearborn, MI</v>
      </c>
      <c r="L46" s="1" t="str">
        <f t="shared" si="2"/>
        <v>Macomb County</v>
      </c>
      <c r="M46" s="1">
        <v>1516.1111109999999</v>
      </c>
      <c r="N46" s="3">
        <f t="shared" si="3"/>
        <v>263749.64520379301</v>
      </c>
    </row>
    <row r="47" spans="1:14" ht="14.25" customHeight="1" x14ac:dyDescent="0.3">
      <c r="A47" s="1">
        <v>49120</v>
      </c>
      <c r="B47" s="1" t="s">
        <v>7</v>
      </c>
      <c r="C47" s="1" t="s">
        <v>68</v>
      </c>
      <c r="D47" s="1" t="s">
        <v>69</v>
      </c>
      <c r="E47" s="1" t="s">
        <v>70</v>
      </c>
      <c r="F47" s="1">
        <v>160485.898957403</v>
      </c>
      <c r="I47" s="1">
        <v>49506</v>
      </c>
      <c r="J47" s="1" t="str">
        <f t="shared" si="0"/>
        <v>East Grand Rapids</v>
      </c>
      <c r="K47" s="1" t="str">
        <f t="shared" si="1"/>
        <v>Grand Rapids-Kentwood, MI</v>
      </c>
      <c r="L47" s="1" t="str">
        <f t="shared" si="2"/>
        <v>Kent County</v>
      </c>
      <c r="M47" s="1">
        <v>1700.083333</v>
      </c>
      <c r="N47" s="3">
        <f t="shared" si="3"/>
        <v>359010.64433356002</v>
      </c>
    </row>
    <row r="48" spans="1:14" ht="14.25" customHeight="1" x14ac:dyDescent="0.3">
      <c r="A48" s="1">
        <v>49426</v>
      </c>
      <c r="B48" s="1" t="s">
        <v>7</v>
      </c>
      <c r="C48" s="1" t="s">
        <v>71</v>
      </c>
      <c r="D48" s="1" t="s">
        <v>32</v>
      </c>
      <c r="E48" s="1" t="s">
        <v>33</v>
      </c>
      <c r="F48" s="1">
        <v>373304.30013911403</v>
      </c>
      <c r="I48" s="1">
        <v>48205</v>
      </c>
      <c r="J48" s="1" t="str">
        <f t="shared" si="0"/>
        <v>Detroit</v>
      </c>
      <c r="K48" s="1" t="str">
        <f t="shared" si="1"/>
        <v>Detroit-Warren-Dearborn, MI</v>
      </c>
      <c r="L48" s="1" t="str">
        <f t="shared" si="2"/>
        <v>Wayne County</v>
      </c>
      <c r="M48" s="1">
        <v>1181.746032</v>
      </c>
      <c r="N48" s="3">
        <f t="shared" si="3"/>
        <v>45779.440971240903</v>
      </c>
    </row>
    <row r="49" spans="1:14" ht="14.25" customHeight="1" x14ac:dyDescent="0.3">
      <c r="A49" s="1">
        <v>48154</v>
      </c>
      <c r="B49" s="1" t="s">
        <v>7</v>
      </c>
      <c r="C49" s="1" t="s">
        <v>72</v>
      </c>
      <c r="D49" s="1" t="s">
        <v>12</v>
      </c>
      <c r="E49" s="1" t="s">
        <v>13</v>
      </c>
      <c r="F49" s="1">
        <v>288586.67581395298</v>
      </c>
      <c r="I49" s="1">
        <v>48073</v>
      </c>
      <c r="J49" s="1" t="str">
        <f t="shared" si="0"/>
        <v>Royal Oak</v>
      </c>
      <c r="K49" s="1" t="str">
        <f t="shared" si="1"/>
        <v>Detroit-Warren-Dearborn, MI</v>
      </c>
      <c r="L49" s="1" t="str">
        <f t="shared" si="2"/>
        <v>Oakland County</v>
      </c>
      <c r="M49" s="1">
        <v>1935.9126980000001</v>
      </c>
      <c r="N49" s="3">
        <f t="shared" si="3"/>
        <v>296987.24229826598</v>
      </c>
    </row>
    <row r="50" spans="1:14" ht="14.25" customHeight="1" x14ac:dyDescent="0.3">
      <c r="A50" s="1">
        <v>48127</v>
      </c>
      <c r="B50" s="1" t="s">
        <v>7</v>
      </c>
      <c r="C50" s="1" t="s">
        <v>73</v>
      </c>
      <c r="D50" s="1" t="s">
        <v>12</v>
      </c>
      <c r="E50" s="1" t="s">
        <v>13</v>
      </c>
      <c r="F50" s="1">
        <v>216145.61316256499</v>
      </c>
      <c r="I50" s="1">
        <v>48186</v>
      </c>
      <c r="J50" s="1" t="str">
        <f t="shared" si="0"/>
        <v>Westland</v>
      </c>
      <c r="K50" s="1" t="str">
        <f t="shared" si="1"/>
        <v>Detroit-Warren-Dearborn, MI</v>
      </c>
      <c r="L50" s="1" t="str">
        <f t="shared" si="2"/>
        <v>Wayne County</v>
      </c>
      <c r="M50" s="1">
        <v>1137.25</v>
      </c>
      <c r="N50" s="3">
        <f t="shared" si="3"/>
        <v>162634.440022328</v>
      </c>
    </row>
    <row r="51" spans="1:14" ht="14.25" customHeight="1" x14ac:dyDescent="0.3">
      <c r="A51" s="1">
        <v>49341</v>
      </c>
      <c r="B51" s="1" t="s">
        <v>7</v>
      </c>
      <c r="C51" s="1" t="s">
        <v>74</v>
      </c>
      <c r="D51" s="1" t="s">
        <v>32</v>
      </c>
      <c r="E51" s="1" t="s">
        <v>52</v>
      </c>
      <c r="F51" s="1">
        <v>376053.19192235998</v>
      </c>
      <c r="I51" s="1">
        <v>48234</v>
      </c>
      <c r="J51" s="1" t="str">
        <f t="shared" si="0"/>
        <v>Detroit</v>
      </c>
      <c r="K51" s="1" t="str">
        <f t="shared" si="1"/>
        <v>Detroit-Warren-Dearborn, MI</v>
      </c>
      <c r="L51" s="1" t="str">
        <f t="shared" si="2"/>
        <v>Wayne County</v>
      </c>
      <c r="M51" s="1">
        <v>1173.6111109999999</v>
      </c>
      <c r="N51" s="3">
        <f t="shared" si="3"/>
        <v>43294.780625625601</v>
      </c>
    </row>
    <row r="52" spans="1:14" ht="14.25" customHeight="1" x14ac:dyDescent="0.3">
      <c r="A52" s="1">
        <v>48035</v>
      </c>
      <c r="B52" s="1" t="s">
        <v>7</v>
      </c>
      <c r="C52" s="1" t="s">
        <v>49</v>
      </c>
      <c r="D52" s="1" t="s">
        <v>12</v>
      </c>
      <c r="E52" s="1" t="s">
        <v>16</v>
      </c>
      <c r="F52" s="1">
        <v>189359.57600907501</v>
      </c>
      <c r="I52" s="1">
        <v>49505</v>
      </c>
      <c r="J52" s="1" t="str">
        <f t="shared" si="0"/>
        <v>Grand Rapids</v>
      </c>
      <c r="K52" s="1" t="str">
        <f t="shared" si="1"/>
        <v>Grand Rapids-Kentwood, MI</v>
      </c>
      <c r="L52" s="1" t="str">
        <f t="shared" si="2"/>
        <v>Kent County</v>
      </c>
      <c r="M52" s="1">
        <v>1698.74359</v>
      </c>
      <c r="N52" s="3">
        <f t="shared" si="3"/>
        <v>244776.11357790601</v>
      </c>
    </row>
    <row r="53" spans="1:14" ht="14.25" customHeight="1" x14ac:dyDescent="0.3">
      <c r="A53" s="1">
        <v>48178</v>
      </c>
      <c r="B53" s="1" t="s">
        <v>7</v>
      </c>
      <c r="C53" s="1" t="s">
        <v>75</v>
      </c>
      <c r="D53" s="1" t="s">
        <v>12</v>
      </c>
      <c r="E53" s="1" t="s">
        <v>40</v>
      </c>
      <c r="F53" s="1">
        <v>434138.04434699001</v>
      </c>
      <c r="I53" s="1">
        <v>48021</v>
      </c>
      <c r="J53" s="1" t="str">
        <f t="shared" si="0"/>
        <v>Eastpointe</v>
      </c>
      <c r="K53" s="1" t="str">
        <f t="shared" si="1"/>
        <v>Detroit-Warren-Dearborn, MI</v>
      </c>
      <c r="L53" s="1" t="str">
        <f t="shared" si="2"/>
        <v>Macomb County</v>
      </c>
      <c r="M53" s="1">
        <v>1286.857143</v>
      </c>
      <c r="N53" s="3">
        <f t="shared" si="3"/>
        <v>135179.47792579199</v>
      </c>
    </row>
    <row r="54" spans="1:14" ht="14.25" customHeight="1" x14ac:dyDescent="0.3">
      <c r="A54" s="1">
        <v>48910</v>
      </c>
      <c r="B54" s="1" t="s">
        <v>7</v>
      </c>
      <c r="C54" s="1" t="s">
        <v>53</v>
      </c>
      <c r="D54" s="1" t="s">
        <v>19</v>
      </c>
      <c r="E54" s="1" t="s">
        <v>20</v>
      </c>
      <c r="F54" s="1">
        <v>107061.243148557</v>
      </c>
      <c r="I54" s="1">
        <v>48322</v>
      </c>
      <c r="J54" s="1" t="str">
        <f t="shared" si="0"/>
        <v>West Bloomfield</v>
      </c>
      <c r="K54" s="1" t="str">
        <f t="shared" si="1"/>
        <v>Detroit-Warren-Dearborn, MI</v>
      </c>
      <c r="L54" s="1" t="str">
        <f t="shared" si="2"/>
        <v>Oakland County</v>
      </c>
      <c r="M54" s="1">
        <v>2312.666667</v>
      </c>
      <c r="N54" s="3">
        <f t="shared" si="3"/>
        <v>408090.75359510398</v>
      </c>
    </row>
    <row r="55" spans="1:14" ht="14.25" customHeight="1" x14ac:dyDescent="0.3">
      <c r="A55" s="1">
        <v>49203</v>
      </c>
      <c r="B55" s="1" t="s">
        <v>7</v>
      </c>
      <c r="C55" s="1" t="s">
        <v>26</v>
      </c>
      <c r="D55" s="1" t="s">
        <v>27</v>
      </c>
      <c r="E55" s="1" t="s">
        <v>28</v>
      </c>
      <c r="F55" s="1">
        <v>134232.99317909699</v>
      </c>
      <c r="I55" s="1">
        <v>48917</v>
      </c>
      <c r="J55" s="1" t="str">
        <f t="shared" si="0"/>
        <v>Lansing</v>
      </c>
      <c r="K55" s="1" t="str">
        <f t="shared" si="1"/>
        <v>Lansing-East Lansing, MI</v>
      </c>
      <c r="L55" s="1" t="str">
        <f t="shared" si="2"/>
        <v>Eaton County</v>
      </c>
      <c r="M55" s="1">
        <v>1499.4666669999999</v>
      </c>
      <c r="N55" s="3">
        <f t="shared" si="3"/>
        <v>219360.441567412</v>
      </c>
    </row>
    <row r="56" spans="1:14" ht="14.25" customHeight="1" x14ac:dyDescent="0.3">
      <c r="A56" s="1">
        <v>49441</v>
      </c>
      <c r="B56" s="1" t="s">
        <v>7</v>
      </c>
      <c r="C56" s="1" t="s">
        <v>76</v>
      </c>
      <c r="D56" s="1" t="s">
        <v>43</v>
      </c>
      <c r="E56" s="1" t="s">
        <v>44</v>
      </c>
      <c r="F56" s="1">
        <v>203647.607783908</v>
      </c>
      <c r="I56" s="1">
        <v>49417</v>
      </c>
      <c r="J56" s="1" t="str">
        <f t="shared" si="0"/>
        <v>Grand Haven</v>
      </c>
      <c r="K56" s="1" t="str">
        <f t="shared" si="1"/>
        <v>Grand Rapids-Kentwood, MI</v>
      </c>
      <c r="L56" s="1" t="str">
        <f t="shared" si="2"/>
        <v>Ottawa County</v>
      </c>
      <c r="M56" s="1">
        <v>1341.833333</v>
      </c>
      <c r="N56" s="3">
        <f t="shared" si="3"/>
        <v>336219.11613828299</v>
      </c>
    </row>
    <row r="57" spans="1:14" ht="14.25" customHeight="1" x14ac:dyDescent="0.3">
      <c r="A57" s="1">
        <v>48601</v>
      </c>
      <c r="B57" s="1" t="s">
        <v>7</v>
      </c>
      <c r="C57" s="1" t="s">
        <v>77</v>
      </c>
      <c r="D57" s="1" t="s">
        <v>78</v>
      </c>
      <c r="E57" s="1" t="s">
        <v>79</v>
      </c>
      <c r="F57" s="1">
        <v>42583.483546323201</v>
      </c>
      <c r="I57" s="1">
        <v>48089</v>
      </c>
      <c r="J57" s="1" t="str">
        <f t="shared" si="0"/>
        <v>Warren</v>
      </c>
      <c r="K57" s="1" t="str">
        <f t="shared" si="1"/>
        <v>Detroit-Warren-Dearborn, MI</v>
      </c>
      <c r="L57" s="1" t="str">
        <f t="shared" si="2"/>
        <v>Macomb County</v>
      </c>
      <c r="M57" s="1">
        <v>1286.9882150000001</v>
      </c>
      <c r="N57" s="3">
        <f t="shared" si="3"/>
        <v>106507.706871546</v>
      </c>
    </row>
    <row r="58" spans="1:14" ht="14.25" customHeight="1" x14ac:dyDescent="0.3">
      <c r="A58" s="1">
        <v>48239</v>
      </c>
      <c r="B58" s="1" t="s">
        <v>7</v>
      </c>
      <c r="C58" s="1" t="s">
        <v>80</v>
      </c>
      <c r="D58" s="1" t="s">
        <v>12</v>
      </c>
      <c r="E58" s="1" t="s">
        <v>13</v>
      </c>
      <c r="F58" s="1">
        <v>153148.44685108101</v>
      </c>
      <c r="I58" s="1">
        <v>48642</v>
      </c>
      <c r="J58" s="1" t="str">
        <f t="shared" si="0"/>
        <v>Midland</v>
      </c>
      <c r="K58" s="1" t="str">
        <f t="shared" si="1"/>
        <v>Midland, MI</v>
      </c>
      <c r="L58" s="1" t="str">
        <f t="shared" si="2"/>
        <v>Midland County</v>
      </c>
      <c r="M58" s="1">
        <v>1640.333333</v>
      </c>
      <c r="N58" s="3">
        <f t="shared" si="3"/>
        <v>203348.645656067</v>
      </c>
    </row>
    <row r="59" spans="1:14" ht="14.25" customHeight="1" x14ac:dyDescent="0.3">
      <c r="A59" s="1">
        <v>48312</v>
      </c>
      <c r="B59" s="1" t="s">
        <v>7</v>
      </c>
      <c r="C59" s="1" t="s">
        <v>41</v>
      </c>
      <c r="D59" s="1" t="s">
        <v>12</v>
      </c>
      <c r="E59" s="1" t="s">
        <v>16</v>
      </c>
      <c r="F59" s="1">
        <v>263749.64520379301</v>
      </c>
      <c r="I59" s="1">
        <v>48507</v>
      </c>
      <c r="J59" s="1" t="str">
        <f t="shared" si="0"/>
        <v>Flint</v>
      </c>
      <c r="K59" s="1" t="str">
        <f t="shared" si="1"/>
        <v>Flint, MI</v>
      </c>
      <c r="L59" s="1" t="str">
        <f t="shared" si="2"/>
        <v>Genesee County</v>
      </c>
      <c r="M59" s="1">
        <v>814.72222220000003</v>
      </c>
      <c r="N59" s="3">
        <f t="shared" si="3"/>
        <v>84955.440533019093</v>
      </c>
    </row>
    <row r="60" spans="1:14" ht="14.25" customHeight="1" x14ac:dyDescent="0.3">
      <c r="A60" s="1">
        <v>49506</v>
      </c>
      <c r="B60" s="1" t="s">
        <v>7</v>
      </c>
      <c r="C60" s="1" t="s">
        <v>81</v>
      </c>
      <c r="D60" s="1" t="s">
        <v>32</v>
      </c>
      <c r="E60" s="1" t="s">
        <v>52</v>
      </c>
      <c r="F60" s="1">
        <v>359010.64433356002</v>
      </c>
      <c r="I60" s="1">
        <v>48071</v>
      </c>
      <c r="J60" s="1" t="str">
        <f t="shared" si="0"/>
        <v>Madison Heights</v>
      </c>
      <c r="K60" s="1" t="str">
        <f t="shared" si="1"/>
        <v>Detroit-Warren-Dearborn, MI</v>
      </c>
      <c r="L60" s="1" t="str">
        <f t="shared" si="2"/>
        <v>Oakland County</v>
      </c>
      <c r="M60" s="1">
        <v>1394.166667</v>
      </c>
      <c r="N60" s="3">
        <f t="shared" si="3"/>
        <v>191742.55999785301</v>
      </c>
    </row>
    <row r="61" spans="1:14" ht="14.25" customHeight="1" x14ac:dyDescent="0.3">
      <c r="A61" s="1">
        <v>48205</v>
      </c>
      <c r="B61" s="1" t="s">
        <v>7</v>
      </c>
      <c r="C61" s="1" t="s">
        <v>14</v>
      </c>
      <c r="D61" s="1" t="s">
        <v>12</v>
      </c>
      <c r="E61" s="1" t="s">
        <v>13</v>
      </c>
      <c r="F61" s="1">
        <v>45779.440971240903</v>
      </c>
      <c r="I61" s="1">
        <v>48091</v>
      </c>
      <c r="J61" s="1" t="str">
        <f t="shared" si="0"/>
        <v>Warren</v>
      </c>
      <c r="K61" s="1" t="str">
        <f t="shared" si="1"/>
        <v>Detroit-Warren-Dearborn, MI</v>
      </c>
      <c r="L61" s="1" t="str">
        <f t="shared" si="2"/>
        <v>Macomb County</v>
      </c>
      <c r="M61" s="1">
        <v>1282.9761900000001</v>
      </c>
      <c r="N61" s="3">
        <f t="shared" si="3"/>
        <v>137685.38007520299</v>
      </c>
    </row>
    <row r="62" spans="1:14" ht="14.25" customHeight="1" x14ac:dyDescent="0.3">
      <c r="A62" s="1">
        <v>48073</v>
      </c>
      <c r="B62" s="1" t="s">
        <v>7</v>
      </c>
      <c r="C62" s="1" t="s">
        <v>82</v>
      </c>
      <c r="D62" s="1" t="s">
        <v>12</v>
      </c>
      <c r="E62" s="1" t="s">
        <v>40</v>
      </c>
      <c r="F62" s="1">
        <v>296987.24229826598</v>
      </c>
      <c r="I62" s="1">
        <v>49525</v>
      </c>
      <c r="J62" s="1" t="str">
        <f t="shared" si="0"/>
        <v>Grand Rapids</v>
      </c>
      <c r="K62" s="1" t="str">
        <f t="shared" si="1"/>
        <v>Grand Rapids-Kentwood, MI</v>
      </c>
      <c r="L62" s="1" t="str">
        <f t="shared" si="2"/>
        <v>Kent County</v>
      </c>
      <c r="M62" s="1">
        <v>2097.5</v>
      </c>
      <c r="N62" s="3">
        <f t="shared" si="3"/>
        <v>303273.83023073402</v>
      </c>
    </row>
    <row r="63" spans="1:14" ht="14.25" customHeight="1" x14ac:dyDescent="0.3">
      <c r="A63" s="1">
        <v>48186</v>
      </c>
      <c r="B63" s="1" t="s">
        <v>7</v>
      </c>
      <c r="C63" s="1" t="s">
        <v>29</v>
      </c>
      <c r="D63" s="1" t="s">
        <v>12</v>
      </c>
      <c r="E63" s="1" t="s">
        <v>13</v>
      </c>
      <c r="F63" s="1">
        <v>162634.440022328</v>
      </c>
      <c r="I63" s="1">
        <v>48237</v>
      </c>
      <c r="J63" s="1" t="str">
        <f t="shared" si="0"/>
        <v>Oak Park</v>
      </c>
      <c r="K63" s="1" t="str">
        <f t="shared" si="1"/>
        <v>Detroit-Warren-Dearborn, MI</v>
      </c>
      <c r="L63" s="1" t="str">
        <f t="shared" si="2"/>
        <v>Oakland County</v>
      </c>
      <c r="M63" s="1">
        <v>1463</v>
      </c>
      <c r="N63" s="3">
        <f t="shared" si="3"/>
        <v>202075.19452045599</v>
      </c>
    </row>
    <row r="64" spans="1:14" ht="14.25" customHeight="1" x14ac:dyDescent="0.3">
      <c r="A64" s="1">
        <v>48234</v>
      </c>
      <c r="B64" s="1" t="s">
        <v>7</v>
      </c>
      <c r="C64" s="1" t="s">
        <v>14</v>
      </c>
      <c r="D64" s="1" t="s">
        <v>12</v>
      </c>
      <c r="E64" s="1" t="s">
        <v>13</v>
      </c>
      <c r="F64" s="1">
        <v>43294.780625625601</v>
      </c>
      <c r="I64" s="1">
        <v>48195</v>
      </c>
      <c r="J64" s="1" t="str">
        <f t="shared" si="0"/>
        <v>Southgate</v>
      </c>
      <c r="K64" s="1" t="str">
        <f t="shared" si="1"/>
        <v>Detroit-Warren-Dearborn, MI</v>
      </c>
      <c r="L64" s="1" t="str">
        <f t="shared" si="2"/>
        <v>Wayne County</v>
      </c>
      <c r="M64" s="1">
        <v>1697.333333</v>
      </c>
      <c r="N64" s="3">
        <f t="shared" si="3"/>
        <v>164230.14534908501</v>
      </c>
    </row>
    <row r="65" spans="1:14" ht="14.25" customHeight="1" x14ac:dyDescent="0.3">
      <c r="A65" s="1">
        <v>48042</v>
      </c>
      <c r="B65" s="1" t="s">
        <v>7</v>
      </c>
      <c r="C65" s="1" t="s">
        <v>15</v>
      </c>
      <c r="D65" s="1" t="s">
        <v>12</v>
      </c>
      <c r="E65" s="1" t="s">
        <v>16</v>
      </c>
      <c r="F65" s="1">
        <v>398872.19723408599</v>
      </c>
      <c r="I65" s="1">
        <v>48506</v>
      </c>
      <c r="J65" s="1">
        <f t="shared" si="0"/>
        <v>0</v>
      </c>
      <c r="K65" s="1" t="str">
        <f t="shared" si="1"/>
        <v>Flint, MI</v>
      </c>
      <c r="L65" s="1" t="str">
        <f t="shared" si="2"/>
        <v>Genesee County</v>
      </c>
      <c r="M65" s="1">
        <v>868.5</v>
      </c>
      <c r="N65" s="3">
        <f t="shared" si="3"/>
        <v>57262.9306294138</v>
      </c>
    </row>
    <row r="66" spans="1:14" ht="14.25" customHeight="1" x14ac:dyDescent="0.3">
      <c r="A66" s="1">
        <v>49548</v>
      </c>
      <c r="B66" s="1" t="s">
        <v>7</v>
      </c>
      <c r="C66" s="1" t="s">
        <v>51</v>
      </c>
      <c r="D66" s="1" t="s">
        <v>32</v>
      </c>
      <c r="E66" s="1" t="s">
        <v>52</v>
      </c>
      <c r="F66" s="1">
        <v>213072.079659243</v>
      </c>
      <c r="I66" s="1">
        <v>49024</v>
      </c>
      <c r="J66" s="1" t="str">
        <f t="shared" si="0"/>
        <v>Portage</v>
      </c>
      <c r="K66" s="1" t="str">
        <f t="shared" si="1"/>
        <v>Kalamazoo-Portage, MI</v>
      </c>
      <c r="L66" s="1" t="str">
        <f t="shared" si="2"/>
        <v>Kalamazoo County</v>
      </c>
      <c r="M66" s="1">
        <v>1867.5</v>
      </c>
      <c r="N66" s="3">
        <f t="shared" si="3"/>
        <v>263585.14089259802</v>
      </c>
    </row>
    <row r="67" spans="1:14" ht="14.25" customHeight="1" x14ac:dyDescent="0.3">
      <c r="A67" s="1">
        <v>49505</v>
      </c>
      <c r="B67" s="1" t="s">
        <v>7</v>
      </c>
      <c r="C67" s="1" t="s">
        <v>64</v>
      </c>
      <c r="D67" s="1" t="s">
        <v>32</v>
      </c>
      <c r="E67" s="1" t="s">
        <v>52</v>
      </c>
      <c r="F67" s="1">
        <v>244776.11357790601</v>
      </c>
      <c r="I67" s="1">
        <v>49519</v>
      </c>
      <c r="J67" s="1" t="str">
        <f t="shared" si="0"/>
        <v>Wyoming</v>
      </c>
      <c r="K67" s="1" t="str">
        <f t="shared" si="1"/>
        <v>Grand Rapids-Kentwood, MI</v>
      </c>
      <c r="L67" s="1" t="str">
        <f t="shared" si="2"/>
        <v>Kent County</v>
      </c>
      <c r="M67" s="1">
        <v>1285</v>
      </c>
      <c r="N67" s="3">
        <f t="shared" si="3"/>
        <v>250438.83688627201</v>
      </c>
    </row>
    <row r="68" spans="1:14" ht="14.25" customHeight="1" x14ac:dyDescent="0.3">
      <c r="A68" s="1">
        <v>48313</v>
      </c>
      <c r="B68" s="1" t="s">
        <v>7</v>
      </c>
      <c r="C68" s="1" t="s">
        <v>41</v>
      </c>
      <c r="D68" s="1" t="s">
        <v>12</v>
      </c>
      <c r="E68" s="1" t="s">
        <v>16</v>
      </c>
      <c r="F68" s="1">
        <v>266250.05120415997</v>
      </c>
      <c r="I68" s="1">
        <v>48317</v>
      </c>
      <c r="J68" s="1" t="str">
        <f t="shared" si="0"/>
        <v>Shelby</v>
      </c>
      <c r="K68" s="1" t="str">
        <f t="shared" si="1"/>
        <v>Detroit-Warren-Dearborn, MI</v>
      </c>
      <c r="L68" s="1" t="str">
        <f t="shared" si="2"/>
        <v>Macomb County</v>
      </c>
      <c r="M68" s="1">
        <v>1306.555556</v>
      </c>
      <c r="N68" s="3">
        <f t="shared" si="3"/>
        <v>256564.12850270499</v>
      </c>
    </row>
    <row r="69" spans="1:14" ht="14.25" customHeight="1" x14ac:dyDescent="0.3">
      <c r="A69" s="1">
        <v>48021</v>
      </c>
      <c r="B69" s="1" t="s">
        <v>7</v>
      </c>
      <c r="C69" s="1" t="s">
        <v>83</v>
      </c>
      <c r="D69" s="1" t="s">
        <v>12</v>
      </c>
      <c r="E69" s="1" t="s">
        <v>16</v>
      </c>
      <c r="F69" s="1">
        <v>135179.47792579199</v>
      </c>
      <c r="I69" s="1">
        <v>48504</v>
      </c>
      <c r="J69" s="1" t="str">
        <f t="shared" si="0"/>
        <v>Flint</v>
      </c>
      <c r="K69" s="1" t="str">
        <f t="shared" si="1"/>
        <v>Flint, MI</v>
      </c>
      <c r="L69" s="1" t="str">
        <f t="shared" si="2"/>
        <v>Genesee County</v>
      </c>
      <c r="M69" s="1">
        <v>890</v>
      </c>
      <c r="N69" s="3">
        <f t="shared" si="3"/>
        <v>35867.727506732102</v>
      </c>
    </row>
    <row r="70" spans="1:14" ht="14.25" customHeight="1" x14ac:dyDescent="0.3">
      <c r="A70" s="1">
        <v>48322</v>
      </c>
      <c r="B70" s="1" t="s">
        <v>7</v>
      </c>
      <c r="C70" s="1" t="s">
        <v>84</v>
      </c>
      <c r="D70" s="1" t="s">
        <v>12</v>
      </c>
      <c r="E70" s="1" t="s">
        <v>40</v>
      </c>
      <c r="F70" s="1">
        <v>408090.75359510398</v>
      </c>
      <c r="I70" s="1">
        <v>49006</v>
      </c>
      <c r="J70" s="1" t="str">
        <f t="shared" si="0"/>
        <v>Kalamazoo</v>
      </c>
      <c r="K70" s="1" t="str">
        <f t="shared" si="1"/>
        <v>Kalamazoo-Portage, MI</v>
      </c>
      <c r="L70" s="1" t="str">
        <f t="shared" si="2"/>
        <v>Kalamazoo County</v>
      </c>
      <c r="M70" s="1">
        <v>1783.333333</v>
      </c>
      <c r="N70" s="3">
        <f t="shared" si="3"/>
        <v>210486.558746775</v>
      </c>
    </row>
    <row r="71" spans="1:14" ht="14.25" customHeight="1" x14ac:dyDescent="0.3">
      <c r="A71" s="1">
        <v>49855</v>
      </c>
      <c r="B71" s="1" t="s">
        <v>7</v>
      </c>
      <c r="C71" s="1" t="s">
        <v>85</v>
      </c>
      <c r="D71" s="1" t="s">
        <v>86</v>
      </c>
      <c r="E71" s="1" t="s">
        <v>87</v>
      </c>
      <c r="F71" s="1">
        <v>252587.83201247899</v>
      </c>
      <c r="I71" s="1">
        <v>48108</v>
      </c>
      <c r="J71" s="1" t="str">
        <f t="shared" si="0"/>
        <v>Ann Arbor</v>
      </c>
      <c r="K71" s="1" t="str">
        <f t="shared" si="1"/>
        <v>Ann Arbor, MI</v>
      </c>
      <c r="L71" s="1" t="str">
        <f t="shared" si="2"/>
        <v>Washtenaw County</v>
      </c>
      <c r="M71" s="1">
        <v>1760</v>
      </c>
      <c r="N71" s="3">
        <f t="shared" si="3"/>
        <v>408161.10457399703</v>
      </c>
    </row>
    <row r="72" spans="1:14" ht="14.25" customHeight="1" x14ac:dyDescent="0.3">
      <c r="A72" s="1">
        <v>48917</v>
      </c>
      <c r="B72" s="1" t="s">
        <v>7</v>
      </c>
      <c r="C72" s="1" t="s">
        <v>53</v>
      </c>
      <c r="D72" s="1" t="s">
        <v>19</v>
      </c>
      <c r="E72" s="1" t="s">
        <v>88</v>
      </c>
      <c r="F72" s="1">
        <v>219360.441567412</v>
      </c>
      <c r="I72" s="1">
        <v>49015</v>
      </c>
      <c r="J72" s="1" t="str">
        <f t="shared" si="0"/>
        <v>Battle Creek</v>
      </c>
      <c r="K72" s="1" t="str">
        <f t="shared" si="1"/>
        <v>Battle Creek, MI</v>
      </c>
      <c r="L72" s="1" t="str">
        <f t="shared" si="2"/>
        <v>Calhoun County</v>
      </c>
      <c r="M72" s="1">
        <v>1036.444444</v>
      </c>
      <c r="N72" s="3">
        <f t="shared" si="3"/>
        <v>165151.603118053</v>
      </c>
    </row>
    <row r="73" spans="1:14" ht="14.25" customHeight="1" x14ac:dyDescent="0.3">
      <c r="A73" s="1">
        <v>48423</v>
      </c>
      <c r="B73" s="1" t="s">
        <v>7</v>
      </c>
      <c r="C73" s="1" t="s">
        <v>89</v>
      </c>
      <c r="D73" s="1" t="s">
        <v>35</v>
      </c>
      <c r="E73" s="1" t="s">
        <v>36</v>
      </c>
      <c r="F73" s="1">
        <v>217881.46653808001</v>
      </c>
      <c r="I73" s="1">
        <v>49444</v>
      </c>
      <c r="J73" s="1" t="str">
        <f t="shared" si="0"/>
        <v>Norton Shores</v>
      </c>
      <c r="K73" s="1" t="str">
        <f t="shared" si="1"/>
        <v>Muskegon, MI</v>
      </c>
      <c r="L73" s="1" t="str">
        <f t="shared" si="2"/>
        <v>Muskegon County</v>
      </c>
      <c r="M73" s="1">
        <v>787.5</v>
      </c>
      <c r="N73" s="3">
        <f t="shared" si="3"/>
        <v>124369.13084090099</v>
      </c>
    </row>
    <row r="74" spans="1:14" ht="14.25" customHeight="1" x14ac:dyDescent="0.3">
      <c r="A74" s="1">
        <v>48174</v>
      </c>
      <c r="B74" s="1" t="s">
        <v>7</v>
      </c>
      <c r="C74" s="1" t="s">
        <v>90</v>
      </c>
      <c r="D74" s="1" t="s">
        <v>12</v>
      </c>
      <c r="E74" s="1" t="s">
        <v>13</v>
      </c>
      <c r="F74" s="1">
        <v>175556.00201346999</v>
      </c>
      <c r="I74" s="1">
        <v>48161</v>
      </c>
      <c r="J74" s="1" t="str">
        <f t="shared" si="0"/>
        <v>Monroe</v>
      </c>
      <c r="K74" s="1" t="str">
        <f t="shared" si="1"/>
        <v>Monroe, MI</v>
      </c>
      <c r="L74" s="1" t="str">
        <f t="shared" si="2"/>
        <v>Monroe County</v>
      </c>
      <c r="M74" s="1">
        <v>1165.833333</v>
      </c>
      <c r="N74" s="3">
        <f t="shared" si="3"/>
        <v>171960.864100279</v>
      </c>
    </row>
    <row r="75" spans="1:14" ht="14.25" customHeight="1" x14ac:dyDescent="0.3">
      <c r="A75" s="1">
        <v>48640</v>
      </c>
      <c r="B75" s="1" t="s">
        <v>7</v>
      </c>
      <c r="C75" s="1" t="s">
        <v>91</v>
      </c>
      <c r="D75" s="1" t="s">
        <v>92</v>
      </c>
      <c r="E75" s="1" t="s">
        <v>93</v>
      </c>
      <c r="F75" s="1">
        <v>184797.64520227999</v>
      </c>
      <c r="I75" s="1">
        <v>48085</v>
      </c>
      <c r="J75" s="1" t="str">
        <f t="shared" si="0"/>
        <v>Troy</v>
      </c>
      <c r="K75" s="1" t="str">
        <f t="shared" si="1"/>
        <v>Detroit-Warren-Dearborn, MI</v>
      </c>
      <c r="L75" s="1" t="str">
        <f t="shared" si="2"/>
        <v>Oakland County</v>
      </c>
      <c r="M75" s="1">
        <v>2475</v>
      </c>
      <c r="N75" s="3">
        <f t="shared" si="3"/>
        <v>390031.51114245597</v>
      </c>
    </row>
    <row r="76" spans="1:14" ht="14.25" customHeight="1" x14ac:dyDescent="0.3">
      <c r="A76" s="1">
        <v>49417</v>
      </c>
      <c r="B76" s="1" t="s">
        <v>7</v>
      </c>
      <c r="C76" s="1" t="s">
        <v>94</v>
      </c>
      <c r="D76" s="1" t="s">
        <v>32</v>
      </c>
      <c r="E76" s="1" t="s">
        <v>33</v>
      </c>
      <c r="F76" s="1">
        <v>336219.11613828299</v>
      </c>
      <c r="I76" s="1">
        <v>48092</v>
      </c>
      <c r="J76" s="1" t="str">
        <f t="shared" si="0"/>
        <v>Warren</v>
      </c>
      <c r="K76" s="1" t="str">
        <f t="shared" si="1"/>
        <v>Detroit-Warren-Dearborn, MI</v>
      </c>
      <c r="L76" s="1" t="str">
        <f t="shared" si="2"/>
        <v>Macomb County</v>
      </c>
      <c r="M76" s="1">
        <v>1750</v>
      </c>
      <c r="N76" s="3">
        <f t="shared" si="3"/>
        <v>217057.556133153</v>
      </c>
    </row>
    <row r="77" spans="1:14" ht="14.25" customHeight="1" x14ac:dyDescent="0.3">
      <c r="A77" s="1">
        <v>48089</v>
      </c>
      <c r="B77" s="1" t="s">
        <v>7</v>
      </c>
      <c r="C77" s="1" t="s">
        <v>95</v>
      </c>
      <c r="D77" s="1" t="s">
        <v>12</v>
      </c>
      <c r="E77" s="1" t="s">
        <v>16</v>
      </c>
      <c r="F77" s="1">
        <v>106507.706871546</v>
      </c>
      <c r="I77" s="1">
        <v>48503</v>
      </c>
      <c r="J77" s="1" t="str">
        <f t="shared" si="0"/>
        <v>Flint</v>
      </c>
      <c r="K77" s="1" t="str">
        <f t="shared" si="1"/>
        <v>Flint, MI</v>
      </c>
      <c r="L77" s="1" t="str">
        <f t="shared" si="2"/>
        <v>Genesee County</v>
      </c>
      <c r="M77" s="1">
        <v>765.55555560000005</v>
      </c>
      <c r="N77" s="3">
        <f t="shared" si="3"/>
        <v>54398.477718802002</v>
      </c>
    </row>
    <row r="78" spans="1:14" ht="14.25" customHeight="1" x14ac:dyDescent="0.3">
      <c r="A78" s="1">
        <v>48642</v>
      </c>
      <c r="B78" s="1" t="s">
        <v>7</v>
      </c>
      <c r="C78" s="1" t="s">
        <v>91</v>
      </c>
      <c r="D78" s="1" t="s">
        <v>92</v>
      </c>
      <c r="E78" s="1" t="s">
        <v>93</v>
      </c>
      <c r="F78" s="1">
        <v>203348.645656067</v>
      </c>
      <c r="I78" s="1">
        <v>48238</v>
      </c>
      <c r="J78" s="1" t="str">
        <f t="shared" si="0"/>
        <v>Detroit</v>
      </c>
      <c r="K78" s="1" t="str">
        <f t="shared" si="1"/>
        <v>Detroit-Warren-Dearborn, MI</v>
      </c>
      <c r="L78" s="1" t="str">
        <f t="shared" si="2"/>
        <v>Wayne County</v>
      </c>
      <c r="M78" s="1">
        <v>1004.722222</v>
      </c>
      <c r="N78" s="3">
        <f t="shared" si="3"/>
        <v>42809.804725090398</v>
      </c>
    </row>
    <row r="79" spans="1:14" ht="14.25" customHeight="1" x14ac:dyDescent="0.3">
      <c r="A79" s="1">
        <v>48209</v>
      </c>
      <c r="B79" s="1" t="s">
        <v>7</v>
      </c>
      <c r="C79" s="1" t="s">
        <v>14</v>
      </c>
      <c r="D79" s="1" t="s">
        <v>12</v>
      </c>
      <c r="E79" s="1" t="s">
        <v>13</v>
      </c>
      <c r="F79" s="1">
        <v>56951.777639113301</v>
      </c>
      <c r="I79" s="1">
        <v>48340</v>
      </c>
      <c r="J79" s="1" t="str">
        <f t="shared" si="0"/>
        <v>Pontiac</v>
      </c>
      <c r="K79" s="1" t="str">
        <f t="shared" si="1"/>
        <v>Detroit-Warren-Dearborn, MI</v>
      </c>
      <c r="L79" s="1" t="str">
        <f t="shared" si="2"/>
        <v>Oakland County</v>
      </c>
      <c r="M79" s="1">
        <v>1111.944444</v>
      </c>
      <c r="N79" s="3">
        <f t="shared" si="3"/>
        <v>106003.16061858099</v>
      </c>
    </row>
    <row r="80" spans="1:14" ht="14.25" customHeight="1" x14ac:dyDescent="0.3">
      <c r="A80" s="1">
        <v>48152</v>
      </c>
      <c r="B80" s="1" t="s">
        <v>7</v>
      </c>
      <c r="C80" s="1" t="s">
        <v>72</v>
      </c>
      <c r="D80" s="1" t="s">
        <v>12</v>
      </c>
      <c r="E80" s="1" t="s">
        <v>13</v>
      </c>
      <c r="F80" s="1">
        <v>287468.57672048802</v>
      </c>
      <c r="I80" s="1">
        <v>48336</v>
      </c>
      <c r="J80" s="1" t="str">
        <f t="shared" si="0"/>
        <v>Farmington Hills</v>
      </c>
      <c r="K80" s="1" t="str">
        <f t="shared" si="1"/>
        <v>Detroit-Warren-Dearborn, MI</v>
      </c>
      <c r="L80" s="1" t="str">
        <f t="shared" si="2"/>
        <v>Oakland County</v>
      </c>
      <c r="M80" s="1">
        <v>1298.333333</v>
      </c>
      <c r="N80" s="3">
        <f t="shared" si="3"/>
        <v>263635.78904095403</v>
      </c>
    </row>
    <row r="81" spans="1:14" ht="14.25" customHeight="1" x14ac:dyDescent="0.3">
      <c r="A81" s="1">
        <v>48446</v>
      </c>
      <c r="B81" s="1" t="s">
        <v>7</v>
      </c>
      <c r="C81" s="1" t="s">
        <v>96</v>
      </c>
      <c r="D81" s="1" t="s">
        <v>12</v>
      </c>
      <c r="E81" s="1" t="s">
        <v>97</v>
      </c>
      <c r="F81" s="1">
        <v>215794.14832928099</v>
      </c>
      <c r="I81" s="1">
        <v>48076</v>
      </c>
      <c r="J81" s="1" t="str">
        <f t="shared" si="0"/>
        <v>Lathrup Village</v>
      </c>
      <c r="K81" s="1" t="str">
        <f t="shared" si="1"/>
        <v>Detroit-Warren-Dearborn, MI</v>
      </c>
      <c r="L81" s="1" t="str">
        <f t="shared" si="2"/>
        <v>Oakland County</v>
      </c>
      <c r="M81" s="1">
        <v>1587.5</v>
      </c>
      <c r="N81" s="3">
        <f t="shared" si="3"/>
        <v>266985.27904510102</v>
      </c>
    </row>
    <row r="82" spans="1:14" ht="14.25" customHeight="1" x14ac:dyDescent="0.3">
      <c r="A82" s="1">
        <v>48210</v>
      </c>
      <c r="B82" s="1" t="s">
        <v>7</v>
      </c>
      <c r="C82" s="1" t="s">
        <v>14</v>
      </c>
      <c r="D82" s="1" t="s">
        <v>12</v>
      </c>
      <c r="E82" s="1" t="s">
        <v>13</v>
      </c>
      <c r="F82" s="1">
        <v>48292.347021417503</v>
      </c>
      <c r="I82" s="1">
        <v>48192</v>
      </c>
      <c r="J82" s="1" t="str">
        <f t="shared" si="0"/>
        <v>Wyandotte</v>
      </c>
      <c r="K82" s="1" t="str">
        <f t="shared" si="1"/>
        <v>Detroit-Warren-Dearborn, MI</v>
      </c>
      <c r="L82" s="1" t="str">
        <f t="shared" si="2"/>
        <v>Wayne County</v>
      </c>
      <c r="M82" s="1">
        <v>1073.6111109999999</v>
      </c>
      <c r="N82" s="3">
        <f t="shared" si="3"/>
        <v>156800.896419417</v>
      </c>
    </row>
    <row r="83" spans="1:14" ht="14.25" customHeight="1" x14ac:dyDescent="0.3">
      <c r="A83" s="1">
        <v>49022</v>
      </c>
      <c r="B83" s="1" t="s">
        <v>7</v>
      </c>
      <c r="C83" s="1" t="s">
        <v>98</v>
      </c>
      <c r="D83" s="1" t="s">
        <v>69</v>
      </c>
      <c r="E83" s="1" t="s">
        <v>70</v>
      </c>
      <c r="F83" s="1">
        <v>114952.63029845001</v>
      </c>
      <c r="I83" s="1">
        <v>48045</v>
      </c>
      <c r="J83" s="1" t="str">
        <f t="shared" si="0"/>
        <v>Harrison Township</v>
      </c>
      <c r="K83" s="1" t="str">
        <f t="shared" si="1"/>
        <v>Detroit-Warren-Dearborn, MI</v>
      </c>
      <c r="L83" s="1" t="str">
        <f t="shared" si="2"/>
        <v>Macomb County</v>
      </c>
      <c r="M83" s="1">
        <v>1198.333333</v>
      </c>
      <c r="N83" s="3">
        <f t="shared" si="3"/>
        <v>262800.31000735197</v>
      </c>
    </row>
    <row r="84" spans="1:14" ht="14.25" customHeight="1" x14ac:dyDescent="0.3">
      <c r="A84" s="1">
        <v>49546</v>
      </c>
      <c r="B84" s="1" t="s">
        <v>7</v>
      </c>
      <c r="C84" s="1" t="s">
        <v>51</v>
      </c>
      <c r="D84" s="1" t="s">
        <v>32</v>
      </c>
      <c r="E84" s="1" t="s">
        <v>52</v>
      </c>
      <c r="F84" s="1">
        <v>438260.090031926</v>
      </c>
      <c r="I84" s="1">
        <v>48141</v>
      </c>
      <c r="J84" s="1" t="str">
        <f t="shared" si="0"/>
        <v>Inkster</v>
      </c>
      <c r="K84" s="1" t="str">
        <f t="shared" si="1"/>
        <v>Detroit-Warren-Dearborn, MI</v>
      </c>
      <c r="L84" s="1" t="str">
        <f t="shared" si="2"/>
        <v>Wayne County</v>
      </c>
      <c r="M84" s="1">
        <v>1165</v>
      </c>
      <c r="N84" s="3">
        <f t="shared" si="3"/>
        <v>75069.759609815796</v>
      </c>
    </row>
    <row r="85" spans="1:14" ht="14.25" customHeight="1" x14ac:dyDescent="0.3">
      <c r="A85" s="1">
        <v>48507</v>
      </c>
      <c r="B85" s="1" t="s">
        <v>7</v>
      </c>
      <c r="C85" s="1" t="s">
        <v>99</v>
      </c>
      <c r="D85" s="1" t="s">
        <v>35</v>
      </c>
      <c r="E85" s="1" t="s">
        <v>36</v>
      </c>
      <c r="F85" s="1">
        <v>84955.440533019093</v>
      </c>
      <c r="I85" s="1">
        <v>48390</v>
      </c>
      <c r="J85" s="1" t="str">
        <f t="shared" si="0"/>
        <v>Walled Lake</v>
      </c>
      <c r="K85" s="1" t="str">
        <f t="shared" si="1"/>
        <v>Detroit-Warren-Dearborn, MI</v>
      </c>
      <c r="L85" s="1" t="str">
        <f t="shared" si="2"/>
        <v>Oakland County</v>
      </c>
      <c r="M85" s="1">
        <v>1666.666667</v>
      </c>
      <c r="N85" s="3">
        <f t="shared" si="3"/>
        <v>302948.456563538</v>
      </c>
    </row>
    <row r="86" spans="1:14" ht="14.25" customHeight="1" x14ac:dyDescent="0.3">
      <c r="A86" s="1">
        <v>48071</v>
      </c>
      <c r="B86" s="1" t="s">
        <v>7</v>
      </c>
      <c r="C86" s="1" t="s">
        <v>100</v>
      </c>
      <c r="D86" s="1" t="s">
        <v>12</v>
      </c>
      <c r="E86" s="1" t="s">
        <v>40</v>
      </c>
      <c r="F86" s="1">
        <v>191742.55999785301</v>
      </c>
      <c r="I86" s="1">
        <v>48067</v>
      </c>
      <c r="J86" s="1" t="str">
        <f t="shared" si="0"/>
        <v>Royal Oak</v>
      </c>
      <c r="K86" s="1" t="str">
        <f t="shared" si="1"/>
        <v>Detroit-Warren-Dearborn, MI</v>
      </c>
      <c r="L86" s="1" t="str">
        <f t="shared" si="2"/>
        <v>Oakland County</v>
      </c>
      <c r="M86" s="1">
        <v>2057.333333</v>
      </c>
      <c r="N86" s="3">
        <f t="shared" si="3"/>
        <v>293897.57733795798</v>
      </c>
    </row>
    <row r="87" spans="1:14" ht="14.25" customHeight="1" x14ac:dyDescent="0.3">
      <c r="A87" s="1">
        <v>48091</v>
      </c>
      <c r="B87" s="1" t="s">
        <v>7</v>
      </c>
      <c r="C87" s="1" t="s">
        <v>95</v>
      </c>
      <c r="D87" s="1" t="s">
        <v>12</v>
      </c>
      <c r="E87" s="1" t="s">
        <v>16</v>
      </c>
      <c r="F87" s="1">
        <v>137685.38007520299</v>
      </c>
      <c r="I87" s="1">
        <v>48204</v>
      </c>
      <c r="J87" s="1" t="str">
        <f t="shared" si="0"/>
        <v>Detroit</v>
      </c>
      <c r="K87" s="1" t="str">
        <f t="shared" si="1"/>
        <v>Detroit-Warren-Dearborn, MI</v>
      </c>
      <c r="L87" s="1" t="str">
        <f t="shared" si="2"/>
        <v>Wayne County</v>
      </c>
      <c r="M87" s="1">
        <v>1000</v>
      </c>
      <c r="N87" s="3">
        <f t="shared" si="3"/>
        <v>41610.708178330802</v>
      </c>
    </row>
    <row r="88" spans="1:14" ht="14.25" customHeight="1" x14ac:dyDescent="0.3">
      <c r="A88" s="1">
        <v>49525</v>
      </c>
      <c r="B88" s="1" t="s">
        <v>7</v>
      </c>
      <c r="C88" s="1" t="s">
        <v>64</v>
      </c>
      <c r="D88" s="1" t="s">
        <v>32</v>
      </c>
      <c r="E88" s="1" t="s">
        <v>52</v>
      </c>
      <c r="F88" s="1">
        <v>303273.83023073402</v>
      </c>
      <c r="I88" s="1">
        <v>48335</v>
      </c>
      <c r="J88" s="1" t="str">
        <f t="shared" si="0"/>
        <v>Farmington</v>
      </c>
      <c r="K88" s="1" t="str">
        <f t="shared" si="1"/>
        <v>Detroit-Warren-Dearborn, MI</v>
      </c>
      <c r="L88" s="1" t="str">
        <f t="shared" si="2"/>
        <v>Oakland County</v>
      </c>
      <c r="M88" s="1">
        <v>1049.2467529999999</v>
      </c>
      <c r="N88" s="3">
        <f t="shared" si="3"/>
        <v>388811.01839375898</v>
      </c>
    </row>
    <row r="89" spans="1:14" ht="14.25" customHeight="1" x14ac:dyDescent="0.3">
      <c r="A89" s="1">
        <v>48309</v>
      </c>
      <c r="B89" s="1" t="s">
        <v>7</v>
      </c>
      <c r="C89" s="1" t="s">
        <v>39</v>
      </c>
      <c r="D89" s="1" t="s">
        <v>12</v>
      </c>
      <c r="E89" s="1" t="s">
        <v>40</v>
      </c>
      <c r="F89" s="1">
        <v>421157.55348443199</v>
      </c>
      <c r="I89" s="1">
        <v>48167</v>
      </c>
      <c r="J89" s="1" t="str">
        <f t="shared" si="0"/>
        <v>Northville</v>
      </c>
      <c r="K89" s="1" t="str">
        <f t="shared" si="1"/>
        <v>Detroit-Warren-Dearborn, MI</v>
      </c>
      <c r="L89" s="1" t="str">
        <f t="shared" si="2"/>
        <v>Oakland County</v>
      </c>
      <c r="M89" s="1">
        <v>1511.7111110000001</v>
      </c>
      <c r="N89" s="3">
        <f t="shared" si="3"/>
        <v>486499.458049462</v>
      </c>
    </row>
    <row r="90" spans="1:14" ht="14.25" customHeight="1" x14ac:dyDescent="0.3">
      <c r="A90" s="1">
        <v>49464</v>
      </c>
      <c r="B90" s="1" t="s">
        <v>7</v>
      </c>
      <c r="C90" s="1" t="s">
        <v>101</v>
      </c>
      <c r="D90" s="1" t="s">
        <v>32</v>
      </c>
      <c r="E90" s="1" t="s">
        <v>33</v>
      </c>
      <c r="F90" s="1">
        <v>331319.110859829</v>
      </c>
      <c r="I90" s="1">
        <v>48346</v>
      </c>
      <c r="J90" s="1" t="str">
        <f t="shared" si="0"/>
        <v>Clarkston</v>
      </c>
      <c r="K90" s="1" t="str">
        <f t="shared" si="1"/>
        <v>Detroit-Warren-Dearborn, MI</v>
      </c>
      <c r="L90" s="1" t="str">
        <f t="shared" si="2"/>
        <v>Oakland County</v>
      </c>
      <c r="M90" s="1">
        <v>2316.25</v>
      </c>
      <c r="N90" s="3">
        <f t="shared" si="3"/>
        <v>307776.68297754898</v>
      </c>
    </row>
    <row r="91" spans="1:14" ht="14.25" customHeight="1" x14ac:dyDescent="0.3">
      <c r="A91" s="1">
        <v>48602</v>
      </c>
      <c r="B91" s="1" t="s">
        <v>7</v>
      </c>
      <c r="C91" s="1" t="s">
        <v>77</v>
      </c>
      <c r="D91" s="1" t="s">
        <v>78</v>
      </c>
      <c r="E91" s="1" t="s">
        <v>79</v>
      </c>
      <c r="F91" s="1">
        <v>58997.086450178198</v>
      </c>
      <c r="I91" s="1">
        <v>48326</v>
      </c>
      <c r="J91" s="1" t="str">
        <f t="shared" si="0"/>
        <v>Auburn Hills</v>
      </c>
      <c r="K91" s="1" t="str">
        <f t="shared" si="1"/>
        <v>Detroit-Warren-Dearborn, MI</v>
      </c>
      <c r="L91" s="1" t="str">
        <f t="shared" si="2"/>
        <v>Oakland County</v>
      </c>
      <c r="M91" s="1">
        <v>1278.333333</v>
      </c>
      <c r="N91" s="3">
        <f t="shared" si="3"/>
        <v>234600.73221117401</v>
      </c>
    </row>
    <row r="92" spans="1:14" ht="14.25" customHeight="1" x14ac:dyDescent="0.3">
      <c r="A92" s="1">
        <v>48236</v>
      </c>
      <c r="B92" s="1" t="s">
        <v>7</v>
      </c>
      <c r="C92" s="1" t="s">
        <v>102</v>
      </c>
      <c r="D92" s="1" t="s">
        <v>12</v>
      </c>
      <c r="E92" s="1" t="s">
        <v>13</v>
      </c>
      <c r="F92" s="1">
        <v>345083.07185936102</v>
      </c>
      <c r="I92" s="1">
        <v>49085</v>
      </c>
      <c r="J92" s="1" t="str">
        <f t="shared" si="0"/>
        <v>Saint Joseph</v>
      </c>
      <c r="K92" s="1" t="str">
        <f t="shared" si="1"/>
        <v>Niles, MI</v>
      </c>
      <c r="L92" s="1" t="str">
        <f t="shared" si="2"/>
        <v>Berrien County</v>
      </c>
      <c r="M92" s="1">
        <v>1800</v>
      </c>
      <c r="N92" s="3">
        <f t="shared" si="3"/>
        <v>283947.47968695499</v>
      </c>
    </row>
    <row r="93" spans="1:14" ht="14.25" customHeight="1" x14ac:dyDescent="0.3">
      <c r="A93" s="1">
        <v>48237</v>
      </c>
      <c r="B93" s="1" t="s">
        <v>7</v>
      </c>
      <c r="C93" s="1" t="s">
        <v>103</v>
      </c>
      <c r="D93" s="1" t="s">
        <v>12</v>
      </c>
      <c r="E93" s="1" t="s">
        <v>40</v>
      </c>
      <c r="F93" s="1">
        <v>202075.19452045599</v>
      </c>
      <c r="I93" s="1">
        <v>48220</v>
      </c>
      <c r="J93" s="1" t="str">
        <f t="shared" si="0"/>
        <v>Ferndale</v>
      </c>
      <c r="K93" s="1" t="str">
        <f t="shared" si="1"/>
        <v>Detroit-Warren-Dearborn, MI</v>
      </c>
      <c r="L93" s="1" t="str">
        <f t="shared" si="2"/>
        <v>Oakland County</v>
      </c>
      <c r="M93" s="1">
        <v>1619.7222220000001</v>
      </c>
      <c r="N93" s="3">
        <f t="shared" si="3"/>
        <v>219801.539191919</v>
      </c>
    </row>
    <row r="94" spans="1:14" ht="14.25" customHeight="1" x14ac:dyDescent="0.3">
      <c r="A94" s="1">
        <v>48195</v>
      </c>
      <c r="B94" s="1" t="s">
        <v>7</v>
      </c>
      <c r="C94" s="1" t="s">
        <v>104</v>
      </c>
      <c r="D94" s="1" t="s">
        <v>12</v>
      </c>
      <c r="E94" s="1" t="s">
        <v>13</v>
      </c>
      <c r="F94" s="1">
        <v>164230.14534908501</v>
      </c>
      <c r="I94" s="1">
        <v>48375</v>
      </c>
      <c r="J94" s="1" t="str">
        <f t="shared" si="0"/>
        <v>Novi</v>
      </c>
      <c r="K94" s="1" t="str">
        <f t="shared" si="1"/>
        <v>Detroit-Warren-Dearborn, MI</v>
      </c>
      <c r="L94" s="1" t="str">
        <f t="shared" si="2"/>
        <v>Oakland County</v>
      </c>
      <c r="M94" s="1">
        <v>1567.9722220000001</v>
      </c>
      <c r="N94" s="3">
        <f t="shared" si="3"/>
        <v>395862.68001912697</v>
      </c>
    </row>
    <row r="95" spans="1:14" ht="14.25" customHeight="1" x14ac:dyDescent="0.3">
      <c r="A95" s="1">
        <v>48124</v>
      </c>
      <c r="B95" s="1" t="s">
        <v>7</v>
      </c>
      <c r="C95" s="1" t="s">
        <v>22</v>
      </c>
      <c r="D95" s="1" t="s">
        <v>12</v>
      </c>
      <c r="E95" s="1" t="s">
        <v>13</v>
      </c>
      <c r="F95" s="1">
        <v>198695.45821056201</v>
      </c>
      <c r="I95" s="1">
        <v>48083</v>
      </c>
      <c r="J95" s="1" t="str">
        <f t="shared" si="0"/>
        <v>Troy</v>
      </c>
      <c r="K95" s="1" t="str">
        <f t="shared" si="1"/>
        <v>Detroit-Warren-Dearborn, MI</v>
      </c>
      <c r="L95" s="1" t="str">
        <f t="shared" si="2"/>
        <v>Oakland County</v>
      </c>
      <c r="M95" s="1">
        <v>1791.5</v>
      </c>
      <c r="N95" s="3">
        <f t="shared" si="3"/>
        <v>305891.59250394598</v>
      </c>
    </row>
    <row r="96" spans="1:14" ht="14.25" customHeight="1" x14ac:dyDescent="0.3">
      <c r="A96" s="1">
        <v>48506</v>
      </c>
      <c r="B96" s="1" t="s">
        <v>7</v>
      </c>
      <c r="D96" s="1" t="s">
        <v>35</v>
      </c>
      <c r="E96" s="1" t="s">
        <v>36</v>
      </c>
      <c r="F96" s="1">
        <v>57262.9306294138</v>
      </c>
      <c r="I96" s="1">
        <v>48214</v>
      </c>
      <c r="J96" s="1" t="str">
        <f t="shared" si="0"/>
        <v>Detroit</v>
      </c>
      <c r="K96" s="1" t="str">
        <f t="shared" si="1"/>
        <v>Detroit-Warren-Dearborn, MI</v>
      </c>
      <c r="L96" s="1" t="str">
        <f t="shared" si="2"/>
        <v>Wayne County</v>
      </c>
      <c r="M96" s="1">
        <v>1203.333333</v>
      </c>
      <c r="N96" s="3">
        <f t="shared" si="3"/>
        <v>59504.007791886099</v>
      </c>
    </row>
    <row r="97" spans="1:14" ht="14.25" customHeight="1" x14ac:dyDescent="0.3">
      <c r="A97" s="1">
        <v>49418</v>
      </c>
      <c r="B97" s="1" t="s">
        <v>7</v>
      </c>
      <c r="C97" s="1" t="s">
        <v>105</v>
      </c>
      <c r="D97" s="1" t="s">
        <v>32</v>
      </c>
      <c r="E97" s="1" t="s">
        <v>52</v>
      </c>
      <c r="F97" s="1">
        <v>326424.85919319699</v>
      </c>
      <c r="I97" s="1">
        <v>48331</v>
      </c>
      <c r="J97" s="1" t="str">
        <f t="shared" si="0"/>
        <v>Farmington Hills</v>
      </c>
      <c r="K97" s="1" t="str">
        <f t="shared" si="1"/>
        <v>Detroit-Warren-Dearborn, MI</v>
      </c>
      <c r="L97" s="1" t="str">
        <f t="shared" si="2"/>
        <v>Oakland County</v>
      </c>
      <c r="M97" s="1">
        <v>1572.75</v>
      </c>
      <c r="N97" s="3">
        <f t="shared" si="3"/>
        <v>413023.466462554</v>
      </c>
    </row>
    <row r="98" spans="1:14" ht="14.25" customHeight="1" x14ac:dyDescent="0.3">
      <c r="A98" s="1">
        <v>49024</v>
      </c>
      <c r="B98" s="1" t="s">
        <v>7</v>
      </c>
      <c r="C98" s="1" t="s">
        <v>106</v>
      </c>
      <c r="D98" s="1" t="s">
        <v>46</v>
      </c>
      <c r="E98" s="1" t="s">
        <v>47</v>
      </c>
      <c r="F98" s="1">
        <v>263585.14089259802</v>
      </c>
      <c r="I98" s="1">
        <v>48081</v>
      </c>
      <c r="J98" s="1" t="str">
        <f t="shared" si="0"/>
        <v>Saint Clair Shores</v>
      </c>
      <c r="K98" s="1" t="str">
        <f t="shared" si="1"/>
        <v>Detroit-Warren-Dearborn, MI</v>
      </c>
      <c r="L98" s="1" t="str">
        <f t="shared" si="2"/>
        <v>Macomb County</v>
      </c>
      <c r="M98" s="1">
        <v>1693.75</v>
      </c>
      <c r="N98" s="3">
        <f t="shared" si="3"/>
        <v>206290.8513791</v>
      </c>
    </row>
    <row r="99" spans="1:14" ht="14.25" customHeight="1" x14ac:dyDescent="0.3">
      <c r="A99" s="1">
        <v>49519</v>
      </c>
      <c r="B99" s="1" t="s">
        <v>7</v>
      </c>
      <c r="C99" s="1" t="s">
        <v>107</v>
      </c>
      <c r="D99" s="1" t="s">
        <v>32</v>
      </c>
      <c r="E99" s="1" t="s">
        <v>52</v>
      </c>
      <c r="F99" s="1">
        <v>250438.83688627201</v>
      </c>
      <c r="I99" s="1">
        <v>48009</v>
      </c>
      <c r="J99" s="1" t="str">
        <f t="shared" si="0"/>
        <v>Birmingham</v>
      </c>
      <c r="K99" s="1" t="str">
        <f t="shared" si="1"/>
        <v>Detroit-Warren-Dearborn, MI</v>
      </c>
      <c r="L99" s="1" t="str">
        <f t="shared" si="2"/>
        <v>Oakland County</v>
      </c>
      <c r="M99" s="1">
        <v>2299.166667</v>
      </c>
      <c r="N99" s="3">
        <f t="shared" si="3"/>
        <v>663312.90064347198</v>
      </c>
    </row>
    <row r="100" spans="1:14" ht="14.25" customHeight="1" x14ac:dyDescent="0.3">
      <c r="A100" s="1">
        <v>48315</v>
      </c>
      <c r="B100" s="1" t="s">
        <v>7</v>
      </c>
      <c r="C100" s="1" t="s">
        <v>108</v>
      </c>
      <c r="D100" s="1" t="s">
        <v>12</v>
      </c>
      <c r="E100" s="1" t="s">
        <v>16</v>
      </c>
      <c r="F100" s="1">
        <v>433806.38304426498</v>
      </c>
      <c r="I100" s="1">
        <v>48207</v>
      </c>
      <c r="J100" s="1" t="str">
        <f t="shared" si="0"/>
        <v>Detroit</v>
      </c>
      <c r="K100" s="1" t="str">
        <f t="shared" si="1"/>
        <v>Detroit-Warren-Dearborn, MI</v>
      </c>
      <c r="L100" s="1" t="str">
        <f t="shared" si="2"/>
        <v>Wayne County</v>
      </c>
      <c r="M100" s="1">
        <v>1439</v>
      </c>
      <c r="N100" s="3">
        <f t="shared" si="3"/>
        <v>82064.386607089094</v>
      </c>
    </row>
    <row r="101" spans="1:14" ht="14.25" customHeight="1" x14ac:dyDescent="0.3">
      <c r="A101" s="1">
        <v>48906</v>
      </c>
      <c r="B101" s="1" t="s">
        <v>7</v>
      </c>
      <c r="C101" s="1" t="s">
        <v>53</v>
      </c>
      <c r="D101" s="1" t="s">
        <v>19</v>
      </c>
      <c r="E101" s="1" t="s">
        <v>20</v>
      </c>
      <c r="F101" s="1">
        <v>122341.389778524</v>
      </c>
      <c r="I101" s="1">
        <v>49001</v>
      </c>
      <c r="J101" s="1" t="str">
        <f t="shared" si="0"/>
        <v>Kalamazoo</v>
      </c>
      <c r="K101" s="1" t="str">
        <f t="shared" si="1"/>
        <v>Kalamazoo-Portage, MI</v>
      </c>
      <c r="L101" s="1" t="str">
        <f t="shared" si="2"/>
        <v>Kalamazoo County</v>
      </c>
      <c r="M101" s="1">
        <v>1170.833333</v>
      </c>
      <c r="N101" s="3">
        <f t="shared" si="3"/>
        <v>136890.27760051901</v>
      </c>
    </row>
    <row r="102" spans="1:14" ht="14.25" customHeight="1" x14ac:dyDescent="0.3">
      <c r="A102" s="1">
        <v>49428</v>
      </c>
      <c r="B102" s="1" t="s">
        <v>7</v>
      </c>
      <c r="C102" s="1" t="s">
        <v>109</v>
      </c>
      <c r="D102" s="1" t="s">
        <v>32</v>
      </c>
      <c r="E102" s="1" t="s">
        <v>33</v>
      </c>
      <c r="F102" s="1">
        <v>312564.044077628</v>
      </c>
      <c r="I102" s="1">
        <v>48842</v>
      </c>
      <c r="J102" s="1" t="str">
        <f t="shared" si="0"/>
        <v>Holt</v>
      </c>
      <c r="K102" s="1" t="str">
        <f t="shared" si="1"/>
        <v>Lansing-East Lansing, MI</v>
      </c>
      <c r="L102" s="1" t="str">
        <f t="shared" si="2"/>
        <v>Ingham County</v>
      </c>
      <c r="M102" s="1">
        <v>1434.8888890000001</v>
      </c>
      <c r="N102" s="3">
        <f t="shared" si="3"/>
        <v>225292.05231858301</v>
      </c>
    </row>
    <row r="103" spans="1:14" ht="14.25" customHeight="1" x14ac:dyDescent="0.3">
      <c r="A103" s="1">
        <v>48316</v>
      </c>
      <c r="B103" s="1" t="s">
        <v>7</v>
      </c>
      <c r="C103" s="1" t="s">
        <v>108</v>
      </c>
      <c r="D103" s="1" t="s">
        <v>12</v>
      </c>
      <c r="E103" s="1" t="s">
        <v>16</v>
      </c>
      <c r="F103" s="1">
        <v>380751.65668586298</v>
      </c>
      <c r="I103" s="1">
        <v>48125</v>
      </c>
      <c r="J103" s="1" t="str">
        <f t="shared" si="0"/>
        <v>Dearborn Heights</v>
      </c>
      <c r="K103" s="1" t="str">
        <f t="shared" si="1"/>
        <v>Detroit-Warren-Dearborn, MI</v>
      </c>
      <c r="L103" s="1" t="str">
        <f t="shared" si="2"/>
        <v>Wayne County</v>
      </c>
      <c r="M103" s="1">
        <v>1387.4333329999999</v>
      </c>
      <c r="N103" s="3">
        <f t="shared" si="3"/>
        <v>132372.96804903899</v>
      </c>
    </row>
    <row r="104" spans="1:14" ht="14.25" customHeight="1" x14ac:dyDescent="0.3">
      <c r="A104" s="1">
        <v>48867</v>
      </c>
      <c r="B104" s="1" t="s">
        <v>7</v>
      </c>
      <c r="C104" s="1" t="s">
        <v>110</v>
      </c>
      <c r="D104" s="1" t="s">
        <v>19</v>
      </c>
      <c r="E104" s="1" t="s">
        <v>111</v>
      </c>
      <c r="F104" s="1">
        <v>134218.27531718</v>
      </c>
      <c r="I104" s="1">
        <v>48134</v>
      </c>
      <c r="J104" s="1" t="str">
        <f t="shared" si="0"/>
        <v>Flat Rock</v>
      </c>
      <c r="K104" s="1" t="str">
        <f t="shared" si="1"/>
        <v>Detroit-Warren-Dearborn, MI</v>
      </c>
      <c r="L104" s="1" t="str">
        <f t="shared" si="2"/>
        <v>Wayne County</v>
      </c>
      <c r="M104" s="1">
        <v>1399</v>
      </c>
      <c r="N104" s="3">
        <f t="shared" si="3"/>
        <v>278667.383958889</v>
      </c>
    </row>
    <row r="105" spans="1:14" ht="14.25" customHeight="1" x14ac:dyDescent="0.3">
      <c r="A105" s="1">
        <v>48317</v>
      </c>
      <c r="B105" s="1" t="s">
        <v>7</v>
      </c>
      <c r="C105" s="1" t="s">
        <v>108</v>
      </c>
      <c r="D105" s="1" t="s">
        <v>12</v>
      </c>
      <c r="E105" s="1" t="s">
        <v>16</v>
      </c>
      <c r="F105" s="1">
        <v>256564.12850270499</v>
      </c>
      <c r="I105" s="1">
        <v>48094</v>
      </c>
      <c r="J105" s="1" t="str">
        <f t="shared" si="0"/>
        <v>Washington</v>
      </c>
      <c r="K105" s="1" t="str">
        <f t="shared" si="1"/>
        <v>Detroit-Warren-Dearborn, MI</v>
      </c>
      <c r="L105" s="1" t="str">
        <f t="shared" si="2"/>
        <v>Macomb County</v>
      </c>
      <c r="M105" s="1">
        <v>1824</v>
      </c>
      <c r="N105" s="3">
        <f t="shared" si="3"/>
        <v>411365.657764551</v>
      </c>
    </row>
    <row r="106" spans="1:14" ht="14.25" customHeight="1" x14ac:dyDescent="0.3">
      <c r="A106" s="1">
        <v>48504</v>
      </c>
      <c r="B106" s="1" t="s">
        <v>7</v>
      </c>
      <c r="C106" s="1" t="s">
        <v>99</v>
      </c>
      <c r="D106" s="1" t="s">
        <v>35</v>
      </c>
      <c r="E106" s="1" t="s">
        <v>36</v>
      </c>
      <c r="F106" s="1">
        <v>35867.727506732102</v>
      </c>
      <c r="I106" s="1">
        <v>49202</v>
      </c>
      <c r="J106" s="1" t="str">
        <f t="shared" si="0"/>
        <v>Jackson</v>
      </c>
      <c r="K106" s="1" t="str">
        <f t="shared" si="1"/>
        <v>Jackson, MI</v>
      </c>
      <c r="L106" s="1" t="str">
        <f t="shared" si="2"/>
        <v>Jackson County</v>
      </c>
      <c r="M106" s="1">
        <v>950</v>
      </c>
      <c r="N106" s="3">
        <f t="shared" si="3"/>
        <v>107252.207854386</v>
      </c>
    </row>
    <row r="107" spans="1:14" ht="14.25" customHeight="1" x14ac:dyDescent="0.3">
      <c r="A107" s="1">
        <v>48116</v>
      </c>
      <c r="B107" s="1" t="s">
        <v>7</v>
      </c>
      <c r="C107" s="1" t="s">
        <v>112</v>
      </c>
      <c r="D107" s="1" t="s">
        <v>12</v>
      </c>
      <c r="E107" s="1" t="s">
        <v>38</v>
      </c>
      <c r="F107" s="1">
        <v>369336.99134352501</v>
      </c>
      <c r="I107" s="1">
        <v>49008</v>
      </c>
      <c r="J107" s="1" t="str">
        <f t="shared" si="0"/>
        <v>Kalamazoo</v>
      </c>
      <c r="K107" s="1" t="str">
        <f t="shared" si="1"/>
        <v>Kalamazoo-Portage, MI</v>
      </c>
      <c r="L107" s="1" t="str">
        <f t="shared" si="2"/>
        <v>Kalamazoo County</v>
      </c>
      <c r="M107" s="1">
        <v>1201.3611109999999</v>
      </c>
      <c r="N107" s="3">
        <f t="shared" si="3"/>
        <v>218531.38022832901</v>
      </c>
    </row>
    <row r="108" spans="1:14" ht="14.25" customHeight="1" x14ac:dyDescent="0.3">
      <c r="A108" s="1">
        <v>49509</v>
      </c>
      <c r="B108" s="1" t="s">
        <v>7</v>
      </c>
      <c r="C108" s="1" t="s">
        <v>107</v>
      </c>
      <c r="D108" s="1" t="s">
        <v>32</v>
      </c>
      <c r="E108" s="1" t="s">
        <v>52</v>
      </c>
      <c r="F108" s="1">
        <v>215182.32825772901</v>
      </c>
      <c r="I108" s="1">
        <v>48912</v>
      </c>
      <c r="J108" s="1" t="str">
        <f t="shared" si="0"/>
        <v>Lansing</v>
      </c>
      <c r="K108" s="1" t="str">
        <f t="shared" si="1"/>
        <v>Lansing-East Lansing, MI</v>
      </c>
      <c r="L108" s="1" t="str">
        <f t="shared" si="2"/>
        <v>Ingham County</v>
      </c>
      <c r="M108" s="1">
        <v>1067.5</v>
      </c>
      <c r="N108" s="3">
        <f t="shared" si="3"/>
        <v>109118.37198748501</v>
      </c>
    </row>
    <row r="109" spans="1:14" ht="14.25" customHeight="1" x14ac:dyDescent="0.3">
      <c r="A109" s="1">
        <v>49006</v>
      </c>
      <c r="B109" s="1" t="s">
        <v>7</v>
      </c>
      <c r="C109" s="1" t="s">
        <v>45</v>
      </c>
      <c r="D109" s="1" t="s">
        <v>46</v>
      </c>
      <c r="E109" s="1" t="s">
        <v>47</v>
      </c>
      <c r="F109" s="1">
        <v>210486.558746775</v>
      </c>
      <c r="I109" s="1">
        <v>48240</v>
      </c>
      <c r="J109" s="1" t="str">
        <f t="shared" si="0"/>
        <v>Redford</v>
      </c>
      <c r="K109" s="1" t="str">
        <f t="shared" si="1"/>
        <v>Detroit-Warren-Dearborn, MI</v>
      </c>
      <c r="L109" s="1" t="str">
        <f t="shared" si="2"/>
        <v>Wayne County</v>
      </c>
      <c r="M109" s="1">
        <v>1340.416667</v>
      </c>
      <c r="N109" s="3">
        <f t="shared" si="3"/>
        <v>135654.36913388799</v>
      </c>
    </row>
    <row r="110" spans="1:14" ht="14.25" customHeight="1" x14ac:dyDescent="0.3">
      <c r="A110" s="1">
        <v>48162</v>
      </c>
      <c r="B110" s="1" t="s">
        <v>7</v>
      </c>
      <c r="C110" s="1" t="s">
        <v>113</v>
      </c>
      <c r="D110" s="1" t="s">
        <v>114</v>
      </c>
      <c r="E110" s="1" t="s">
        <v>115</v>
      </c>
      <c r="F110" s="1">
        <v>189971.02450728699</v>
      </c>
      <c r="I110" s="1">
        <v>48033</v>
      </c>
      <c r="J110" s="1" t="str">
        <f t="shared" si="0"/>
        <v>Southfield</v>
      </c>
      <c r="K110" s="1" t="str">
        <f t="shared" si="1"/>
        <v>Detroit-Warren-Dearborn, MI</v>
      </c>
      <c r="L110" s="1" t="str">
        <f t="shared" si="2"/>
        <v>Oakland County</v>
      </c>
      <c r="M110" s="1">
        <v>1451.122222</v>
      </c>
      <c r="N110" s="3">
        <f t="shared" si="3"/>
        <v>224757.218397989</v>
      </c>
    </row>
    <row r="111" spans="1:14" ht="14.25" customHeight="1" x14ac:dyDescent="0.3">
      <c r="A111" s="1">
        <v>48108</v>
      </c>
      <c r="B111" s="1" t="s">
        <v>7</v>
      </c>
      <c r="C111" s="1" t="s">
        <v>17</v>
      </c>
      <c r="D111" s="1" t="s">
        <v>9</v>
      </c>
      <c r="E111" s="1" t="s">
        <v>10</v>
      </c>
      <c r="F111" s="1">
        <v>408161.10457399703</v>
      </c>
      <c r="I111" s="1">
        <v>48377</v>
      </c>
      <c r="J111" s="1" t="str">
        <f t="shared" si="0"/>
        <v>Novi</v>
      </c>
      <c r="K111" s="1" t="str">
        <f t="shared" si="1"/>
        <v>Detroit-Warren-Dearborn, MI</v>
      </c>
      <c r="L111" s="1" t="str">
        <f t="shared" si="2"/>
        <v>Oakland County</v>
      </c>
      <c r="M111" s="1">
        <v>1885.375</v>
      </c>
      <c r="N111" s="3">
        <f t="shared" si="3"/>
        <v>455236.044563526</v>
      </c>
    </row>
    <row r="112" spans="1:14" ht="14.25" customHeight="1" x14ac:dyDescent="0.3">
      <c r="A112" s="1">
        <v>48306</v>
      </c>
      <c r="B112" s="1" t="s">
        <v>7</v>
      </c>
      <c r="C112" s="1" t="s">
        <v>39</v>
      </c>
      <c r="D112" s="1" t="s">
        <v>12</v>
      </c>
      <c r="E112" s="1" t="s">
        <v>40</v>
      </c>
      <c r="F112" s="1">
        <v>537501.83617977204</v>
      </c>
      <c r="I112" s="1">
        <v>48030</v>
      </c>
      <c r="J112" s="1" t="str">
        <f t="shared" si="0"/>
        <v>Hazel Park</v>
      </c>
      <c r="K112" s="1" t="str">
        <f t="shared" si="1"/>
        <v>Detroit-Warren-Dearborn, MI</v>
      </c>
      <c r="L112" s="1" t="str">
        <f t="shared" si="2"/>
        <v>Oakland County</v>
      </c>
      <c r="M112" s="1">
        <v>1316.25</v>
      </c>
      <c r="N112" s="3">
        <f t="shared" si="3"/>
        <v>144265.67585263299</v>
      </c>
    </row>
    <row r="113" spans="1:14" ht="14.25" customHeight="1" x14ac:dyDescent="0.3">
      <c r="A113" s="1">
        <v>48101</v>
      </c>
      <c r="B113" s="1" t="s">
        <v>7</v>
      </c>
      <c r="C113" s="1" t="s">
        <v>116</v>
      </c>
      <c r="D113" s="1" t="s">
        <v>12</v>
      </c>
      <c r="E113" s="1" t="s">
        <v>13</v>
      </c>
      <c r="F113" s="1">
        <v>177114.38989311099</v>
      </c>
      <c r="I113" s="1">
        <v>48201</v>
      </c>
      <c r="J113" s="1" t="str">
        <f t="shared" si="0"/>
        <v>Detroit</v>
      </c>
      <c r="K113" s="1" t="str">
        <f t="shared" si="1"/>
        <v>Detroit-Warren-Dearborn, MI</v>
      </c>
      <c r="L113" s="1" t="str">
        <f t="shared" si="2"/>
        <v>Wayne County</v>
      </c>
      <c r="M113" s="1">
        <v>1390.55</v>
      </c>
      <c r="N113" s="3">
        <f t="shared" si="3"/>
        <v>438189.568337087</v>
      </c>
    </row>
    <row r="114" spans="1:14" ht="14.25" customHeight="1" x14ac:dyDescent="0.3">
      <c r="A114" s="1">
        <v>49015</v>
      </c>
      <c r="B114" s="1" t="s">
        <v>7</v>
      </c>
      <c r="C114" s="1" t="s">
        <v>117</v>
      </c>
      <c r="D114" s="1" t="s">
        <v>118</v>
      </c>
      <c r="E114" s="1" t="s">
        <v>119</v>
      </c>
      <c r="F114" s="1">
        <v>165151.603118053</v>
      </c>
      <c r="I114" s="1">
        <v>48206</v>
      </c>
      <c r="J114" s="1" t="str">
        <f t="shared" si="0"/>
        <v>Detroit</v>
      </c>
      <c r="K114" s="1" t="str">
        <f t="shared" si="1"/>
        <v>Detroit-Warren-Dearborn, MI</v>
      </c>
      <c r="L114" s="1" t="str">
        <f t="shared" si="2"/>
        <v>Wayne County</v>
      </c>
      <c r="M114" s="1">
        <v>1200</v>
      </c>
      <c r="N114" s="3">
        <f t="shared" si="3"/>
        <v>71091.179204868895</v>
      </c>
    </row>
    <row r="115" spans="1:14" ht="14.25" customHeight="1" x14ac:dyDescent="0.3">
      <c r="A115" s="1">
        <v>48150</v>
      </c>
      <c r="B115" s="1" t="s">
        <v>7</v>
      </c>
      <c r="C115" s="1" t="s">
        <v>72</v>
      </c>
      <c r="D115" s="1" t="s">
        <v>12</v>
      </c>
      <c r="E115" s="1" t="s">
        <v>13</v>
      </c>
      <c r="F115" s="1">
        <v>234016.46480460401</v>
      </c>
      <c r="I115" s="1">
        <v>48230</v>
      </c>
      <c r="J115" s="1" t="str">
        <f t="shared" si="0"/>
        <v>Grosse Pointe Park</v>
      </c>
      <c r="K115" s="1" t="str">
        <f t="shared" si="1"/>
        <v>Detroit-Warren-Dearborn, MI</v>
      </c>
      <c r="L115" s="1" t="str">
        <f t="shared" si="2"/>
        <v>Wayne County</v>
      </c>
      <c r="M115" s="1">
        <v>1488.055556</v>
      </c>
      <c r="N115" s="3">
        <f t="shared" si="3"/>
        <v>430537.594692691</v>
      </c>
    </row>
    <row r="116" spans="1:14" ht="14.25" customHeight="1" x14ac:dyDescent="0.3">
      <c r="A116" s="1">
        <v>49444</v>
      </c>
      <c r="B116" s="1" t="s">
        <v>7</v>
      </c>
      <c r="C116" s="1" t="s">
        <v>76</v>
      </c>
      <c r="D116" s="1" t="s">
        <v>43</v>
      </c>
      <c r="E116" s="1" t="s">
        <v>44</v>
      </c>
      <c r="F116" s="1">
        <v>124369.13084090099</v>
      </c>
      <c r="I116" s="1">
        <v>48202</v>
      </c>
      <c r="J116" s="1" t="str">
        <f t="shared" si="0"/>
        <v>Detroit</v>
      </c>
      <c r="K116" s="1" t="str">
        <f t="shared" si="1"/>
        <v>Detroit-Warren-Dearborn, MI</v>
      </c>
      <c r="L116" s="1" t="str">
        <f t="shared" si="2"/>
        <v>Wayne County</v>
      </c>
      <c r="M116" s="1">
        <v>1380.416667</v>
      </c>
      <c r="N116" s="3">
        <f t="shared" si="3"/>
        <v>159604.48734221299</v>
      </c>
    </row>
    <row r="117" spans="1:14" ht="14.25" customHeight="1" x14ac:dyDescent="0.3">
      <c r="A117" s="1">
        <v>49401</v>
      </c>
      <c r="B117" s="1" t="s">
        <v>7</v>
      </c>
      <c r="C117" s="1" t="s">
        <v>120</v>
      </c>
      <c r="D117" s="1" t="s">
        <v>32</v>
      </c>
      <c r="E117" s="1" t="s">
        <v>33</v>
      </c>
      <c r="F117" s="1">
        <v>331403.35880082601</v>
      </c>
      <c r="I117" s="1">
        <v>48084</v>
      </c>
      <c r="J117" s="1" t="str">
        <f t="shared" si="0"/>
        <v>Troy</v>
      </c>
      <c r="K117" s="1" t="str">
        <f t="shared" si="1"/>
        <v>Detroit-Warren-Dearborn, MI</v>
      </c>
      <c r="L117" s="1" t="str">
        <f t="shared" si="2"/>
        <v>Oakland County</v>
      </c>
      <c r="M117" s="1">
        <v>1541.6174599999999</v>
      </c>
      <c r="N117" s="3">
        <f t="shared" si="3"/>
        <v>448361.57819014299</v>
      </c>
    </row>
    <row r="118" spans="1:14" ht="14.25" customHeight="1" x14ac:dyDescent="0.3">
      <c r="A118" s="1">
        <v>48135</v>
      </c>
      <c r="B118" s="1" t="s">
        <v>7</v>
      </c>
      <c r="C118" s="1" t="s">
        <v>121</v>
      </c>
      <c r="D118" s="1" t="s">
        <v>12</v>
      </c>
      <c r="E118" s="1" t="s">
        <v>13</v>
      </c>
      <c r="F118" s="1">
        <v>166510.363860671</v>
      </c>
      <c r="I118" s="1">
        <v>48072</v>
      </c>
      <c r="J118" s="1" t="str">
        <f t="shared" si="0"/>
        <v>Berkley</v>
      </c>
      <c r="K118" s="1" t="str">
        <f t="shared" si="1"/>
        <v>Detroit-Warren-Dearborn, MI</v>
      </c>
      <c r="L118" s="1" t="str">
        <f t="shared" si="2"/>
        <v>Oakland County</v>
      </c>
      <c r="M118" s="1">
        <v>1757.5</v>
      </c>
      <c r="N118" s="3">
        <f t="shared" si="3"/>
        <v>275381.023361506</v>
      </c>
    </row>
    <row r="119" spans="1:14" ht="14.25" customHeight="1" x14ac:dyDescent="0.3">
      <c r="A119" s="1">
        <v>48328</v>
      </c>
      <c r="B119" s="1" t="s">
        <v>7</v>
      </c>
      <c r="C119" s="1" t="s">
        <v>122</v>
      </c>
      <c r="D119" s="1" t="s">
        <v>12</v>
      </c>
      <c r="E119" s="1" t="s">
        <v>40</v>
      </c>
      <c r="F119" s="1">
        <v>219249.97612408901</v>
      </c>
      <c r="I119" s="1">
        <v>48225</v>
      </c>
      <c r="J119" s="1" t="str">
        <f t="shared" si="0"/>
        <v>Harper Woods</v>
      </c>
      <c r="K119" s="1" t="str">
        <f t="shared" si="1"/>
        <v>Detroit-Warren-Dearborn, MI</v>
      </c>
      <c r="L119" s="1" t="str">
        <f t="shared" si="2"/>
        <v>Wayne County</v>
      </c>
      <c r="M119" s="1">
        <v>1258.95</v>
      </c>
      <c r="N119" s="3">
        <f t="shared" si="3"/>
        <v>137493.933810316</v>
      </c>
    </row>
    <row r="120" spans="1:14" ht="14.25" customHeight="1" x14ac:dyDescent="0.3">
      <c r="A120" s="1">
        <v>48161</v>
      </c>
      <c r="B120" s="1" t="s">
        <v>7</v>
      </c>
      <c r="C120" s="1" t="s">
        <v>113</v>
      </c>
      <c r="D120" s="1" t="s">
        <v>114</v>
      </c>
      <c r="E120" s="1" t="s">
        <v>115</v>
      </c>
      <c r="F120" s="1">
        <v>171960.864100279</v>
      </c>
      <c r="I120" s="1">
        <v>48034</v>
      </c>
      <c r="J120" s="1" t="str">
        <f t="shared" si="0"/>
        <v>Southfield</v>
      </c>
      <c r="K120" s="1" t="str">
        <f t="shared" si="1"/>
        <v>Detroit-Warren-Dearborn, MI</v>
      </c>
      <c r="L120" s="1" t="str">
        <f t="shared" si="2"/>
        <v>Oakland County</v>
      </c>
      <c r="M120" s="1">
        <v>1330</v>
      </c>
      <c r="N120" s="3">
        <f t="shared" si="3"/>
        <v>325467.21105200303</v>
      </c>
    </row>
    <row r="121" spans="1:14" ht="14.25" customHeight="1" x14ac:dyDescent="0.3">
      <c r="A121" s="1">
        <v>48085</v>
      </c>
      <c r="B121" s="1" t="s">
        <v>7</v>
      </c>
      <c r="C121" s="1" t="s">
        <v>123</v>
      </c>
      <c r="D121" s="1" t="s">
        <v>12</v>
      </c>
      <c r="E121" s="1" t="s">
        <v>40</v>
      </c>
      <c r="F121" s="1">
        <v>390031.51114245597</v>
      </c>
      <c r="I121" s="1">
        <v>49348</v>
      </c>
      <c r="J121" s="1" t="str">
        <f t="shared" si="0"/>
        <v>Wayland</v>
      </c>
      <c r="K121" s="1" t="str">
        <f t="shared" si="1"/>
        <v>Holland, MI</v>
      </c>
      <c r="L121" s="1" t="str">
        <f t="shared" si="2"/>
        <v>Allegan County</v>
      </c>
      <c r="M121" s="1">
        <v>1451.7777779999999</v>
      </c>
      <c r="N121" s="3">
        <f t="shared" si="3"/>
        <v>283161.93227629602</v>
      </c>
    </row>
    <row r="122" spans="1:14" ht="14.25" customHeight="1" x14ac:dyDescent="0.3">
      <c r="A122" s="1">
        <v>48092</v>
      </c>
      <c r="B122" s="1" t="s">
        <v>7</v>
      </c>
      <c r="C122" s="1" t="s">
        <v>95</v>
      </c>
      <c r="D122" s="1" t="s">
        <v>12</v>
      </c>
      <c r="E122" s="1" t="s">
        <v>16</v>
      </c>
      <c r="F122" s="1">
        <v>217057.556133153</v>
      </c>
      <c r="I122" s="1">
        <v>48383</v>
      </c>
      <c r="J122" s="1" t="str">
        <f t="shared" si="0"/>
        <v>White Lake</v>
      </c>
      <c r="K122" s="1" t="str">
        <f t="shared" si="1"/>
        <v>Detroit-Warren-Dearborn, MI</v>
      </c>
      <c r="L122" s="1" t="str">
        <f t="shared" si="2"/>
        <v>Oakland County</v>
      </c>
      <c r="M122" s="1">
        <v>1851</v>
      </c>
      <c r="N122" s="3">
        <f t="shared" si="3"/>
        <v>361784.96738643502</v>
      </c>
    </row>
    <row r="123" spans="1:14" ht="14.25" customHeight="1" x14ac:dyDescent="0.3">
      <c r="A123" s="1">
        <v>48708</v>
      </c>
      <c r="B123" s="1" t="s">
        <v>7</v>
      </c>
      <c r="C123" s="1" t="s">
        <v>124</v>
      </c>
      <c r="D123" s="1" t="s">
        <v>62</v>
      </c>
      <c r="E123" s="1" t="s">
        <v>63</v>
      </c>
      <c r="F123" s="1">
        <v>92364.412834716204</v>
      </c>
      <c r="I123" s="1">
        <v>48017</v>
      </c>
      <c r="J123" s="1" t="str">
        <f t="shared" si="0"/>
        <v>Clawson</v>
      </c>
      <c r="K123" s="1" t="str">
        <f t="shared" si="1"/>
        <v>Detroit-Warren-Dearborn, MI</v>
      </c>
      <c r="L123" s="1" t="str">
        <f t="shared" si="2"/>
        <v>Oakland County</v>
      </c>
      <c r="M123" s="1">
        <v>1508.333333</v>
      </c>
      <c r="N123" s="3">
        <f t="shared" si="3"/>
        <v>253649.749770931</v>
      </c>
    </row>
    <row r="124" spans="1:14" ht="14.25" customHeight="1" x14ac:dyDescent="0.3">
      <c r="A124" s="1">
        <v>48382</v>
      </c>
      <c r="B124" s="1" t="s">
        <v>7</v>
      </c>
      <c r="C124" s="1" t="s">
        <v>125</v>
      </c>
      <c r="D124" s="1" t="s">
        <v>12</v>
      </c>
      <c r="E124" s="1" t="s">
        <v>40</v>
      </c>
      <c r="F124" s="1">
        <v>398401.74648564699</v>
      </c>
      <c r="I124" s="1">
        <v>48166</v>
      </c>
      <c r="J124" s="1" t="str">
        <f t="shared" si="0"/>
        <v>Newport</v>
      </c>
      <c r="K124" s="1" t="str">
        <f t="shared" si="1"/>
        <v>Monroe, MI</v>
      </c>
      <c r="L124" s="1" t="str">
        <f t="shared" si="2"/>
        <v>Monroe County</v>
      </c>
      <c r="M124" s="1">
        <v>1110.5873019999999</v>
      </c>
      <c r="N124" s="3">
        <f t="shared" si="3"/>
        <v>189239.476675304</v>
      </c>
    </row>
    <row r="125" spans="1:14" ht="14.25" customHeight="1" x14ac:dyDescent="0.3">
      <c r="A125" s="1">
        <v>48503</v>
      </c>
      <c r="B125" s="1" t="s">
        <v>7</v>
      </c>
      <c r="C125" s="1" t="s">
        <v>99</v>
      </c>
      <c r="D125" s="1" t="s">
        <v>35</v>
      </c>
      <c r="E125" s="1" t="s">
        <v>36</v>
      </c>
      <c r="F125" s="1">
        <v>54398.477718802002</v>
      </c>
      <c r="I125" s="1">
        <v>48359</v>
      </c>
      <c r="J125" s="1" t="str">
        <f t="shared" si="0"/>
        <v>Orion</v>
      </c>
      <c r="K125" s="1" t="str">
        <f t="shared" si="1"/>
        <v>Detroit-Warren-Dearborn, MI</v>
      </c>
      <c r="L125" s="1" t="str">
        <f t="shared" si="2"/>
        <v>Oakland County</v>
      </c>
      <c r="M125" s="1">
        <v>1249</v>
      </c>
      <c r="N125" s="3">
        <f t="shared" si="3"/>
        <v>330401.02846807201</v>
      </c>
    </row>
    <row r="126" spans="1:14" ht="14.25" customHeight="1" x14ac:dyDescent="0.3">
      <c r="A126" s="1">
        <v>49048</v>
      </c>
      <c r="B126" s="1" t="s">
        <v>7</v>
      </c>
      <c r="C126" s="1" t="s">
        <v>126</v>
      </c>
      <c r="D126" s="1" t="s">
        <v>46</v>
      </c>
      <c r="E126" s="1" t="s">
        <v>47</v>
      </c>
      <c r="F126" s="1">
        <v>156144.272468254</v>
      </c>
      <c r="I126" s="1">
        <v>49007</v>
      </c>
      <c r="J126" s="1" t="str">
        <f t="shared" si="0"/>
        <v>Kalamazoo</v>
      </c>
      <c r="K126" s="1" t="str">
        <f t="shared" si="1"/>
        <v>Kalamazoo-Portage, MI</v>
      </c>
      <c r="L126" s="1" t="str">
        <f t="shared" si="2"/>
        <v>Kalamazoo County</v>
      </c>
      <c r="M126" s="1">
        <v>1254.5238099999999</v>
      </c>
      <c r="N126" s="3">
        <f t="shared" si="3"/>
        <v>84566.865153660896</v>
      </c>
    </row>
    <row r="127" spans="1:14" ht="14.25" customHeight="1" x14ac:dyDescent="0.3">
      <c r="A127" s="1">
        <v>48223</v>
      </c>
      <c r="B127" s="1" t="s">
        <v>7</v>
      </c>
      <c r="C127" s="1" t="s">
        <v>14</v>
      </c>
      <c r="D127" s="1" t="s">
        <v>12</v>
      </c>
      <c r="E127" s="1" t="s">
        <v>13</v>
      </c>
      <c r="F127" s="1">
        <v>74605.088071214501</v>
      </c>
      <c r="I127" s="1">
        <v>48915</v>
      </c>
      <c r="J127" s="1" t="str">
        <f t="shared" si="0"/>
        <v>Lansing</v>
      </c>
      <c r="K127" s="1" t="str">
        <f t="shared" si="1"/>
        <v>Lansing-East Lansing, MI</v>
      </c>
      <c r="L127" s="1" t="str">
        <f t="shared" si="2"/>
        <v>Ingham County</v>
      </c>
      <c r="M127" s="1">
        <v>1175</v>
      </c>
      <c r="N127" s="3">
        <f t="shared" si="3"/>
        <v>93736.010582893505</v>
      </c>
    </row>
    <row r="128" spans="1:14" ht="14.25" customHeight="1" x14ac:dyDescent="0.3">
      <c r="A128" s="1">
        <v>48093</v>
      </c>
      <c r="B128" s="1" t="s">
        <v>7</v>
      </c>
      <c r="C128" s="1" t="s">
        <v>95</v>
      </c>
      <c r="D128" s="1" t="s">
        <v>12</v>
      </c>
      <c r="E128" s="1" t="s">
        <v>16</v>
      </c>
      <c r="F128" s="1">
        <v>219216.88528233301</v>
      </c>
    </row>
    <row r="129" spans="1:6" ht="14.25" customHeight="1" x14ac:dyDescent="0.3">
      <c r="A129" s="1">
        <v>48238</v>
      </c>
      <c r="B129" s="1" t="s">
        <v>7</v>
      </c>
      <c r="C129" s="1" t="s">
        <v>14</v>
      </c>
      <c r="D129" s="1" t="s">
        <v>12</v>
      </c>
      <c r="E129" s="1" t="s">
        <v>13</v>
      </c>
      <c r="F129" s="1">
        <v>42809.804725090398</v>
      </c>
    </row>
    <row r="130" spans="1:6" ht="14.25" customHeight="1" x14ac:dyDescent="0.3">
      <c r="A130" s="1">
        <v>48371</v>
      </c>
      <c r="B130" s="1" t="s">
        <v>7</v>
      </c>
      <c r="C130" s="1" t="s">
        <v>127</v>
      </c>
      <c r="D130" s="1" t="s">
        <v>12</v>
      </c>
      <c r="E130" s="1" t="s">
        <v>40</v>
      </c>
      <c r="F130" s="1">
        <v>353798.099932738</v>
      </c>
    </row>
    <row r="131" spans="1:6" ht="14.25" customHeight="1" x14ac:dyDescent="0.3">
      <c r="A131" s="1">
        <v>48340</v>
      </c>
      <c r="B131" s="1" t="s">
        <v>7</v>
      </c>
      <c r="C131" s="1" t="s">
        <v>128</v>
      </c>
      <c r="D131" s="1" t="s">
        <v>12</v>
      </c>
      <c r="E131" s="1" t="s">
        <v>40</v>
      </c>
      <c r="F131" s="1">
        <v>106003.16061858099</v>
      </c>
    </row>
    <row r="132" spans="1:6" ht="14.25" customHeight="1" x14ac:dyDescent="0.3">
      <c r="A132" s="1">
        <v>48336</v>
      </c>
      <c r="B132" s="1" t="s">
        <v>7</v>
      </c>
      <c r="C132" s="1" t="s">
        <v>129</v>
      </c>
      <c r="D132" s="1" t="s">
        <v>12</v>
      </c>
      <c r="E132" s="1" t="s">
        <v>40</v>
      </c>
      <c r="F132" s="1">
        <v>263635.78904095403</v>
      </c>
    </row>
    <row r="133" spans="1:6" ht="14.25" customHeight="1" x14ac:dyDescent="0.3">
      <c r="A133" s="1">
        <v>48076</v>
      </c>
      <c r="B133" s="1" t="s">
        <v>7</v>
      </c>
      <c r="C133" s="1" t="s">
        <v>130</v>
      </c>
      <c r="D133" s="1" t="s">
        <v>12</v>
      </c>
      <c r="E133" s="1" t="s">
        <v>40</v>
      </c>
      <c r="F133" s="1">
        <v>266985.27904510102</v>
      </c>
    </row>
    <row r="134" spans="1:6" ht="14.25" customHeight="1" x14ac:dyDescent="0.3">
      <c r="A134" s="1">
        <v>48192</v>
      </c>
      <c r="B134" s="1" t="s">
        <v>7</v>
      </c>
      <c r="C134" s="1" t="s">
        <v>131</v>
      </c>
      <c r="D134" s="1" t="s">
        <v>12</v>
      </c>
      <c r="E134" s="1" t="s">
        <v>13</v>
      </c>
      <c r="F134" s="1">
        <v>156800.896419417</v>
      </c>
    </row>
    <row r="135" spans="1:6" ht="14.25" customHeight="1" x14ac:dyDescent="0.3">
      <c r="A135" s="1">
        <v>48603</v>
      </c>
      <c r="B135" s="1" t="s">
        <v>7</v>
      </c>
      <c r="C135" s="1" t="s">
        <v>77</v>
      </c>
      <c r="D135" s="1" t="s">
        <v>78</v>
      </c>
      <c r="E135" s="1" t="s">
        <v>79</v>
      </c>
      <c r="F135" s="1">
        <v>193330.75976243999</v>
      </c>
    </row>
    <row r="136" spans="1:6" ht="14.25" customHeight="1" x14ac:dyDescent="0.3">
      <c r="A136" s="1">
        <v>48433</v>
      </c>
      <c r="B136" s="1" t="s">
        <v>7</v>
      </c>
      <c r="C136" s="1" t="s">
        <v>132</v>
      </c>
      <c r="D136" s="1" t="s">
        <v>35</v>
      </c>
      <c r="E136" s="1" t="s">
        <v>36</v>
      </c>
      <c r="F136" s="1">
        <v>197240.571540303</v>
      </c>
    </row>
    <row r="137" spans="1:6" ht="14.25" customHeight="1" x14ac:dyDescent="0.3">
      <c r="A137" s="1">
        <v>48045</v>
      </c>
      <c r="B137" s="1" t="s">
        <v>7</v>
      </c>
      <c r="C137" s="1" t="s">
        <v>133</v>
      </c>
      <c r="D137" s="1" t="s">
        <v>12</v>
      </c>
      <c r="E137" s="1" t="s">
        <v>16</v>
      </c>
      <c r="F137" s="1">
        <v>262800.31000735197</v>
      </c>
    </row>
    <row r="138" spans="1:6" ht="14.25" customHeight="1" x14ac:dyDescent="0.3">
      <c r="A138" s="1">
        <v>48141</v>
      </c>
      <c r="B138" s="1" t="s">
        <v>7</v>
      </c>
      <c r="C138" s="1" t="s">
        <v>134</v>
      </c>
      <c r="D138" s="1" t="s">
        <v>12</v>
      </c>
      <c r="E138" s="1" t="s">
        <v>13</v>
      </c>
      <c r="F138" s="1">
        <v>75069.759609815796</v>
      </c>
    </row>
    <row r="139" spans="1:6" ht="14.25" customHeight="1" x14ac:dyDescent="0.3">
      <c r="A139" s="1">
        <v>48390</v>
      </c>
      <c r="B139" s="1" t="s">
        <v>7</v>
      </c>
      <c r="C139" s="1" t="s">
        <v>135</v>
      </c>
      <c r="D139" s="1" t="s">
        <v>12</v>
      </c>
      <c r="E139" s="1" t="s">
        <v>40</v>
      </c>
      <c r="F139" s="1">
        <v>302948.456563538</v>
      </c>
    </row>
    <row r="140" spans="1:6" ht="14.25" customHeight="1" x14ac:dyDescent="0.3">
      <c r="A140" s="1">
        <v>48067</v>
      </c>
      <c r="B140" s="1" t="s">
        <v>7</v>
      </c>
      <c r="C140" s="1" t="s">
        <v>82</v>
      </c>
      <c r="D140" s="1" t="s">
        <v>12</v>
      </c>
      <c r="E140" s="1" t="s">
        <v>40</v>
      </c>
      <c r="F140" s="1">
        <v>293897.57733795798</v>
      </c>
    </row>
    <row r="141" spans="1:6" ht="14.25" customHeight="1" x14ac:dyDescent="0.3">
      <c r="A141" s="1">
        <v>49315</v>
      </c>
      <c r="B141" s="1" t="s">
        <v>7</v>
      </c>
      <c r="C141" s="1" t="s">
        <v>136</v>
      </c>
      <c r="D141" s="1" t="s">
        <v>32</v>
      </c>
      <c r="E141" s="1" t="s">
        <v>52</v>
      </c>
      <c r="F141" s="1">
        <v>413119.60673748399</v>
      </c>
    </row>
    <row r="142" spans="1:6" ht="14.25" customHeight="1" x14ac:dyDescent="0.3">
      <c r="A142" s="1">
        <v>48204</v>
      </c>
      <c r="B142" s="1" t="s">
        <v>7</v>
      </c>
      <c r="C142" s="1" t="s">
        <v>14</v>
      </c>
      <c r="D142" s="1" t="s">
        <v>12</v>
      </c>
      <c r="E142" s="1" t="s">
        <v>13</v>
      </c>
      <c r="F142" s="1">
        <v>41610.708178330802</v>
      </c>
    </row>
    <row r="143" spans="1:6" ht="14.25" customHeight="1" x14ac:dyDescent="0.3">
      <c r="A143" s="1">
        <v>48335</v>
      </c>
      <c r="B143" s="1" t="s">
        <v>7</v>
      </c>
      <c r="C143" s="1" t="s">
        <v>137</v>
      </c>
      <c r="D143" s="1" t="s">
        <v>12</v>
      </c>
      <c r="E143" s="1" t="s">
        <v>40</v>
      </c>
      <c r="F143" s="1">
        <v>388811.01839375898</v>
      </c>
    </row>
    <row r="144" spans="1:6" ht="14.25" customHeight="1" x14ac:dyDescent="0.3">
      <c r="A144" s="1">
        <v>48203</v>
      </c>
      <c r="B144" s="1" t="s">
        <v>7</v>
      </c>
      <c r="C144" s="1" t="s">
        <v>14</v>
      </c>
      <c r="D144" s="1" t="s">
        <v>12</v>
      </c>
      <c r="E144" s="1" t="s">
        <v>13</v>
      </c>
      <c r="F144" s="1">
        <v>49435.481001770801</v>
      </c>
    </row>
    <row r="145" spans="1:6" ht="14.25" customHeight="1" x14ac:dyDescent="0.3">
      <c r="A145" s="1">
        <v>48167</v>
      </c>
      <c r="B145" s="1" t="s">
        <v>7</v>
      </c>
      <c r="C145" s="1" t="s">
        <v>138</v>
      </c>
      <c r="D145" s="1" t="s">
        <v>12</v>
      </c>
      <c r="E145" s="1" t="s">
        <v>40</v>
      </c>
      <c r="F145" s="1">
        <v>486499.458049462</v>
      </c>
    </row>
    <row r="146" spans="1:6" ht="14.25" customHeight="1" x14ac:dyDescent="0.3">
      <c r="A146" s="1">
        <v>48346</v>
      </c>
      <c r="B146" s="1" t="s">
        <v>7</v>
      </c>
      <c r="C146" s="1" t="s">
        <v>139</v>
      </c>
      <c r="D146" s="1" t="s">
        <v>12</v>
      </c>
      <c r="E146" s="1" t="s">
        <v>40</v>
      </c>
      <c r="F146" s="1">
        <v>307776.68297754898</v>
      </c>
    </row>
    <row r="147" spans="1:6" ht="14.25" customHeight="1" x14ac:dyDescent="0.3">
      <c r="A147" s="1">
        <v>48326</v>
      </c>
      <c r="B147" s="1" t="s">
        <v>7</v>
      </c>
      <c r="C147" s="1" t="s">
        <v>140</v>
      </c>
      <c r="D147" s="1" t="s">
        <v>12</v>
      </c>
      <c r="E147" s="1" t="s">
        <v>40</v>
      </c>
      <c r="F147" s="1">
        <v>234600.73221117401</v>
      </c>
    </row>
    <row r="148" spans="1:6" ht="14.25" customHeight="1" x14ac:dyDescent="0.3">
      <c r="A148" s="1">
        <v>48036</v>
      </c>
      <c r="B148" s="1" t="s">
        <v>7</v>
      </c>
      <c r="C148" s="1" t="s">
        <v>49</v>
      </c>
      <c r="D148" s="1" t="s">
        <v>12</v>
      </c>
      <c r="E148" s="1" t="s">
        <v>16</v>
      </c>
      <c r="F148" s="1">
        <v>256153.57910186099</v>
      </c>
    </row>
    <row r="149" spans="1:6" ht="14.25" customHeight="1" x14ac:dyDescent="0.3">
      <c r="A149" s="1">
        <v>48348</v>
      </c>
      <c r="B149" s="1" t="s">
        <v>7</v>
      </c>
      <c r="C149" s="1" t="s">
        <v>139</v>
      </c>
      <c r="D149" s="1" t="s">
        <v>12</v>
      </c>
      <c r="E149" s="1" t="s">
        <v>40</v>
      </c>
      <c r="F149" s="1">
        <v>440096.325999266</v>
      </c>
    </row>
    <row r="150" spans="1:6" ht="14.25" customHeight="1" x14ac:dyDescent="0.3">
      <c r="A150" s="1">
        <v>48329</v>
      </c>
      <c r="B150" s="1" t="s">
        <v>7</v>
      </c>
      <c r="C150" s="1" t="s">
        <v>122</v>
      </c>
      <c r="D150" s="1" t="s">
        <v>12</v>
      </c>
      <c r="E150" s="1" t="s">
        <v>40</v>
      </c>
      <c r="F150" s="1">
        <v>252812.15401713501</v>
      </c>
    </row>
    <row r="151" spans="1:6" ht="14.25" customHeight="1" x14ac:dyDescent="0.3">
      <c r="A151" s="1">
        <v>49085</v>
      </c>
      <c r="B151" s="1" t="s">
        <v>7</v>
      </c>
      <c r="C151" s="1" t="s">
        <v>141</v>
      </c>
      <c r="D151" s="1" t="s">
        <v>69</v>
      </c>
      <c r="E151" s="1" t="s">
        <v>70</v>
      </c>
      <c r="F151" s="1">
        <v>283947.47968695499</v>
      </c>
    </row>
    <row r="152" spans="1:6" ht="14.25" customHeight="1" x14ac:dyDescent="0.3">
      <c r="A152" s="1">
        <v>49036</v>
      </c>
      <c r="B152" s="1" t="s">
        <v>7</v>
      </c>
      <c r="C152" s="1" t="s">
        <v>142</v>
      </c>
      <c r="D152" s="1" t="s">
        <v>143</v>
      </c>
      <c r="E152" s="1" t="s">
        <v>144</v>
      </c>
      <c r="F152" s="1">
        <v>161602.47097051601</v>
      </c>
    </row>
    <row r="153" spans="1:6" ht="14.25" customHeight="1" x14ac:dyDescent="0.3">
      <c r="A153" s="1">
        <v>49684</v>
      </c>
      <c r="B153" s="1" t="s">
        <v>7</v>
      </c>
      <c r="C153" s="1" t="s">
        <v>145</v>
      </c>
      <c r="D153" s="1" t="s">
        <v>146</v>
      </c>
      <c r="E153" s="1" t="s">
        <v>147</v>
      </c>
      <c r="F153" s="1">
        <v>413324.58161841403</v>
      </c>
    </row>
    <row r="154" spans="1:6" ht="14.25" customHeight="1" x14ac:dyDescent="0.3">
      <c r="A154" s="1">
        <v>48220</v>
      </c>
      <c r="B154" s="1" t="s">
        <v>7</v>
      </c>
      <c r="C154" s="1" t="s">
        <v>148</v>
      </c>
      <c r="D154" s="1" t="s">
        <v>12</v>
      </c>
      <c r="E154" s="1" t="s">
        <v>40</v>
      </c>
      <c r="F154" s="1">
        <v>219801.539191919</v>
      </c>
    </row>
    <row r="155" spans="1:6" ht="14.25" customHeight="1" x14ac:dyDescent="0.3">
      <c r="A155" s="1">
        <v>49301</v>
      </c>
      <c r="B155" s="1" t="s">
        <v>7</v>
      </c>
      <c r="C155" s="1" t="s">
        <v>149</v>
      </c>
      <c r="D155" s="1" t="s">
        <v>32</v>
      </c>
      <c r="E155" s="1" t="s">
        <v>52</v>
      </c>
      <c r="F155" s="1">
        <v>520472.19215994398</v>
      </c>
    </row>
    <row r="156" spans="1:6" ht="14.25" customHeight="1" x14ac:dyDescent="0.3">
      <c r="A156" s="1">
        <v>48375</v>
      </c>
      <c r="B156" s="1" t="s">
        <v>7</v>
      </c>
      <c r="C156" s="1" t="s">
        <v>150</v>
      </c>
      <c r="D156" s="1" t="s">
        <v>12</v>
      </c>
      <c r="E156" s="1" t="s">
        <v>40</v>
      </c>
      <c r="F156" s="1">
        <v>395862.68001912697</v>
      </c>
    </row>
    <row r="157" spans="1:6" ht="14.25" customHeight="1" x14ac:dyDescent="0.3">
      <c r="A157" s="1">
        <v>48083</v>
      </c>
      <c r="B157" s="1" t="s">
        <v>7</v>
      </c>
      <c r="C157" s="1" t="s">
        <v>123</v>
      </c>
      <c r="D157" s="1" t="s">
        <v>12</v>
      </c>
      <c r="E157" s="1" t="s">
        <v>40</v>
      </c>
      <c r="F157" s="1">
        <v>305891.59250394598</v>
      </c>
    </row>
    <row r="158" spans="1:6" ht="14.25" customHeight="1" x14ac:dyDescent="0.3">
      <c r="A158" s="1">
        <v>49601</v>
      </c>
      <c r="B158" s="1" t="s">
        <v>7</v>
      </c>
      <c r="C158" s="1" t="s">
        <v>151</v>
      </c>
      <c r="D158" s="1" t="s">
        <v>152</v>
      </c>
      <c r="E158" s="1" t="s">
        <v>153</v>
      </c>
      <c r="F158" s="1">
        <v>156030.47685511201</v>
      </c>
    </row>
    <row r="159" spans="1:6" ht="14.25" customHeight="1" x14ac:dyDescent="0.3">
      <c r="A159" s="1">
        <v>48327</v>
      </c>
      <c r="B159" s="1" t="s">
        <v>7</v>
      </c>
      <c r="C159" s="1" t="s">
        <v>122</v>
      </c>
      <c r="D159" s="1" t="s">
        <v>12</v>
      </c>
      <c r="E159" s="1" t="s">
        <v>40</v>
      </c>
      <c r="F159" s="1">
        <v>254170.248109162</v>
      </c>
    </row>
    <row r="160" spans="1:6" ht="14.25" customHeight="1" x14ac:dyDescent="0.3">
      <c r="A160" s="1">
        <v>48176</v>
      </c>
      <c r="B160" s="1" t="s">
        <v>7</v>
      </c>
      <c r="C160" s="1" t="s">
        <v>154</v>
      </c>
      <c r="D160" s="1" t="s">
        <v>9</v>
      </c>
      <c r="E160" s="1" t="s">
        <v>10</v>
      </c>
      <c r="F160" s="1">
        <v>415756.52668013598</v>
      </c>
    </row>
    <row r="161" spans="1:6" ht="14.25" customHeight="1" x14ac:dyDescent="0.3">
      <c r="A161" s="1">
        <v>49534</v>
      </c>
      <c r="B161" s="1" t="s">
        <v>7</v>
      </c>
      <c r="C161" s="1" t="s">
        <v>155</v>
      </c>
      <c r="D161" s="1" t="s">
        <v>32</v>
      </c>
      <c r="E161" s="1" t="s">
        <v>52</v>
      </c>
      <c r="F161" s="1">
        <v>320046.62909272598</v>
      </c>
    </row>
    <row r="162" spans="1:6" ht="14.25" customHeight="1" x14ac:dyDescent="0.3">
      <c r="A162" s="1">
        <v>48182</v>
      </c>
      <c r="B162" s="1" t="s">
        <v>7</v>
      </c>
      <c r="C162" s="1" t="s">
        <v>156</v>
      </c>
      <c r="D162" s="1" t="s">
        <v>114</v>
      </c>
      <c r="E162" s="1" t="s">
        <v>115</v>
      </c>
      <c r="F162" s="1">
        <v>233940.20025707301</v>
      </c>
    </row>
    <row r="163" spans="1:6" ht="14.25" customHeight="1" x14ac:dyDescent="0.3">
      <c r="A163" s="1">
        <v>48213</v>
      </c>
      <c r="B163" s="1" t="s">
        <v>7</v>
      </c>
      <c r="C163" s="1" t="s">
        <v>14</v>
      </c>
      <c r="D163" s="1" t="s">
        <v>12</v>
      </c>
      <c r="E163" s="1" t="s">
        <v>13</v>
      </c>
      <c r="F163" s="1">
        <v>36991.212940624901</v>
      </c>
    </row>
    <row r="164" spans="1:6" ht="14.25" customHeight="1" x14ac:dyDescent="0.3">
      <c r="A164" s="1">
        <v>48854</v>
      </c>
      <c r="B164" s="1" t="s">
        <v>7</v>
      </c>
      <c r="C164" s="1" t="s">
        <v>157</v>
      </c>
      <c r="D164" s="1" t="s">
        <v>19</v>
      </c>
      <c r="E164" s="1" t="s">
        <v>20</v>
      </c>
      <c r="F164" s="1">
        <v>240372.61238668201</v>
      </c>
    </row>
    <row r="165" spans="1:6" ht="14.25" customHeight="1" x14ac:dyDescent="0.3">
      <c r="A165" s="1">
        <v>48813</v>
      </c>
      <c r="B165" s="1" t="s">
        <v>7</v>
      </c>
      <c r="C165" s="1" t="s">
        <v>158</v>
      </c>
      <c r="D165" s="1" t="s">
        <v>19</v>
      </c>
      <c r="E165" s="1" t="s">
        <v>88</v>
      </c>
      <c r="F165" s="1">
        <v>196187.25492301999</v>
      </c>
    </row>
    <row r="166" spans="1:6" ht="14.25" customHeight="1" x14ac:dyDescent="0.3">
      <c r="A166" s="1">
        <v>48214</v>
      </c>
      <c r="B166" s="1" t="s">
        <v>7</v>
      </c>
      <c r="C166" s="1" t="s">
        <v>14</v>
      </c>
      <c r="D166" s="1" t="s">
        <v>12</v>
      </c>
      <c r="E166" s="1" t="s">
        <v>13</v>
      </c>
      <c r="F166" s="1">
        <v>59504.007791886099</v>
      </c>
    </row>
    <row r="167" spans="1:6" ht="14.25" customHeight="1" x14ac:dyDescent="0.3">
      <c r="A167" s="1">
        <v>49445</v>
      </c>
      <c r="B167" s="1" t="s">
        <v>7</v>
      </c>
      <c r="C167" s="1" t="s">
        <v>42</v>
      </c>
      <c r="D167" s="1" t="s">
        <v>43</v>
      </c>
      <c r="E167" s="1" t="s">
        <v>44</v>
      </c>
      <c r="F167" s="1">
        <v>236679.53693707599</v>
      </c>
    </row>
    <row r="168" spans="1:6" ht="14.25" customHeight="1" x14ac:dyDescent="0.3">
      <c r="A168" s="1">
        <v>49316</v>
      </c>
      <c r="B168" s="1" t="s">
        <v>7</v>
      </c>
      <c r="C168" s="1" t="s">
        <v>159</v>
      </c>
      <c r="D168" s="1" t="s">
        <v>32</v>
      </c>
      <c r="E168" s="1" t="s">
        <v>52</v>
      </c>
      <c r="F168" s="1">
        <v>388737.88518313097</v>
      </c>
    </row>
    <row r="169" spans="1:6" ht="14.25" customHeight="1" x14ac:dyDescent="0.3">
      <c r="A169" s="1">
        <v>48864</v>
      </c>
      <c r="B169" s="1" t="s">
        <v>7</v>
      </c>
      <c r="C169" s="1" t="s">
        <v>160</v>
      </c>
      <c r="D169" s="1" t="s">
        <v>19</v>
      </c>
      <c r="E169" s="1" t="s">
        <v>20</v>
      </c>
      <c r="F169" s="1">
        <v>363276.40420283302</v>
      </c>
    </row>
    <row r="170" spans="1:6" ht="14.25" customHeight="1" x14ac:dyDescent="0.3">
      <c r="A170" s="1">
        <v>48442</v>
      </c>
      <c r="B170" s="1" t="s">
        <v>7</v>
      </c>
      <c r="C170" s="1" t="s">
        <v>161</v>
      </c>
      <c r="D170" s="1" t="s">
        <v>12</v>
      </c>
      <c r="E170" s="1" t="s">
        <v>40</v>
      </c>
      <c r="F170" s="1">
        <v>282240.38859438</v>
      </c>
    </row>
    <row r="171" spans="1:6" ht="14.25" customHeight="1" x14ac:dyDescent="0.3">
      <c r="A171" s="1">
        <v>49002</v>
      </c>
      <c r="B171" s="1" t="s">
        <v>7</v>
      </c>
      <c r="C171" s="1" t="s">
        <v>106</v>
      </c>
      <c r="D171" s="1" t="s">
        <v>46</v>
      </c>
      <c r="E171" s="1" t="s">
        <v>47</v>
      </c>
      <c r="F171" s="1">
        <v>231543.75511468199</v>
      </c>
    </row>
    <row r="172" spans="1:6" ht="14.25" customHeight="1" x14ac:dyDescent="0.3">
      <c r="A172" s="1">
        <v>49707</v>
      </c>
      <c r="B172" s="1" t="s">
        <v>7</v>
      </c>
      <c r="C172" s="1" t="s">
        <v>162</v>
      </c>
      <c r="D172" s="1" t="s">
        <v>163</v>
      </c>
      <c r="E172" s="1" t="s">
        <v>164</v>
      </c>
      <c r="F172" s="1">
        <v>125935.414493481</v>
      </c>
    </row>
    <row r="173" spans="1:6" ht="14.25" customHeight="1" x14ac:dyDescent="0.3">
      <c r="A173" s="1">
        <v>48088</v>
      </c>
      <c r="B173" s="1" t="s">
        <v>7</v>
      </c>
      <c r="C173" s="1" t="s">
        <v>95</v>
      </c>
      <c r="D173" s="1" t="s">
        <v>12</v>
      </c>
      <c r="E173" s="1" t="s">
        <v>16</v>
      </c>
      <c r="F173" s="1">
        <v>217547.030761531</v>
      </c>
    </row>
    <row r="174" spans="1:6" ht="14.25" customHeight="1" x14ac:dyDescent="0.3">
      <c r="A174" s="1">
        <v>48075</v>
      </c>
      <c r="B174" s="1" t="s">
        <v>7</v>
      </c>
      <c r="C174" s="1" t="s">
        <v>165</v>
      </c>
      <c r="D174" s="1" t="s">
        <v>12</v>
      </c>
      <c r="E174" s="1" t="s">
        <v>40</v>
      </c>
      <c r="F174" s="1">
        <v>235685.390410814</v>
      </c>
    </row>
    <row r="175" spans="1:6" ht="14.25" customHeight="1" x14ac:dyDescent="0.3">
      <c r="A175" s="1">
        <v>48080</v>
      </c>
      <c r="B175" s="1" t="s">
        <v>7</v>
      </c>
      <c r="C175" s="1" t="s">
        <v>166</v>
      </c>
      <c r="D175" s="1" t="s">
        <v>12</v>
      </c>
      <c r="E175" s="1" t="s">
        <v>16</v>
      </c>
      <c r="F175" s="1">
        <v>192898.21661341999</v>
      </c>
    </row>
    <row r="176" spans="1:6" ht="14.25" customHeight="1" x14ac:dyDescent="0.3">
      <c r="A176" s="1">
        <v>48473</v>
      </c>
      <c r="B176" s="1" t="s">
        <v>7</v>
      </c>
      <c r="C176" s="1" t="s">
        <v>167</v>
      </c>
      <c r="D176" s="1" t="s">
        <v>35</v>
      </c>
      <c r="E176" s="1" t="s">
        <v>36</v>
      </c>
      <c r="F176" s="1">
        <v>206023.921375067</v>
      </c>
    </row>
    <row r="177" spans="1:6" ht="14.25" customHeight="1" x14ac:dyDescent="0.3">
      <c r="A177" s="1">
        <v>48331</v>
      </c>
      <c r="B177" s="1" t="s">
        <v>7</v>
      </c>
      <c r="C177" s="1" t="s">
        <v>129</v>
      </c>
      <c r="D177" s="1" t="s">
        <v>12</v>
      </c>
      <c r="E177" s="1" t="s">
        <v>40</v>
      </c>
      <c r="F177" s="1">
        <v>413023.466462554</v>
      </c>
    </row>
    <row r="178" spans="1:6" ht="14.25" customHeight="1" x14ac:dyDescent="0.3">
      <c r="A178" s="1">
        <v>49512</v>
      </c>
      <c r="B178" s="1" t="s">
        <v>7</v>
      </c>
      <c r="C178" s="1" t="s">
        <v>51</v>
      </c>
      <c r="D178" s="1" t="s">
        <v>32</v>
      </c>
      <c r="E178" s="1" t="s">
        <v>52</v>
      </c>
      <c r="F178" s="1">
        <v>331594.73649043398</v>
      </c>
    </row>
    <row r="179" spans="1:6" ht="14.25" customHeight="1" x14ac:dyDescent="0.3">
      <c r="A179" s="1">
        <v>49017</v>
      </c>
      <c r="B179" s="1" t="s">
        <v>7</v>
      </c>
      <c r="C179" s="1" t="s">
        <v>117</v>
      </c>
      <c r="D179" s="1" t="s">
        <v>118</v>
      </c>
      <c r="E179" s="1" t="s">
        <v>119</v>
      </c>
      <c r="F179" s="1">
        <v>149901.67817234201</v>
      </c>
    </row>
    <row r="180" spans="1:6" ht="14.25" customHeight="1" x14ac:dyDescent="0.3">
      <c r="A180" s="1">
        <v>48081</v>
      </c>
      <c r="B180" s="1" t="s">
        <v>7</v>
      </c>
      <c r="C180" s="1" t="s">
        <v>166</v>
      </c>
      <c r="D180" s="1" t="s">
        <v>12</v>
      </c>
      <c r="E180" s="1" t="s">
        <v>16</v>
      </c>
      <c r="F180" s="1">
        <v>206290.8513791</v>
      </c>
    </row>
    <row r="181" spans="1:6" ht="14.25" customHeight="1" x14ac:dyDescent="0.3">
      <c r="A181" s="1">
        <v>48009</v>
      </c>
      <c r="B181" s="1" t="s">
        <v>7</v>
      </c>
      <c r="C181" s="1" t="s">
        <v>168</v>
      </c>
      <c r="D181" s="1" t="s">
        <v>12</v>
      </c>
      <c r="E181" s="1" t="s">
        <v>40</v>
      </c>
      <c r="F181" s="1">
        <v>663312.90064347198</v>
      </c>
    </row>
    <row r="182" spans="1:6" ht="14.25" customHeight="1" x14ac:dyDescent="0.3">
      <c r="A182" s="1">
        <v>48207</v>
      </c>
      <c r="B182" s="1" t="s">
        <v>7</v>
      </c>
      <c r="C182" s="1" t="s">
        <v>14</v>
      </c>
      <c r="D182" s="1" t="s">
        <v>12</v>
      </c>
      <c r="E182" s="1" t="s">
        <v>13</v>
      </c>
      <c r="F182" s="1">
        <v>82064.386607089094</v>
      </c>
    </row>
    <row r="183" spans="1:6" ht="14.25" customHeight="1" x14ac:dyDescent="0.3">
      <c r="A183" s="1">
        <v>48420</v>
      </c>
      <c r="B183" s="1" t="s">
        <v>7</v>
      </c>
      <c r="C183" s="1" t="s">
        <v>169</v>
      </c>
      <c r="D183" s="1" t="s">
        <v>35</v>
      </c>
      <c r="E183" s="1" t="s">
        <v>36</v>
      </c>
      <c r="F183" s="1">
        <v>169428.770395831</v>
      </c>
    </row>
    <row r="184" spans="1:6" ht="14.25" customHeight="1" x14ac:dyDescent="0.3">
      <c r="A184" s="1">
        <v>49014</v>
      </c>
      <c r="B184" s="1" t="s">
        <v>7</v>
      </c>
      <c r="C184" s="1" t="s">
        <v>117</v>
      </c>
      <c r="D184" s="1" t="s">
        <v>118</v>
      </c>
      <c r="E184" s="1" t="s">
        <v>119</v>
      </c>
      <c r="F184" s="1">
        <v>151255.35288066001</v>
      </c>
    </row>
    <row r="185" spans="1:6" ht="14.25" customHeight="1" x14ac:dyDescent="0.3">
      <c r="A185" s="1">
        <v>48168</v>
      </c>
      <c r="B185" s="1" t="s">
        <v>7</v>
      </c>
      <c r="C185" s="1" t="s">
        <v>138</v>
      </c>
      <c r="D185" s="1" t="s">
        <v>12</v>
      </c>
      <c r="E185" s="1" t="s">
        <v>13</v>
      </c>
      <c r="F185" s="1">
        <v>630921.88674985699</v>
      </c>
    </row>
    <row r="186" spans="1:6" ht="14.25" customHeight="1" x14ac:dyDescent="0.3">
      <c r="A186" s="1">
        <v>48505</v>
      </c>
      <c r="B186" s="1" t="s">
        <v>7</v>
      </c>
      <c r="C186" s="1" t="s">
        <v>99</v>
      </c>
      <c r="D186" s="1" t="s">
        <v>35</v>
      </c>
      <c r="E186" s="1" t="s">
        <v>36</v>
      </c>
      <c r="F186" s="1">
        <v>23206.3251181501</v>
      </c>
    </row>
    <row r="187" spans="1:6" ht="14.25" customHeight="1" x14ac:dyDescent="0.3">
      <c r="A187" s="1">
        <v>48169</v>
      </c>
      <c r="B187" s="1" t="s">
        <v>7</v>
      </c>
      <c r="C187" s="1" t="s">
        <v>170</v>
      </c>
      <c r="D187" s="1" t="s">
        <v>12</v>
      </c>
      <c r="E187" s="1" t="s">
        <v>38</v>
      </c>
      <c r="F187" s="1">
        <v>336986.49825439003</v>
      </c>
    </row>
    <row r="188" spans="1:6" ht="14.25" customHeight="1" x14ac:dyDescent="0.3">
      <c r="A188" s="1">
        <v>48314</v>
      </c>
      <c r="B188" s="1" t="s">
        <v>7</v>
      </c>
      <c r="C188" s="1" t="s">
        <v>41</v>
      </c>
      <c r="D188" s="1" t="s">
        <v>12</v>
      </c>
      <c r="E188" s="1" t="s">
        <v>16</v>
      </c>
      <c r="F188" s="1">
        <v>370694.83274084399</v>
      </c>
    </row>
    <row r="189" spans="1:6" ht="14.25" customHeight="1" x14ac:dyDescent="0.3">
      <c r="A189" s="1">
        <v>49001</v>
      </c>
      <c r="B189" s="1" t="s">
        <v>7</v>
      </c>
      <c r="C189" s="1" t="s">
        <v>45</v>
      </c>
      <c r="D189" s="1" t="s">
        <v>46</v>
      </c>
      <c r="E189" s="1" t="s">
        <v>47</v>
      </c>
      <c r="F189" s="1">
        <v>136890.27760051901</v>
      </c>
    </row>
    <row r="190" spans="1:6" ht="14.25" customHeight="1" x14ac:dyDescent="0.3">
      <c r="A190" s="1">
        <v>48114</v>
      </c>
      <c r="B190" s="1" t="s">
        <v>7</v>
      </c>
      <c r="C190" s="1" t="s">
        <v>112</v>
      </c>
      <c r="D190" s="1" t="s">
        <v>12</v>
      </c>
      <c r="E190" s="1" t="s">
        <v>38</v>
      </c>
      <c r="F190" s="1">
        <v>415067.02856455703</v>
      </c>
    </row>
    <row r="191" spans="1:6" ht="14.25" customHeight="1" x14ac:dyDescent="0.3">
      <c r="A191" s="1">
        <v>49037</v>
      </c>
      <c r="B191" s="1" t="s">
        <v>7</v>
      </c>
      <c r="C191" s="1" t="s">
        <v>117</v>
      </c>
      <c r="D191" s="1" t="s">
        <v>118</v>
      </c>
      <c r="E191" s="1" t="s">
        <v>119</v>
      </c>
      <c r="F191" s="1">
        <v>88665.296555638997</v>
      </c>
    </row>
    <row r="192" spans="1:6" ht="14.25" customHeight="1" x14ac:dyDescent="0.3">
      <c r="A192" s="1">
        <v>48842</v>
      </c>
      <c r="B192" s="1" t="s">
        <v>7</v>
      </c>
      <c r="C192" s="1" t="s">
        <v>171</v>
      </c>
      <c r="D192" s="1" t="s">
        <v>19</v>
      </c>
      <c r="E192" s="1" t="s">
        <v>20</v>
      </c>
      <c r="F192" s="1">
        <v>225292.05231858301</v>
      </c>
    </row>
    <row r="193" spans="1:6" ht="14.25" customHeight="1" x14ac:dyDescent="0.3">
      <c r="A193" s="1">
        <v>48125</v>
      </c>
      <c r="B193" s="1" t="s">
        <v>7</v>
      </c>
      <c r="C193" s="1" t="s">
        <v>73</v>
      </c>
      <c r="D193" s="1" t="s">
        <v>12</v>
      </c>
      <c r="E193" s="1" t="s">
        <v>13</v>
      </c>
      <c r="F193" s="1">
        <v>132372.96804903899</v>
      </c>
    </row>
    <row r="194" spans="1:6" ht="14.25" customHeight="1" x14ac:dyDescent="0.3">
      <c r="A194" s="1">
        <v>49307</v>
      </c>
      <c r="B194" s="1" t="s">
        <v>7</v>
      </c>
      <c r="C194" s="1" t="s">
        <v>172</v>
      </c>
      <c r="D194" s="1" t="s">
        <v>173</v>
      </c>
      <c r="E194" s="1" t="s">
        <v>174</v>
      </c>
      <c r="F194" s="1">
        <v>175275.062247697</v>
      </c>
    </row>
    <row r="195" spans="1:6" ht="14.25" customHeight="1" x14ac:dyDescent="0.3">
      <c r="A195" s="1">
        <v>48134</v>
      </c>
      <c r="B195" s="1" t="s">
        <v>7</v>
      </c>
      <c r="C195" s="1" t="s">
        <v>175</v>
      </c>
      <c r="D195" s="1" t="s">
        <v>12</v>
      </c>
      <c r="E195" s="1" t="s">
        <v>13</v>
      </c>
      <c r="F195" s="1">
        <v>278667.383958889</v>
      </c>
    </row>
    <row r="196" spans="1:6" ht="14.25" customHeight="1" x14ac:dyDescent="0.3">
      <c r="A196" s="1">
        <v>49686</v>
      </c>
      <c r="B196" s="1" t="s">
        <v>7</v>
      </c>
      <c r="C196" s="1" t="s">
        <v>145</v>
      </c>
      <c r="D196" s="1" t="s">
        <v>146</v>
      </c>
      <c r="E196" s="1" t="s">
        <v>147</v>
      </c>
      <c r="F196" s="1">
        <v>406651.76095912699</v>
      </c>
    </row>
    <row r="197" spans="1:6" ht="14.25" customHeight="1" x14ac:dyDescent="0.3">
      <c r="A197" s="1">
        <v>48094</v>
      </c>
      <c r="B197" s="1" t="s">
        <v>7</v>
      </c>
      <c r="C197" s="1" t="s">
        <v>176</v>
      </c>
      <c r="D197" s="1" t="s">
        <v>12</v>
      </c>
      <c r="E197" s="1" t="s">
        <v>16</v>
      </c>
      <c r="F197" s="1">
        <v>411365.657764551</v>
      </c>
    </row>
    <row r="198" spans="1:6" ht="14.25" customHeight="1" x14ac:dyDescent="0.3">
      <c r="A198" s="1">
        <v>49202</v>
      </c>
      <c r="B198" s="1" t="s">
        <v>7</v>
      </c>
      <c r="C198" s="1" t="s">
        <v>26</v>
      </c>
      <c r="D198" s="1" t="s">
        <v>27</v>
      </c>
      <c r="E198" s="1" t="s">
        <v>28</v>
      </c>
      <c r="F198" s="1">
        <v>107252.207854386</v>
      </c>
    </row>
    <row r="199" spans="1:6" ht="14.25" customHeight="1" x14ac:dyDescent="0.3">
      <c r="A199" s="1">
        <v>49008</v>
      </c>
      <c r="B199" s="1" t="s">
        <v>7</v>
      </c>
      <c r="C199" s="1" t="s">
        <v>45</v>
      </c>
      <c r="D199" s="1" t="s">
        <v>46</v>
      </c>
      <c r="E199" s="1" t="s">
        <v>47</v>
      </c>
      <c r="F199" s="1">
        <v>218531.38022832901</v>
      </c>
    </row>
    <row r="200" spans="1:6" ht="14.25" customHeight="1" x14ac:dyDescent="0.3">
      <c r="A200" s="1">
        <v>48846</v>
      </c>
      <c r="B200" s="1" t="s">
        <v>7</v>
      </c>
      <c r="C200" s="1" t="s">
        <v>177</v>
      </c>
      <c r="D200" s="1" t="s">
        <v>32</v>
      </c>
      <c r="E200" s="1" t="s">
        <v>178</v>
      </c>
      <c r="F200" s="1">
        <v>171508.10538367199</v>
      </c>
    </row>
    <row r="201" spans="1:6" ht="14.25" customHeight="1" x14ac:dyDescent="0.3">
      <c r="A201" s="1">
        <v>49456</v>
      </c>
      <c r="B201" s="1" t="s">
        <v>7</v>
      </c>
      <c r="C201" s="1" t="s">
        <v>179</v>
      </c>
      <c r="D201" s="1" t="s">
        <v>32</v>
      </c>
      <c r="E201" s="1" t="s">
        <v>33</v>
      </c>
      <c r="F201" s="1">
        <v>347797.80202394101</v>
      </c>
    </row>
    <row r="202" spans="1:6" ht="14.25" customHeight="1" x14ac:dyDescent="0.3">
      <c r="A202" s="1">
        <v>48837</v>
      </c>
      <c r="B202" s="1" t="s">
        <v>7</v>
      </c>
      <c r="C202" s="1" t="s">
        <v>180</v>
      </c>
      <c r="D202" s="1" t="s">
        <v>19</v>
      </c>
      <c r="E202" s="1" t="s">
        <v>88</v>
      </c>
      <c r="F202" s="1">
        <v>262079.82266900601</v>
      </c>
    </row>
    <row r="203" spans="1:6" ht="14.25" customHeight="1" x14ac:dyDescent="0.3">
      <c r="A203" s="1">
        <v>48098</v>
      </c>
      <c r="B203" s="1" t="s">
        <v>7</v>
      </c>
      <c r="C203" s="1" t="s">
        <v>123</v>
      </c>
      <c r="D203" s="1" t="s">
        <v>12</v>
      </c>
      <c r="E203" s="1" t="s">
        <v>40</v>
      </c>
      <c r="F203" s="1">
        <v>514818.76601203502</v>
      </c>
    </row>
    <row r="204" spans="1:6" ht="14.25" customHeight="1" x14ac:dyDescent="0.3">
      <c r="A204" s="1">
        <v>49735</v>
      </c>
      <c r="B204" s="1" t="s">
        <v>7</v>
      </c>
      <c r="C204" s="1" t="s">
        <v>181</v>
      </c>
      <c r="E204" s="1" t="s">
        <v>182</v>
      </c>
      <c r="F204" s="1">
        <v>193463.87176058599</v>
      </c>
    </row>
    <row r="205" spans="1:6" ht="14.25" customHeight="1" x14ac:dyDescent="0.3">
      <c r="A205" s="1">
        <v>48334</v>
      </c>
      <c r="B205" s="1" t="s">
        <v>7</v>
      </c>
      <c r="C205" s="1" t="s">
        <v>129</v>
      </c>
      <c r="D205" s="1" t="s">
        <v>12</v>
      </c>
      <c r="E205" s="1" t="s">
        <v>40</v>
      </c>
      <c r="F205" s="1">
        <v>343908.519542664</v>
      </c>
    </row>
    <row r="206" spans="1:6" ht="14.25" customHeight="1" x14ac:dyDescent="0.3">
      <c r="A206" s="1">
        <v>49010</v>
      </c>
      <c r="B206" s="1" t="s">
        <v>7</v>
      </c>
      <c r="C206" s="1" t="s">
        <v>183</v>
      </c>
      <c r="D206" s="1" t="s">
        <v>184</v>
      </c>
      <c r="E206" s="1" t="s">
        <v>185</v>
      </c>
      <c r="F206" s="1">
        <v>207460.818376788</v>
      </c>
    </row>
    <row r="207" spans="1:6" ht="14.25" customHeight="1" x14ac:dyDescent="0.3">
      <c r="A207" s="1">
        <v>49091</v>
      </c>
      <c r="B207" s="1" t="s">
        <v>7</v>
      </c>
      <c r="C207" s="1" t="s">
        <v>186</v>
      </c>
      <c r="D207" s="1" t="s">
        <v>187</v>
      </c>
      <c r="E207" s="1" t="s">
        <v>188</v>
      </c>
      <c r="F207" s="1">
        <v>166730.85472840999</v>
      </c>
    </row>
    <row r="208" spans="1:6" ht="14.25" customHeight="1" x14ac:dyDescent="0.3">
      <c r="A208" s="1">
        <v>48879</v>
      </c>
      <c r="B208" s="1" t="s">
        <v>7</v>
      </c>
      <c r="C208" s="1" t="s">
        <v>189</v>
      </c>
      <c r="D208" s="1" t="s">
        <v>19</v>
      </c>
      <c r="E208" s="1" t="s">
        <v>190</v>
      </c>
      <c r="F208" s="1">
        <v>221991.089235844</v>
      </c>
    </row>
    <row r="209" spans="1:6" ht="14.25" customHeight="1" x14ac:dyDescent="0.3">
      <c r="A209" s="1">
        <v>49058</v>
      </c>
      <c r="B209" s="1" t="s">
        <v>7</v>
      </c>
      <c r="C209" s="1" t="s">
        <v>191</v>
      </c>
      <c r="E209" s="1" t="s">
        <v>192</v>
      </c>
      <c r="F209" s="1">
        <v>201895.834333356</v>
      </c>
    </row>
    <row r="210" spans="1:6" ht="14.25" customHeight="1" x14ac:dyDescent="0.3">
      <c r="A210" s="1">
        <v>48386</v>
      </c>
      <c r="B210" s="1" t="s">
        <v>7</v>
      </c>
      <c r="C210" s="1" t="s">
        <v>193</v>
      </c>
      <c r="D210" s="1" t="s">
        <v>12</v>
      </c>
      <c r="E210" s="1" t="s">
        <v>40</v>
      </c>
      <c r="F210" s="1">
        <v>326941.01287789602</v>
      </c>
    </row>
    <row r="211" spans="1:6" ht="14.25" customHeight="1" x14ac:dyDescent="0.3">
      <c r="A211" s="1">
        <v>49319</v>
      </c>
      <c r="B211" s="1" t="s">
        <v>7</v>
      </c>
      <c r="C211" s="1" t="s">
        <v>194</v>
      </c>
      <c r="D211" s="1" t="s">
        <v>32</v>
      </c>
      <c r="E211" s="1" t="s">
        <v>52</v>
      </c>
      <c r="F211" s="1">
        <v>276611.74932550598</v>
      </c>
    </row>
    <row r="212" spans="1:6" ht="14.25" customHeight="1" x14ac:dyDescent="0.3">
      <c r="A212" s="1">
        <v>48341</v>
      </c>
      <c r="B212" s="1" t="s">
        <v>7</v>
      </c>
      <c r="C212" s="1" t="s">
        <v>128</v>
      </c>
      <c r="D212" s="1" t="s">
        <v>12</v>
      </c>
      <c r="E212" s="1" t="s">
        <v>40</v>
      </c>
      <c r="F212" s="1">
        <v>118674.46086074</v>
      </c>
    </row>
    <row r="213" spans="1:6" ht="14.25" customHeight="1" x14ac:dyDescent="0.3">
      <c r="A213" s="1">
        <v>48532</v>
      </c>
      <c r="B213" s="1" t="s">
        <v>7</v>
      </c>
      <c r="C213" s="1" t="s">
        <v>99</v>
      </c>
      <c r="D213" s="1" t="s">
        <v>35</v>
      </c>
      <c r="E213" s="1" t="s">
        <v>36</v>
      </c>
      <c r="F213" s="1">
        <v>140021.14464823299</v>
      </c>
    </row>
    <row r="214" spans="1:6" ht="14.25" customHeight="1" x14ac:dyDescent="0.3">
      <c r="A214" s="1">
        <v>48838</v>
      </c>
      <c r="B214" s="1" t="s">
        <v>7</v>
      </c>
      <c r="C214" s="1" t="s">
        <v>195</v>
      </c>
      <c r="D214" s="1" t="s">
        <v>32</v>
      </c>
      <c r="E214" s="1" t="s">
        <v>196</v>
      </c>
      <c r="F214" s="1">
        <v>204671.25857470199</v>
      </c>
    </row>
    <row r="215" spans="1:6" ht="14.25" customHeight="1" x14ac:dyDescent="0.3">
      <c r="A215" s="1">
        <v>48051</v>
      </c>
      <c r="B215" s="1" t="s">
        <v>7</v>
      </c>
      <c r="C215" s="1" t="s">
        <v>58</v>
      </c>
      <c r="D215" s="1" t="s">
        <v>12</v>
      </c>
      <c r="E215" s="1" t="s">
        <v>16</v>
      </c>
      <c r="F215" s="1">
        <v>304721.14229135099</v>
      </c>
    </row>
    <row r="216" spans="1:6" ht="14.25" customHeight="1" x14ac:dyDescent="0.3">
      <c r="A216" s="1">
        <v>48458</v>
      </c>
      <c r="B216" s="1" t="s">
        <v>7</v>
      </c>
      <c r="C216" s="1" t="s">
        <v>197</v>
      </c>
      <c r="D216" s="1" t="s">
        <v>35</v>
      </c>
      <c r="E216" s="1" t="s">
        <v>36</v>
      </c>
      <c r="F216" s="1">
        <v>86362.522373772299</v>
      </c>
    </row>
    <row r="217" spans="1:6" ht="14.25" customHeight="1" x14ac:dyDescent="0.3">
      <c r="A217" s="1">
        <v>48820</v>
      </c>
      <c r="B217" s="1" t="s">
        <v>7</v>
      </c>
      <c r="C217" s="1" t="s">
        <v>198</v>
      </c>
      <c r="D217" s="1" t="s">
        <v>19</v>
      </c>
      <c r="E217" s="1" t="s">
        <v>190</v>
      </c>
      <c r="F217" s="1">
        <v>301497.73599976202</v>
      </c>
    </row>
    <row r="218" spans="1:6" ht="14.25" customHeight="1" x14ac:dyDescent="0.3">
      <c r="A218" s="1">
        <v>49783</v>
      </c>
      <c r="B218" s="1" t="s">
        <v>7</v>
      </c>
      <c r="C218" s="1" t="s">
        <v>199</v>
      </c>
      <c r="D218" s="1" t="s">
        <v>200</v>
      </c>
      <c r="E218" s="1" t="s">
        <v>201</v>
      </c>
      <c r="F218" s="1">
        <v>132201.73223041199</v>
      </c>
    </row>
    <row r="219" spans="1:6" ht="14.25" customHeight="1" x14ac:dyDescent="0.3">
      <c r="A219" s="1">
        <v>49685</v>
      </c>
      <c r="B219" s="1" t="s">
        <v>7</v>
      </c>
      <c r="C219" s="1" t="s">
        <v>145</v>
      </c>
      <c r="D219" s="1" t="s">
        <v>146</v>
      </c>
      <c r="E219" s="1" t="s">
        <v>147</v>
      </c>
      <c r="F219" s="1">
        <v>364911.05660788802</v>
      </c>
    </row>
    <row r="220" spans="1:6" ht="14.25" customHeight="1" x14ac:dyDescent="0.3">
      <c r="A220" s="1">
        <v>49321</v>
      </c>
      <c r="B220" s="1" t="s">
        <v>7</v>
      </c>
      <c r="C220" s="1" t="s">
        <v>202</v>
      </c>
      <c r="D220" s="1" t="s">
        <v>32</v>
      </c>
      <c r="E220" s="1" t="s">
        <v>52</v>
      </c>
      <c r="F220" s="1">
        <v>284722.880040636</v>
      </c>
    </row>
    <row r="221" spans="1:6" ht="14.25" customHeight="1" x14ac:dyDescent="0.3">
      <c r="A221" s="1">
        <v>49093</v>
      </c>
      <c r="B221" s="1" t="s">
        <v>7</v>
      </c>
      <c r="C221" s="1" t="s">
        <v>203</v>
      </c>
      <c r="D221" s="1" t="s">
        <v>187</v>
      </c>
      <c r="E221" s="1" t="s">
        <v>188</v>
      </c>
      <c r="F221" s="1">
        <v>176809.79388951199</v>
      </c>
    </row>
    <row r="222" spans="1:6" ht="14.25" customHeight="1" x14ac:dyDescent="0.3">
      <c r="A222" s="1">
        <v>48912</v>
      </c>
      <c r="B222" s="1" t="s">
        <v>7</v>
      </c>
      <c r="C222" s="1" t="s">
        <v>53</v>
      </c>
      <c r="D222" s="1" t="s">
        <v>19</v>
      </c>
      <c r="E222" s="1" t="s">
        <v>20</v>
      </c>
      <c r="F222" s="1">
        <v>109118.37198748501</v>
      </c>
    </row>
    <row r="223" spans="1:6" ht="14.25" customHeight="1" x14ac:dyDescent="0.3">
      <c r="A223" s="1">
        <v>49431</v>
      </c>
      <c r="B223" s="1" t="s">
        <v>7</v>
      </c>
      <c r="C223" s="1" t="s">
        <v>204</v>
      </c>
      <c r="D223" s="1" t="s">
        <v>205</v>
      </c>
      <c r="E223" s="1" t="s">
        <v>206</v>
      </c>
      <c r="F223" s="1">
        <v>216104.36884942901</v>
      </c>
    </row>
    <row r="224" spans="1:6" ht="14.25" customHeight="1" x14ac:dyDescent="0.3">
      <c r="A224" s="1">
        <v>48240</v>
      </c>
      <c r="B224" s="1" t="s">
        <v>7</v>
      </c>
      <c r="C224" s="1" t="s">
        <v>80</v>
      </c>
      <c r="D224" s="1" t="s">
        <v>12</v>
      </c>
      <c r="E224" s="1" t="s">
        <v>13</v>
      </c>
      <c r="F224" s="1">
        <v>135654.36913388799</v>
      </c>
    </row>
    <row r="225" spans="1:6" ht="14.25" customHeight="1" x14ac:dyDescent="0.3">
      <c r="A225" s="1">
        <v>49331</v>
      </c>
      <c r="B225" s="1" t="s">
        <v>7</v>
      </c>
      <c r="C225" s="1" t="s">
        <v>207</v>
      </c>
      <c r="D225" s="1" t="s">
        <v>32</v>
      </c>
      <c r="E225" s="1" t="s">
        <v>52</v>
      </c>
      <c r="F225" s="1">
        <v>321520.211830866</v>
      </c>
    </row>
    <row r="226" spans="1:6" ht="14.25" customHeight="1" x14ac:dyDescent="0.3">
      <c r="A226" s="1">
        <v>48324</v>
      </c>
      <c r="B226" s="1" t="s">
        <v>7</v>
      </c>
      <c r="C226" s="1" t="s">
        <v>84</v>
      </c>
      <c r="D226" s="1" t="s">
        <v>12</v>
      </c>
      <c r="E226" s="1" t="s">
        <v>40</v>
      </c>
      <c r="F226" s="1">
        <v>408318.08769336902</v>
      </c>
    </row>
    <row r="227" spans="1:6" ht="14.25" customHeight="1" x14ac:dyDescent="0.3">
      <c r="A227" s="1">
        <v>48184</v>
      </c>
      <c r="B227" s="1" t="s">
        <v>7</v>
      </c>
      <c r="C227" s="1" t="s">
        <v>208</v>
      </c>
      <c r="D227" s="1" t="s">
        <v>12</v>
      </c>
      <c r="E227" s="1" t="s">
        <v>13</v>
      </c>
      <c r="F227" s="1">
        <v>139955.142462508</v>
      </c>
    </row>
    <row r="228" spans="1:6" ht="14.25" customHeight="1" x14ac:dyDescent="0.3">
      <c r="A228" s="1">
        <v>48302</v>
      </c>
      <c r="B228" s="1" t="s">
        <v>7</v>
      </c>
      <c r="C228" s="1" t="s">
        <v>209</v>
      </c>
      <c r="D228" s="1" t="s">
        <v>12</v>
      </c>
      <c r="E228" s="1" t="s">
        <v>40</v>
      </c>
      <c r="F228" s="1">
        <v>648099.33603335195</v>
      </c>
    </row>
    <row r="229" spans="1:6" ht="14.25" customHeight="1" x14ac:dyDescent="0.3">
      <c r="A229" s="1">
        <v>48033</v>
      </c>
      <c r="B229" s="1" t="s">
        <v>7</v>
      </c>
      <c r="C229" s="1" t="s">
        <v>165</v>
      </c>
      <c r="D229" s="1" t="s">
        <v>12</v>
      </c>
      <c r="E229" s="1" t="s">
        <v>40</v>
      </c>
      <c r="F229" s="1">
        <v>224757.218397989</v>
      </c>
    </row>
    <row r="230" spans="1:6" ht="14.25" customHeight="1" x14ac:dyDescent="0.3">
      <c r="A230" s="1">
        <v>49004</v>
      </c>
      <c r="B230" s="1" t="s">
        <v>7</v>
      </c>
      <c r="C230" s="1" t="s">
        <v>210</v>
      </c>
      <c r="D230" s="1" t="s">
        <v>46</v>
      </c>
      <c r="E230" s="1" t="s">
        <v>47</v>
      </c>
      <c r="F230" s="1">
        <v>186989.69769890301</v>
      </c>
    </row>
    <row r="231" spans="1:6" ht="14.25" customHeight="1" x14ac:dyDescent="0.3">
      <c r="A231" s="1">
        <v>48323</v>
      </c>
      <c r="B231" s="1" t="s">
        <v>7</v>
      </c>
      <c r="C231" s="1" t="s">
        <v>211</v>
      </c>
      <c r="D231" s="1" t="s">
        <v>12</v>
      </c>
      <c r="E231" s="1" t="s">
        <v>40</v>
      </c>
      <c r="F231" s="1">
        <v>473186.040956243</v>
      </c>
    </row>
    <row r="232" spans="1:6" ht="14.25" customHeight="1" x14ac:dyDescent="0.3">
      <c r="A232" s="1">
        <v>48377</v>
      </c>
      <c r="B232" s="1" t="s">
        <v>7</v>
      </c>
      <c r="C232" s="1" t="s">
        <v>150</v>
      </c>
      <c r="D232" s="1" t="s">
        <v>12</v>
      </c>
      <c r="E232" s="1" t="s">
        <v>40</v>
      </c>
      <c r="F232" s="1">
        <v>455236.044563526</v>
      </c>
    </row>
    <row r="233" spans="1:6" ht="14.25" customHeight="1" x14ac:dyDescent="0.3">
      <c r="A233" s="1">
        <v>49770</v>
      </c>
      <c r="B233" s="1" t="s">
        <v>7</v>
      </c>
      <c r="C233" s="1" t="s">
        <v>212</v>
      </c>
      <c r="E233" s="1" t="s">
        <v>213</v>
      </c>
      <c r="F233" s="1">
        <v>321922.99179104902</v>
      </c>
    </row>
    <row r="234" spans="1:6" ht="14.25" customHeight="1" x14ac:dyDescent="0.3">
      <c r="A234" s="1">
        <v>49080</v>
      </c>
      <c r="B234" s="1" t="s">
        <v>7</v>
      </c>
      <c r="C234" s="1" t="s">
        <v>214</v>
      </c>
      <c r="D234" s="1" t="s">
        <v>184</v>
      </c>
      <c r="E234" s="1" t="s">
        <v>185</v>
      </c>
      <c r="F234" s="1">
        <v>230838.059210109</v>
      </c>
    </row>
    <row r="235" spans="1:6" ht="14.25" customHeight="1" x14ac:dyDescent="0.3">
      <c r="A235" s="1">
        <v>48030</v>
      </c>
      <c r="B235" s="1" t="s">
        <v>7</v>
      </c>
      <c r="C235" s="1" t="s">
        <v>215</v>
      </c>
      <c r="D235" s="1" t="s">
        <v>12</v>
      </c>
      <c r="E235" s="1" t="s">
        <v>40</v>
      </c>
      <c r="F235" s="1">
        <v>144265.67585263299</v>
      </c>
    </row>
    <row r="236" spans="1:6" ht="14.25" customHeight="1" x14ac:dyDescent="0.3">
      <c r="A236" s="1">
        <v>48193</v>
      </c>
      <c r="B236" s="1" t="s">
        <v>7</v>
      </c>
      <c r="C236" s="1" t="s">
        <v>216</v>
      </c>
      <c r="D236" s="1" t="s">
        <v>12</v>
      </c>
      <c r="E236" s="1" t="s">
        <v>13</v>
      </c>
      <c r="F236" s="1">
        <v>218584.73847158899</v>
      </c>
    </row>
    <row r="237" spans="1:6" ht="14.25" customHeight="1" x14ac:dyDescent="0.3">
      <c r="A237" s="1">
        <v>48201</v>
      </c>
      <c r="B237" s="1" t="s">
        <v>7</v>
      </c>
      <c r="C237" s="1" t="s">
        <v>14</v>
      </c>
      <c r="D237" s="1" t="s">
        <v>12</v>
      </c>
      <c r="E237" s="1" t="s">
        <v>13</v>
      </c>
      <c r="F237" s="1">
        <v>438189.568337087</v>
      </c>
    </row>
    <row r="238" spans="1:6" ht="14.25" customHeight="1" x14ac:dyDescent="0.3">
      <c r="A238" s="1">
        <v>48082</v>
      </c>
      <c r="B238" s="1" t="s">
        <v>7</v>
      </c>
      <c r="C238" s="1" t="s">
        <v>166</v>
      </c>
      <c r="D238" s="1" t="s">
        <v>12</v>
      </c>
      <c r="E238" s="1" t="s">
        <v>16</v>
      </c>
      <c r="F238" s="1">
        <v>193975.02916353301</v>
      </c>
    </row>
    <row r="239" spans="1:6" ht="14.25" customHeight="1" x14ac:dyDescent="0.3">
      <c r="A239" s="1">
        <v>48374</v>
      </c>
      <c r="B239" s="1" t="s">
        <v>7</v>
      </c>
      <c r="C239" s="1" t="s">
        <v>150</v>
      </c>
      <c r="D239" s="1" t="s">
        <v>12</v>
      </c>
      <c r="E239" s="1" t="s">
        <v>40</v>
      </c>
      <c r="F239" s="1">
        <v>573993.76171865303</v>
      </c>
    </row>
    <row r="240" spans="1:6" ht="14.25" customHeight="1" x14ac:dyDescent="0.3">
      <c r="A240" s="1">
        <v>48130</v>
      </c>
      <c r="B240" s="1" t="s">
        <v>7</v>
      </c>
      <c r="C240" s="1" t="s">
        <v>217</v>
      </c>
      <c r="D240" s="1" t="s">
        <v>9</v>
      </c>
      <c r="E240" s="1" t="s">
        <v>10</v>
      </c>
      <c r="F240" s="1">
        <v>400602.706693916</v>
      </c>
    </row>
    <row r="241" spans="1:6" ht="14.25" customHeight="1" x14ac:dyDescent="0.3">
      <c r="A241" s="1">
        <v>48304</v>
      </c>
      <c r="B241" s="1" t="s">
        <v>7</v>
      </c>
      <c r="C241" s="1" t="s">
        <v>209</v>
      </c>
      <c r="D241" s="1" t="s">
        <v>12</v>
      </c>
      <c r="E241" s="1" t="s">
        <v>40</v>
      </c>
      <c r="F241" s="1">
        <v>567141.623855012</v>
      </c>
    </row>
    <row r="242" spans="1:6" ht="14.25" customHeight="1" x14ac:dyDescent="0.3">
      <c r="A242" s="1">
        <v>48362</v>
      </c>
      <c r="B242" s="1" t="s">
        <v>7</v>
      </c>
      <c r="C242" s="1" t="s">
        <v>218</v>
      </c>
      <c r="D242" s="1" t="s">
        <v>12</v>
      </c>
      <c r="E242" s="1" t="s">
        <v>40</v>
      </c>
      <c r="F242" s="1">
        <v>323105.30334082898</v>
      </c>
    </row>
    <row r="243" spans="1:6" ht="14.25" customHeight="1" x14ac:dyDescent="0.3">
      <c r="A243" s="1">
        <v>48827</v>
      </c>
      <c r="B243" s="1" t="s">
        <v>7</v>
      </c>
      <c r="C243" s="1" t="s">
        <v>219</v>
      </c>
      <c r="D243" s="1" t="s">
        <v>19</v>
      </c>
      <c r="E243" s="1" t="s">
        <v>88</v>
      </c>
      <c r="F243" s="1">
        <v>209394.30105361901</v>
      </c>
    </row>
    <row r="244" spans="1:6" ht="14.25" customHeight="1" x14ac:dyDescent="0.3">
      <c r="A244" s="1">
        <v>48206</v>
      </c>
      <c r="B244" s="1" t="s">
        <v>7</v>
      </c>
      <c r="C244" s="1" t="s">
        <v>14</v>
      </c>
      <c r="D244" s="1" t="s">
        <v>12</v>
      </c>
      <c r="E244" s="1" t="s">
        <v>13</v>
      </c>
      <c r="F244" s="1">
        <v>71091.179204868895</v>
      </c>
    </row>
    <row r="245" spans="1:6" ht="14.25" customHeight="1" x14ac:dyDescent="0.3">
      <c r="A245" s="1">
        <v>48043</v>
      </c>
      <c r="B245" s="1" t="s">
        <v>7</v>
      </c>
      <c r="C245" s="1" t="s">
        <v>220</v>
      </c>
      <c r="D245" s="1" t="s">
        <v>12</v>
      </c>
      <c r="E245" s="1" t="s">
        <v>16</v>
      </c>
      <c r="F245" s="1">
        <v>151838.83720767</v>
      </c>
    </row>
    <row r="246" spans="1:6" ht="14.25" customHeight="1" x14ac:dyDescent="0.3">
      <c r="A246" s="1">
        <v>48230</v>
      </c>
      <c r="B246" s="1" t="s">
        <v>7</v>
      </c>
      <c r="C246" s="1" t="s">
        <v>221</v>
      </c>
      <c r="D246" s="1" t="s">
        <v>12</v>
      </c>
      <c r="E246" s="1" t="s">
        <v>13</v>
      </c>
      <c r="F246" s="1">
        <v>430537.594692691</v>
      </c>
    </row>
    <row r="247" spans="1:6" ht="14.25" customHeight="1" x14ac:dyDescent="0.3">
      <c r="A247" s="1">
        <v>49829</v>
      </c>
      <c r="B247" s="1" t="s">
        <v>7</v>
      </c>
      <c r="C247" s="1" t="s">
        <v>222</v>
      </c>
      <c r="D247" s="1" t="s">
        <v>223</v>
      </c>
      <c r="E247" s="1" t="s">
        <v>224</v>
      </c>
      <c r="F247" s="1">
        <v>119514.83338061201</v>
      </c>
    </row>
    <row r="248" spans="1:6" ht="14.25" customHeight="1" x14ac:dyDescent="0.3">
      <c r="A248" s="1">
        <v>48624</v>
      </c>
      <c r="B248" s="1" t="s">
        <v>7</v>
      </c>
      <c r="C248" s="1" t="s">
        <v>225</v>
      </c>
      <c r="E248" s="1" t="s">
        <v>226</v>
      </c>
      <c r="F248" s="1">
        <v>135094.770255215</v>
      </c>
    </row>
    <row r="249" spans="1:6" ht="14.25" customHeight="1" x14ac:dyDescent="0.3">
      <c r="A249" s="1">
        <v>48393</v>
      </c>
      <c r="B249" s="1" t="s">
        <v>7</v>
      </c>
      <c r="C249" s="1" t="s">
        <v>227</v>
      </c>
      <c r="D249" s="1" t="s">
        <v>12</v>
      </c>
      <c r="E249" s="1" t="s">
        <v>40</v>
      </c>
      <c r="F249" s="1">
        <v>363873.21361118299</v>
      </c>
    </row>
    <row r="250" spans="1:6" ht="14.25" customHeight="1" x14ac:dyDescent="0.3">
      <c r="A250" s="1">
        <v>48202</v>
      </c>
      <c r="B250" s="1" t="s">
        <v>7</v>
      </c>
      <c r="C250" s="1" t="s">
        <v>14</v>
      </c>
      <c r="D250" s="1" t="s">
        <v>12</v>
      </c>
      <c r="E250" s="1" t="s">
        <v>13</v>
      </c>
      <c r="F250" s="1">
        <v>159604.48734221299</v>
      </c>
    </row>
    <row r="251" spans="1:6" ht="14.25" customHeight="1" x14ac:dyDescent="0.3">
      <c r="A251" s="1">
        <v>48342</v>
      </c>
      <c r="B251" s="1" t="s">
        <v>7</v>
      </c>
      <c r="C251" s="1" t="s">
        <v>128</v>
      </c>
      <c r="D251" s="1" t="s">
        <v>12</v>
      </c>
      <c r="E251" s="1" t="s">
        <v>40</v>
      </c>
      <c r="F251" s="1">
        <v>92834.708228624906</v>
      </c>
    </row>
    <row r="252" spans="1:6" ht="14.25" customHeight="1" x14ac:dyDescent="0.3">
      <c r="A252" s="1">
        <v>48855</v>
      </c>
      <c r="B252" s="1" t="s">
        <v>7</v>
      </c>
      <c r="C252" s="1" t="s">
        <v>37</v>
      </c>
      <c r="D252" s="1" t="s">
        <v>12</v>
      </c>
      <c r="E252" s="1" t="s">
        <v>38</v>
      </c>
      <c r="F252" s="1">
        <v>340907.19994351798</v>
      </c>
    </row>
    <row r="253" spans="1:6" ht="14.25" customHeight="1" x14ac:dyDescent="0.3">
      <c r="A253" s="1">
        <v>48084</v>
      </c>
      <c r="B253" s="1" t="s">
        <v>7</v>
      </c>
      <c r="C253" s="1" t="s">
        <v>123</v>
      </c>
      <c r="D253" s="1" t="s">
        <v>12</v>
      </c>
      <c r="E253" s="1" t="s">
        <v>40</v>
      </c>
      <c r="F253" s="1">
        <v>448361.57819014299</v>
      </c>
    </row>
    <row r="254" spans="1:6" ht="14.25" customHeight="1" x14ac:dyDescent="0.3">
      <c r="A254" s="1">
        <v>48072</v>
      </c>
      <c r="B254" s="1" t="s">
        <v>7</v>
      </c>
      <c r="C254" s="1" t="s">
        <v>228</v>
      </c>
      <c r="D254" s="1" t="s">
        <v>12</v>
      </c>
      <c r="E254" s="1" t="s">
        <v>40</v>
      </c>
      <c r="F254" s="1">
        <v>275381.023361506</v>
      </c>
    </row>
    <row r="255" spans="1:6" ht="14.25" customHeight="1" x14ac:dyDescent="0.3">
      <c r="A255" s="1">
        <v>48025</v>
      </c>
      <c r="B255" s="1" t="s">
        <v>7</v>
      </c>
      <c r="C255" s="1" t="s">
        <v>229</v>
      </c>
      <c r="D255" s="1" t="s">
        <v>12</v>
      </c>
      <c r="E255" s="1" t="s">
        <v>40</v>
      </c>
      <c r="F255" s="1">
        <v>519249.51516135503</v>
      </c>
    </row>
    <row r="256" spans="1:6" ht="14.25" customHeight="1" x14ac:dyDescent="0.3">
      <c r="A256" s="1">
        <v>49286</v>
      </c>
      <c r="B256" s="1" t="s">
        <v>7</v>
      </c>
      <c r="C256" s="1" t="s">
        <v>230</v>
      </c>
      <c r="D256" s="1" t="s">
        <v>55</v>
      </c>
      <c r="E256" s="1" t="s">
        <v>56</v>
      </c>
      <c r="F256" s="1">
        <v>218657.652878283</v>
      </c>
    </row>
    <row r="257" spans="1:6" ht="14.25" customHeight="1" x14ac:dyDescent="0.3">
      <c r="A257" s="1">
        <v>48836</v>
      </c>
      <c r="B257" s="1" t="s">
        <v>7</v>
      </c>
      <c r="C257" s="1" t="s">
        <v>231</v>
      </c>
      <c r="D257" s="1" t="s">
        <v>12</v>
      </c>
      <c r="E257" s="1" t="s">
        <v>38</v>
      </c>
      <c r="F257" s="1">
        <v>272164.13168817299</v>
      </c>
    </row>
    <row r="258" spans="1:6" ht="14.25" customHeight="1" x14ac:dyDescent="0.3">
      <c r="A258" s="1">
        <v>48026</v>
      </c>
      <c r="B258" s="1" t="s">
        <v>7</v>
      </c>
      <c r="C258" s="1" t="s">
        <v>232</v>
      </c>
      <c r="D258" s="1" t="s">
        <v>12</v>
      </c>
      <c r="E258" s="1" t="s">
        <v>16</v>
      </c>
      <c r="F258" s="1">
        <v>215696.85820074499</v>
      </c>
    </row>
    <row r="259" spans="1:6" ht="14.25" customHeight="1" x14ac:dyDescent="0.3">
      <c r="A259" s="1">
        <v>48160</v>
      </c>
      <c r="B259" s="1" t="s">
        <v>7</v>
      </c>
      <c r="C259" s="1" t="s">
        <v>233</v>
      </c>
      <c r="D259" s="1" t="s">
        <v>9</v>
      </c>
      <c r="E259" s="1" t="s">
        <v>10</v>
      </c>
      <c r="F259" s="1">
        <v>258228.24387069899</v>
      </c>
    </row>
    <row r="260" spans="1:6" ht="14.25" customHeight="1" x14ac:dyDescent="0.3">
      <c r="A260" s="1">
        <v>48451</v>
      </c>
      <c r="B260" s="1" t="s">
        <v>7</v>
      </c>
      <c r="C260" s="1" t="s">
        <v>234</v>
      </c>
      <c r="D260" s="1" t="s">
        <v>35</v>
      </c>
      <c r="E260" s="1" t="s">
        <v>36</v>
      </c>
      <c r="F260" s="1">
        <v>304984.18698335701</v>
      </c>
    </row>
    <row r="261" spans="1:6" ht="14.25" customHeight="1" x14ac:dyDescent="0.3">
      <c r="A261" s="1">
        <v>48301</v>
      </c>
      <c r="B261" s="1" t="s">
        <v>7</v>
      </c>
      <c r="C261" s="1" t="s">
        <v>209</v>
      </c>
      <c r="D261" s="1" t="s">
        <v>12</v>
      </c>
      <c r="E261" s="1" t="s">
        <v>40</v>
      </c>
      <c r="F261" s="1">
        <v>628851.03579562902</v>
      </c>
    </row>
    <row r="262" spans="1:6" ht="14.25" customHeight="1" x14ac:dyDescent="0.3">
      <c r="A262" s="1">
        <v>49079</v>
      </c>
      <c r="B262" s="1" t="s">
        <v>7</v>
      </c>
      <c r="C262" s="1" t="s">
        <v>235</v>
      </c>
      <c r="E262" s="1" t="s">
        <v>236</v>
      </c>
      <c r="F262" s="1">
        <v>208328.47705792999</v>
      </c>
    </row>
    <row r="263" spans="1:6" ht="14.25" customHeight="1" x14ac:dyDescent="0.3">
      <c r="A263" s="1">
        <v>49242</v>
      </c>
      <c r="B263" s="1" t="s">
        <v>7</v>
      </c>
      <c r="C263" s="1" t="s">
        <v>237</v>
      </c>
      <c r="D263" s="1" t="s">
        <v>238</v>
      </c>
      <c r="E263" s="1" t="s">
        <v>239</v>
      </c>
      <c r="F263" s="1">
        <v>163455.17770002101</v>
      </c>
    </row>
    <row r="264" spans="1:6" ht="14.25" customHeight="1" x14ac:dyDescent="0.3">
      <c r="A264" s="1">
        <v>49068</v>
      </c>
      <c r="B264" s="1" t="s">
        <v>7</v>
      </c>
      <c r="C264" s="1" t="s">
        <v>240</v>
      </c>
      <c r="D264" s="1" t="s">
        <v>118</v>
      </c>
      <c r="E264" s="1" t="s">
        <v>119</v>
      </c>
      <c r="F264" s="1">
        <v>198649.85575087101</v>
      </c>
    </row>
    <row r="265" spans="1:6" ht="14.25" customHeight="1" x14ac:dyDescent="0.3">
      <c r="A265" s="1">
        <v>49047</v>
      </c>
      <c r="B265" s="1" t="s">
        <v>7</v>
      </c>
      <c r="C265" s="1" t="s">
        <v>241</v>
      </c>
      <c r="D265" s="1" t="s">
        <v>242</v>
      </c>
      <c r="E265" s="1" t="s">
        <v>243</v>
      </c>
      <c r="F265" s="1">
        <v>154285.07203769599</v>
      </c>
    </row>
    <row r="266" spans="1:6" ht="14.25" customHeight="1" x14ac:dyDescent="0.3">
      <c r="A266" s="1">
        <v>49660</v>
      </c>
      <c r="B266" s="1" t="s">
        <v>7</v>
      </c>
      <c r="C266" s="1" t="s">
        <v>244</v>
      </c>
      <c r="E266" s="1" t="s">
        <v>245</v>
      </c>
      <c r="F266" s="1">
        <v>181155.92912647</v>
      </c>
    </row>
    <row r="267" spans="1:6" ht="14.25" customHeight="1" x14ac:dyDescent="0.3">
      <c r="A267" s="1">
        <v>48059</v>
      </c>
      <c r="B267" s="1" t="s">
        <v>7</v>
      </c>
      <c r="C267" s="1" t="s">
        <v>246</v>
      </c>
      <c r="D267" s="1" t="s">
        <v>12</v>
      </c>
      <c r="E267" s="1" t="s">
        <v>60</v>
      </c>
      <c r="F267" s="1">
        <v>228047.72274122899</v>
      </c>
    </row>
    <row r="268" spans="1:6" ht="14.25" customHeight="1" x14ac:dyDescent="0.3">
      <c r="A268" s="1">
        <v>48623</v>
      </c>
      <c r="B268" s="1" t="s">
        <v>7</v>
      </c>
      <c r="C268" s="1" t="s">
        <v>247</v>
      </c>
      <c r="D268" s="1" t="s">
        <v>78</v>
      </c>
      <c r="E268" s="1" t="s">
        <v>79</v>
      </c>
      <c r="F268" s="1">
        <v>237456.56472778801</v>
      </c>
    </row>
    <row r="269" spans="1:6" ht="14.25" customHeight="1" x14ac:dyDescent="0.3">
      <c r="A269" s="1">
        <v>49721</v>
      </c>
      <c r="B269" s="1" t="s">
        <v>7</v>
      </c>
      <c r="C269" s="1" t="s">
        <v>248</v>
      </c>
      <c r="E269" s="1" t="s">
        <v>249</v>
      </c>
      <c r="F269" s="1">
        <v>152705.61261860799</v>
      </c>
    </row>
    <row r="270" spans="1:6" ht="14.25" customHeight="1" x14ac:dyDescent="0.3">
      <c r="A270" s="1">
        <v>49090</v>
      </c>
      <c r="B270" s="1" t="s">
        <v>7</v>
      </c>
      <c r="C270" s="1" t="s">
        <v>250</v>
      </c>
      <c r="E270" s="1" t="s">
        <v>236</v>
      </c>
      <c r="F270" s="1">
        <v>271494.23973621498</v>
      </c>
    </row>
    <row r="271" spans="1:6" ht="14.25" customHeight="1" x14ac:dyDescent="0.3">
      <c r="A271" s="1">
        <v>49345</v>
      </c>
      <c r="B271" s="1" t="s">
        <v>7</v>
      </c>
      <c r="C271" s="1" t="s">
        <v>251</v>
      </c>
      <c r="D271" s="1" t="s">
        <v>32</v>
      </c>
      <c r="E271" s="1" t="s">
        <v>52</v>
      </c>
      <c r="F271" s="1">
        <v>276474.14598523901</v>
      </c>
    </row>
    <row r="272" spans="1:6" ht="14.25" customHeight="1" x14ac:dyDescent="0.3">
      <c r="A272" s="1">
        <v>48225</v>
      </c>
      <c r="B272" s="1" t="s">
        <v>7</v>
      </c>
      <c r="C272" s="1" t="s">
        <v>252</v>
      </c>
      <c r="D272" s="1" t="s">
        <v>12</v>
      </c>
      <c r="E272" s="1" t="s">
        <v>13</v>
      </c>
      <c r="F272" s="1">
        <v>137493.933810316</v>
      </c>
    </row>
    <row r="273" spans="1:6" ht="14.25" customHeight="1" x14ac:dyDescent="0.3">
      <c r="A273" s="1">
        <v>49224</v>
      </c>
      <c r="B273" s="1" t="s">
        <v>7</v>
      </c>
      <c r="C273" s="1" t="s">
        <v>253</v>
      </c>
      <c r="D273" s="1" t="s">
        <v>118</v>
      </c>
      <c r="E273" s="1" t="s">
        <v>119</v>
      </c>
      <c r="F273" s="1">
        <v>106188.710001635</v>
      </c>
    </row>
    <row r="274" spans="1:6" ht="14.25" customHeight="1" x14ac:dyDescent="0.3">
      <c r="A274" s="1">
        <v>48034</v>
      </c>
      <c r="B274" s="1" t="s">
        <v>7</v>
      </c>
      <c r="C274" s="1" t="s">
        <v>165</v>
      </c>
      <c r="D274" s="1" t="s">
        <v>12</v>
      </c>
      <c r="E274" s="1" t="s">
        <v>40</v>
      </c>
      <c r="F274" s="1">
        <v>325467.21105200303</v>
      </c>
    </row>
    <row r="275" spans="1:6" ht="14.25" customHeight="1" x14ac:dyDescent="0.3">
      <c r="A275" s="1">
        <v>48462</v>
      </c>
      <c r="B275" s="1" t="s">
        <v>7</v>
      </c>
      <c r="C275" s="1" t="s">
        <v>254</v>
      </c>
      <c r="D275" s="1" t="s">
        <v>12</v>
      </c>
      <c r="E275" s="1" t="s">
        <v>40</v>
      </c>
      <c r="F275" s="1">
        <v>334172.18536588701</v>
      </c>
    </row>
    <row r="276" spans="1:6" ht="14.25" customHeight="1" x14ac:dyDescent="0.3">
      <c r="A276" s="1">
        <v>48625</v>
      </c>
      <c r="B276" s="1" t="s">
        <v>7</v>
      </c>
      <c r="C276" s="1" t="s">
        <v>255</v>
      </c>
      <c r="E276" s="1" t="s">
        <v>256</v>
      </c>
      <c r="F276" s="1">
        <v>81969.502528353696</v>
      </c>
    </row>
    <row r="277" spans="1:6" ht="14.25" customHeight="1" x14ac:dyDescent="0.3">
      <c r="A277" s="1">
        <v>49333</v>
      </c>
      <c r="B277" s="1" t="s">
        <v>7</v>
      </c>
      <c r="C277" s="1" t="s">
        <v>257</v>
      </c>
      <c r="E277" s="1" t="s">
        <v>192</v>
      </c>
      <c r="F277" s="1">
        <v>302766.82529288402</v>
      </c>
    </row>
    <row r="278" spans="1:6" ht="14.25" customHeight="1" x14ac:dyDescent="0.3">
      <c r="A278" s="1">
        <v>48604</v>
      </c>
      <c r="B278" s="1" t="s">
        <v>7</v>
      </c>
      <c r="C278" s="1" t="s">
        <v>77</v>
      </c>
      <c r="D278" s="1" t="s">
        <v>78</v>
      </c>
      <c r="E278" s="1" t="s">
        <v>79</v>
      </c>
      <c r="F278" s="1">
        <v>110610.955265228</v>
      </c>
    </row>
    <row r="279" spans="1:6" ht="14.25" customHeight="1" x14ac:dyDescent="0.3">
      <c r="A279" s="1">
        <v>49348</v>
      </c>
      <c r="B279" s="1" t="s">
        <v>7</v>
      </c>
      <c r="C279" s="1" t="s">
        <v>258</v>
      </c>
      <c r="D279" s="1" t="s">
        <v>184</v>
      </c>
      <c r="E279" s="1" t="s">
        <v>185</v>
      </c>
      <c r="F279" s="1">
        <v>283161.93227629602</v>
      </c>
    </row>
    <row r="280" spans="1:6" ht="14.25" customHeight="1" x14ac:dyDescent="0.3">
      <c r="A280" s="1">
        <v>48173</v>
      </c>
      <c r="B280" s="1" t="s">
        <v>7</v>
      </c>
      <c r="C280" s="1" t="s">
        <v>259</v>
      </c>
      <c r="D280" s="1" t="s">
        <v>12</v>
      </c>
      <c r="E280" s="1" t="s">
        <v>13</v>
      </c>
      <c r="F280" s="1">
        <v>233815.95052149199</v>
      </c>
    </row>
    <row r="281" spans="1:6" ht="14.25" customHeight="1" x14ac:dyDescent="0.3">
      <c r="A281" s="1">
        <v>48189</v>
      </c>
      <c r="B281" s="1" t="s">
        <v>7</v>
      </c>
      <c r="C281" s="1" t="s">
        <v>260</v>
      </c>
      <c r="D281" s="1" t="s">
        <v>9</v>
      </c>
      <c r="E281" s="1" t="s">
        <v>10</v>
      </c>
      <c r="F281" s="1">
        <v>315932.29562269198</v>
      </c>
    </row>
    <row r="282" spans="1:6" ht="14.25" customHeight="1" x14ac:dyDescent="0.3">
      <c r="A282" s="1">
        <v>48118</v>
      </c>
      <c r="B282" s="1" t="s">
        <v>7</v>
      </c>
      <c r="C282" s="1" t="s">
        <v>261</v>
      </c>
      <c r="D282" s="1" t="s">
        <v>9</v>
      </c>
      <c r="E282" s="1" t="s">
        <v>10</v>
      </c>
      <c r="F282" s="1">
        <v>334825.58899329498</v>
      </c>
    </row>
    <row r="283" spans="1:6" ht="14.25" customHeight="1" x14ac:dyDescent="0.3">
      <c r="A283" s="1">
        <v>48381</v>
      </c>
      <c r="B283" s="1" t="s">
        <v>7</v>
      </c>
      <c r="C283" s="1" t="s">
        <v>262</v>
      </c>
      <c r="D283" s="1" t="s">
        <v>12</v>
      </c>
      <c r="E283" s="1" t="s">
        <v>40</v>
      </c>
      <c r="F283" s="1">
        <v>391623.364915588</v>
      </c>
    </row>
    <row r="284" spans="1:6" ht="14.25" customHeight="1" x14ac:dyDescent="0.3">
      <c r="A284" s="1">
        <v>48801</v>
      </c>
      <c r="B284" s="1" t="s">
        <v>7</v>
      </c>
      <c r="C284" s="1" t="s">
        <v>263</v>
      </c>
      <c r="D284" s="1" t="s">
        <v>264</v>
      </c>
      <c r="E284" s="1" t="s">
        <v>265</v>
      </c>
      <c r="F284" s="1">
        <v>114253.937465336</v>
      </c>
    </row>
    <row r="285" spans="1:6" ht="14.25" customHeight="1" x14ac:dyDescent="0.3">
      <c r="A285" s="1">
        <v>49849</v>
      </c>
      <c r="B285" s="1" t="s">
        <v>7</v>
      </c>
      <c r="C285" s="1" t="s">
        <v>266</v>
      </c>
      <c r="D285" s="1" t="s">
        <v>86</v>
      </c>
      <c r="E285" s="1" t="s">
        <v>87</v>
      </c>
      <c r="F285" s="1">
        <v>134342.57163153499</v>
      </c>
    </row>
    <row r="286" spans="1:6" ht="14.25" customHeight="1" x14ac:dyDescent="0.3">
      <c r="A286" s="1">
        <v>49412</v>
      </c>
      <c r="B286" s="1" t="s">
        <v>7</v>
      </c>
      <c r="C286" s="1" t="s">
        <v>267</v>
      </c>
      <c r="E286" s="1" t="s">
        <v>268</v>
      </c>
      <c r="F286" s="1">
        <v>188131.06690017899</v>
      </c>
    </row>
    <row r="287" spans="1:6" ht="14.25" customHeight="1" x14ac:dyDescent="0.3">
      <c r="A287" s="1">
        <v>48360</v>
      </c>
      <c r="B287" s="1" t="s">
        <v>7</v>
      </c>
      <c r="C287" s="1" t="s">
        <v>269</v>
      </c>
      <c r="D287" s="1" t="s">
        <v>12</v>
      </c>
      <c r="E287" s="1" t="s">
        <v>40</v>
      </c>
      <c r="F287" s="1">
        <v>392024.44626881601</v>
      </c>
    </row>
    <row r="288" spans="1:6" ht="14.25" customHeight="1" x14ac:dyDescent="0.3">
      <c r="A288" s="1">
        <v>48079</v>
      </c>
      <c r="B288" s="1" t="s">
        <v>7</v>
      </c>
      <c r="C288" s="1" t="s">
        <v>270</v>
      </c>
      <c r="D288" s="1" t="s">
        <v>12</v>
      </c>
      <c r="E288" s="1" t="s">
        <v>60</v>
      </c>
      <c r="F288" s="1">
        <v>270444.16588475998</v>
      </c>
    </row>
    <row r="289" spans="1:6" ht="14.25" customHeight="1" x14ac:dyDescent="0.3">
      <c r="A289" s="1">
        <v>48383</v>
      </c>
      <c r="B289" s="1" t="s">
        <v>7</v>
      </c>
      <c r="C289" s="1" t="s">
        <v>193</v>
      </c>
      <c r="D289" s="1" t="s">
        <v>12</v>
      </c>
      <c r="E289" s="1" t="s">
        <v>40</v>
      </c>
      <c r="F289" s="1">
        <v>361784.96738643502</v>
      </c>
    </row>
    <row r="290" spans="1:6" ht="14.25" customHeight="1" x14ac:dyDescent="0.3">
      <c r="A290" s="1">
        <v>48638</v>
      </c>
      <c r="B290" s="1" t="s">
        <v>7</v>
      </c>
      <c r="C290" s="1" t="s">
        <v>77</v>
      </c>
      <c r="D290" s="1" t="s">
        <v>78</v>
      </c>
      <c r="E290" s="1" t="s">
        <v>79</v>
      </c>
      <c r="F290" s="1">
        <v>175132.27890262401</v>
      </c>
    </row>
    <row r="291" spans="1:6" ht="14.25" customHeight="1" x14ac:dyDescent="0.3">
      <c r="A291" s="1">
        <v>48017</v>
      </c>
      <c r="B291" s="1" t="s">
        <v>7</v>
      </c>
      <c r="C291" s="1" t="s">
        <v>271</v>
      </c>
      <c r="D291" s="1" t="s">
        <v>12</v>
      </c>
      <c r="E291" s="1" t="s">
        <v>40</v>
      </c>
      <c r="F291" s="1">
        <v>253649.749770931</v>
      </c>
    </row>
    <row r="292" spans="1:6" ht="14.25" customHeight="1" x14ac:dyDescent="0.3">
      <c r="A292" s="1">
        <v>48840</v>
      </c>
      <c r="B292" s="1" t="s">
        <v>7</v>
      </c>
      <c r="C292" s="1" t="s">
        <v>272</v>
      </c>
      <c r="D292" s="1" t="s">
        <v>19</v>
      </c>
      <c r="E292" s="1" t="s">
        <v>20</v>
      </c>
      <c r="F292" s="1">
        <v>268220.05370973999</v>
      </c>
    </row>
    <row r="293" spans="1:6" ht="14.25" customHeight="1" x14ac:dyDescent="0.3">
      <c r="A293" s="1">
        <v>48609</v>
      </c>
      <c r="B293" s="1" t="s">
        <v>7</v>
      </c>
      <c r="C293" s="1" t="s">
        <v>77</v>
      </c>
      <c r="D293" s="1" t="s">
        <v>78</v>
      </c>
      <c r="E293" s="1" t="s">
        <v>79</v>
      </c>
      <c r="F293" s="1">
        <v>181571.582635781</v>
      </c>
    </row>
    <row r="294" spans="1:6" ht="14.25" customHeight="1" x14ac:dyDescent="0.3">
      <c r="A294" s="1">
        <v>48215</v>
      </c>
      <c r="B294" s="1" t="s">
        <v>7</v>
      </c>
      <c r="C294" s="1" t="s">
        <v>14</v>
      </c>
      <c r="D294" s="1" t="s">
        <v>12</v>
      </c>
      <c r="E294" s="1" t="s">
        <v>13</v>
      </c>
      <c r="F294" s="1">
        <v>59991.836688018702</v>
      </c>
    </row>
    <row r="295" spans="1:6" ht="14.25" customHeight="1" x14ac:dyDescent="0.3">
      <c r="A295" s="1">
        <v>49097</v>
      </c>
      <c r="B295" s="1" t="s">
        <v>7</v>
      </c>
      <c r="C295" s="1" t="s">
        <v>273</v>
      </c>
      <c r="D295" s="1" t="s">
        <v>46</v>
      </c>
      <c r="E295" s="1" t="s">
        <v>47</v>
      </c>
      <c r="F295" s="1">
        <v>229741.44726215201</v>
      </c>
    </row>
    <row r="296" spans="1:6" ht="14.25" customHeight="1" x14ac:dyDescent="0.3">
      <c r="A296" s="1">
        <v>48166</v>
      </c>
      <c r="B296" s="1" t="s">
        <v>7</v>
      </c>
      <c r="C296" s="1" t="s">
        <v>274</v>
      </c>
      <c r="D296" s="1" t="s">
        <v>114</v>
      </c>
      <c r="E296" s="1" t="s">
        <v>115</v>
      </c>
      <c r="F296" s="1">
        <v>189239.476675304</v>
      </c>
    </row>
    <row r="297" spans="1:6" ht="14.25" customHeight="1" x14ac:dyDescent="0.3">
      <c r="A297" s="1">
        <v>49337</v>
      </c>
      <c r="B297" s="1" t="s">
        <v>7</v>
      </c>
      <c r="C297" s="1" t="s">
        <v>275</v>
      </c>
      <c r="E297" s="1" t="s">
        <v>268</v>
      </c>
      <c r="F297" s="1">
        <v>196135.255506671</v>
      </c>
    </row>
    <row r="298" spans="1:6" ht="14.25" customHeight="1" x14ac:dyDescent="0.3">
      <c r="A298" s="1">
        <v>48895</v>
      </c>
      <c r="B298" s="1" t="s">
        <v>7</v>
      </c>
      <c r="C298" s="1" t="s">
        <v>276</v>
      </c>
      <c r="D298" s="1" t="s">
        <v>19</v>
      </c>
      <c r="E298" s="1" t="s">
        <v>20</v>
      </c>
      <c r="F298" s="1">
        <v>285195.14985838701</v>
      </c>
    </row>
    <row r="299" spans="1:6" ht="14.25" customHeight="1" x14ac:dyDescent="0.3">
      <c r="A299" s="1">
        <v>48723</v>
      </c>
      <c r="B299" s="1" t="s">
        <v>7</v>
      </c>
      <c r="C299" s="1" t="s">
        <v>277</v>
      </c>
      <c r="E299" s="1" t="s">
        <v>278</v>
      </c>
      <c r="F299" s="1">
        <v>130800.82035548201</v>
      </c>
    </row>
    <row r="300" spans="1:6" ht="14.25" customHeight="1" x14ac:dyDescent="0.3">
      <c r="A300" s="1">
        <v>49127</v>
      </c>
      <c r="B300" s="1" t="s">
        <v>7</v>
      </c>
      <c r="C300" s="1" t="s">
        <v>279</v>
      </c>
      <c r="D300" s="1" t="s">
        <v>69</v>
      </c>
      <c r="E300" s="1" t="s">
        <v>70</v>
      </c>
      <c r="F300" s="1">
        <v>280331.25306368503</v>
      </c>
    </row>
    <row r="301" spans="1:6" ht="14.25" customHeight="1" x14ac:dyDescent="0.3">
      <c r="A301" s="1">
        <v>49858</v>
      </c>
      <c r="B301" s="1" t="s">
        <v>7</v>
      </c>
      <c r="C301" s="1" t="s">
        <v>280</v>
      </c>
      <c r="D301" s="1" t="s">
        <v>281</v>
      </c>
      <c r="E301" s="1" t="s">
        <v>282</v>
      </c>
      <c r="F301" s="1">
        <v>123766.555059383</v>
      </c>
    </row>
    <row r="302" spans="1:6" ht="14.25" customHeight="1" x14ac:dyDescent="0.3">
      <c r="A302" s="1">
        <v>48001</v>
      </c>
      <c r="B302" s="1" t="s">
        <v>7</v>
      </c>
      <c r="C302" s="1" t="s">
        <v>283</v>
      </c>
      <c r="D302" s="1" t="s">
        <v>12</v>
      </c>
      <c r="E302" s="1" t="s">
        <v>60</v>
      </c>
      <c r="F302" s="1">
        <v>221647.202070195</v>
      </c>
    </row>
    <row r="303" spans="1:6" ht="14.25" customHeight="1" x14ac:dyDescent="0.3">
      <c r="A303" s="1">
        <v>48809</v>
      </c>
      <c r="B303" s="1" t="s">
        <v>7</v>
      </c>
      <c r="C303" s="1" t="s">
        <v>284</v>
      </c>
      <c r="D303" s="1" t="s">
        <v>32</v>
      </c>
      <c r="E303" s="1" t="s">
        <v>178</v>
      </c>
      <c r="F303" s="1">
        <v>201293.58663345501</v>
      </c>
    </row>
    <row r="304" spans="1:6" ht="14.25" customHeight="1" x14ac:dyDescent="0.3">
      <c r="A304" s="1">
        <v>49103</v>
      </c>
      <c r="B304" s="1" t="s">
        <v>7</v>
      </c>
      <c r="C304" s="1" t="s">
        <v>285</v>
      </c>
      <c r="D304" s="1" t="s">
        <v>69</v>
      </c>
      <c r="E304" s="1" t="s">
        <v>70</v>
      </c>
      <c r="F304" s="1">
        <v>239660.40306037501</v>
      </c>
    </row>
    <row r="305" spans="1:6" ht="14.25" customHeight="1" x14ac:dyDescent="0.3">
      <c r="A305" s="1">
        <v>48065</v>
      </c>
      <c r="B305" s="1" t="s">
        <v>7</v>
      </c>
      <c r="C305" s="1" t="s">
        <v>286</v>
      </c>
      <c r="D305" s="1" t="s">
        <v>12</v>
      </c>
      <c r="E305" s="1" t="s">
        <v>16</v>
      </c>
      <c r="F305" s="1">
        <v>358925.364436167</v>
      </c>
    </row>
    <row r="306" spans="1:6" ht="14.25" customHeight="1" x14ac:dyDescent="0.3">
      <c r="A306" s="1">
        <v>49230</v>
      </c>
      <c r="B306" s="1" t="s">
        <v>7</v>
      </c>
      <c r="C306" s="1" t="s">
        <v>287</v>
      </c>
      <c r="D306" s="1" t="s">
        <v>27</v>
      </c>
      <c r="E306" s="1" t="s">
        <v>28</v>
      </c>
      <c r="F306" s="1">
        <v>244264.867254902</v>
      </c>
    </row>
    <row r="307" spans="1:6" ht="14.25" customHeight="1" x14ac:dyDescent="0.3">
      <c r="A307" s="1">
        <v>49696</v>
      </c>
      <c r="B307" s="1" t="s">
        <v>7</v>
      </c>
      <c r="C307" s="1" t="s">
        <v>145</v>
      </c>
      <c r="D307" s="1" t="s">
        <v>146</v>
      </c>
      <c r="E307" s="1" t="s">
        <v>147</v>
      </c>
      <c r="F307" s="1">
        <v>362172.89182018401</v>
      </c>
    </row>
    <row r="308" spans="1:6" ht="14.25" customHeight="1" x14ac:dyDescent="0.3">
      <c r="A308" s="1">
        <v>49457</v>
      </c>
      <c r="B308" s="1" t="s">
        <v>7</v>
      </c>
      <c r="C308" s="1" t="s">
        <v>288</v>
      </c>
      <c r="D308" s="1" t="s">
        <v>43</v>
      </c>
      <c r="E308" s="1" t="s">
        <v>44</v>
      </c>
      <c r="F308" s="1">
        <v>219725.03187693699</v>
      </c>
    </row>
    <row r="309" spans="1:6" ht="14.25" customHeight="1" x14ac:dyDescent="0.3">
      <c r="A309" s="1">
        <v>48732</v>
      </c>
      <c r="B309" s="1" t="s">
        <v>7</v>
      </c>
      <c r="C309" s="1" t="s">
        <v>289</v>
      </c>
      <c r="D309" s="1" t="s">
        <v>62</v>
      </c>
      <c r="E309" s="1" t="s">
        <v>63</v>
      </c>
      <c r="F309" s="1">
        <v>149531.89604991599</v>
      </c>
    </row>
    <row r="310" spans="1:6" ht="14.25" customHeight="1" x14ac:dyDescent="0.3">
      <c r="A310" s="1">
        <v>48359</v>
      </c>
      <c r="B310" s="1" t="s">
        <v>7</v>
      </c>
      <c r="C310" s="1" t="s">
        <v>269</v>
      </c>
      <c r="D310" s="1" t="s">
        <v>12</v>
      </c>
      <c r="E310" s="1" t="s">
        <v>40</v>
      </c>
      <c r="F310" s="1">
        <v>330401.02846807201</v>
      </c>
    </row>
    <row r="311" spans="1:6" ht="14.25" customHeight="1" x14ac:dyDescent="0.3">
      <c r="A311" s="1">
        <v>49801</v>
      </c>
      <c r="B311" s="1" t="s">
        <v>7</v>
      </c>
      <c r="C311" s="1" t="s">
        <v>290</v>
      </c>
      <c r="D311" s="1" t="s">
        <v>291</v>
      </c>
      <c r="E311" s="1" t="s">
        <v>292</v>
      </c>
      <c r="F311" s="1">
        <v>134734.09292818201</v>
      </c>
    </row>
    <row r="312" spans="1:6" ht="14.25" customHeight="1" x14ac:dyDescent="0.3">
      <c r="A312" s="1">
        <v>49007</v>
      </c>
      <c r="B312" s="1" t="s">
        <v>7</v>
      </c>
      <c r="C312" s="1" t="s">
        <v>45</v>
      </c>
      <c r="D312" s="1" t="s">
        <v>46</v>
      </c>
      <c r="E312" s="1" t="s">
        <v>47</v>
      </c>
      <c r="F312" s="1">
        <v>84566.865153660896</v>
      </c>
    </row>
    <row r="313" spans="1:6" ht="14.25" customHeight="1" x14ac:dyDescent="0.3">
      <c r="A313" s="1">
        <v>49738</v>
      </c>
      <c r="B313" s="1" t="s">
        <v>7</v>
      </c>
      <c r="C313" s="1" t="s">
        <v>293</v>
      </c>
      <c r="E313" s="1" t="s">
        <v>294</v>
      </c>
      <c r="F313" s="1">
        <v>135845.07786633499</v>
      </c>
    </row>
    <row r="314" spans="1:6" ht="14.25" customHeight="1" x14ac:dyDescent="0.3">
      <c r="A314" s="1">
        <v>48164</v>
      </c>
      <c r="B314" s="1" t="s">
        <v>7</v>
      </c>
      <c r="C314" s="1" t="s">
        <v>295</v>
      </c>
      <c r="D314" s="1" t="s">
        <v>12</v>
      </c>
      <c r="E314" s="1" t="s">
        <v>13</v>
      </c>
      <c r="F314" s="1">
        <v>286442.917518206</v>
      </c>
    </row>
    <row r="315" spans="1:6" ht="14.25" customHeight="1" x14ac:dyDescent="0.3">
      <c r="A315" s="1">
        <v>49544</v>
      </c>
      <c r="B315" s="1" t="s">
        <v>7</v>
      </c>
      <c r="C315" s="1" t="s">
        <v>155</v>
      </c>
      <c r="D315" s="1" t="s">
        <v>32</v>
      </c>
      <c r="E315" s="1" t="s">
        <v>52</v>
      </c>
      <c r="F315" s="1">
        <v>278781.54763463</v>
      </c>
    </row>
    <row r="316" spans="1:6" ht="14.25" customHeight="1" x14ac:dyDescent="0.3">
      <c r="A316" s="1">
        <v>48915</v>
      </c>
      <c r="B316" s="1" t="s">
        <v>7</v>
      </c>
      <c r="C316" s="1" t="s">
        <v>53</v>
      </c>
      <c r="D316" s="1" t="s">
        <v>19</v>
      </c>
      <c r="E316" s="1" t="s">
        <v>20</v>
      </c>
      <c r="F316" s="1">
        <v>93736.010582893505</v>
      </c>
    </row>
    <row r="317" spans="1:6" ht="14.25" customHeight="1" x14ac:dyDescent="0.3">
      <c r="A317" s="1">
        <v>49306</v>
      </c>
      <c r="B317" s="1" t="s">
        <v>7</v>
      </c>
      <c r="C317" s="1" t="s">
        <v>296</v>
      </c>
      <c r="D317" s="1" t="s">
        <v>32</v>
      </c>
      <c r="E317" s="1" t="s">
        <v>52</v>
      </c>
      <c r="F317" s="1">
        <v>353836.57716364501</v>
      </c>
    </row>
    <row r="318" spans="1:6" ht="14.25" customHeight="1" x14ac:dyDescent="0.3">
      <c r="A318" s="1">
        <v>48062</v>
      </c>
      <c r="B318" s="1" t="s">
        <v>7</v>
      </c>
      <c r="C318" s="1" t="s">
        <v>297</v>
      </c>
      <c r="D318" s="1" t="s">
        <v>12</v>
      </c>
      <c r="E318" s="1" t="s">
        <v>16</v>
      </c>
      <c r="F318" s="1">
        <v>276710.63773259002</v>
      </c>
    </row>
    <row r="319" spans="1:6" ht="14.25" customHeight="1" x14ac:dyDescent="0.3">
      <c r="A319" s="1">
        <v>48128</v>
      </c>
      <c r="B319" s="1" t="s">
        <v>7</v>
      </c>
      <c r="C319" s="1" t="s">
        <v>22</v>
      </c>
      <c r="D319" s="1" t="s">
        <v>12</v>
      </c>
      <c r="E319" s="1" t="s">
        <v>13</v>
      </c>
      <c r="F319" s="1">
        <v>250903.952361537</v>
      </c>
    </row>
    <row r="320" spans="1:6" ht="14.25" customHeight="1" x14ac:dyDescent="0.3">
      <c r="A320" s="1">
        <v>48122</v>
      </c>
      <c r="B320" s="1" t="s">
        <v>7</v>
      </c>
      <c r="C320" s="1" t="s">
        <v>298</v>
      </c>
      <c r="D320" s="1" t="s">
        <v>12</v>
      </c>
      <c r="E320" s="1" t="s">
        <v>13</v>
      </c>
      <c r="F320" s="1">
        <v>111577.626323365</v>
      </c>
    </row>
    <row r="321" spans="1:6" ht="14.25" customHeight="1" x14ac:dyDescent="0.3">
      <c r="A321" s="1">
        <v>48880</v>
      </c>
      <c r="B321" s="1" t="s">
        <v>7</v>
      </c>
      <c r="C321" s="1" t="s">
        <v>299</v>
      </c>
      <c r="D321" s="1" t="s">
        <v>264</v>
      </c>
      <c r="E321" s="1" t="s">
        <v>265</v>
      </c>
      <c r="F321" s="1">
        <v>113225.000106247</v>
      </c>
    </row>
    <row r="322" spans="1:6" ht="14.25" customHeight="1" x14ac:dyDescent="0.3">
      <c r="A322" s="1">
        <v>49408</v>
      </c>
      <c r="B322" s="1" t="s">
        <v>7</v>
      </c>
      <c r="C322" s="1" t="s">
        <v>300</v>
      </c>
      <c r="D322" s="1" t="s">
        <v>184</v>
      </c>
      <c r="E322" s="1" t="s">
        <v>185</v>
      </c>
      <c r="F322" s="1">
        <v>267685.11003971798</v>
      </c>
    </row>
    <row r="323" spans="1:6" ht="14.25" customHeight="1" x14ac:dyDescent="0.3">
      <c r="A323" s="1">
        <v>48380</v>
      </c>
      <c r="B323" s="1" t="s">
        <v>7</v>
      </c>
      <c r="C323" s="1" t="s">
        <v>262</v>
      </c>
      <c r="D323" s="1" t="s">
        <v>12</v>
      </c>
      <c r="E323" s="1" t="s">
        <v>40</v>
      </c>
      <c r="F323" s="1">
        <v>463197.396819485</v>
      </c>
    </row>
    <row r="324" spans="1:6" ht="14.25" customHeight="1" x14ac:dyDescent="0.3">
      <c r="A324" s="1">
        <v>48117</v>
      </c>
      <c r="B324" s="1" t="s">
        <v>7</v>
      </c>
      <c r="C324" s="1" t="s">
        <v>301</v>
      </c>
      <c r="D324" s="1" t="s">
        <v>114</v>
      </c>
      <c r="E324" s="1" t="s">
        <v>115</v>
      </c>
      <c r="F324" s="1">
        <v>257991.117146904</v>
      </c>
    </row>
    <row r="325" spans="1:6" ht="14.25" customHeight="1" x14ac:dyDescent="0.3">
      <c r="A325" s="1">
        <v>49107</v>
      </c>
      <c r="B325" s="1" t="s">
        <v>7</v>
      </c>
      <c r="C325" s="1" t="s">
        <v>302</v>
      </c>
      <c r="D325" s="1" t="s">
        <v>69</v>
      </c>
      <c r="E325" s="1" t="s">
        <v>70</v>
      </c>
      <c r="F325" s="1">
        <v>189457.59596374599</v>
      </c>
    </row>
    <row r="326" spans="1:6" ht="14.25" customHeight="1" x14ac:dyDescent="0.3">
      <c r="A326" s="1">
        <v>48661</v>
      </c>
      <c r="B326" s="1" t="s">
        <v>7</v>
      </c>
      <c r="C326" s="1" t="s">
        <v>303</v>
      </c>
      <c r="E326" s="1" t="s">
        <v>304</v>
      </c>
      <c r="F326" s="1">
        <v>148496.31014607099</v>
      </c>
    </row>
    <row r="327" spans="1:6" ht="14.25" customHeight="1" x14ac:dyDescent="0.3">
      <c r="A327" s="1">
        <v>48144</v>
      </c>
      <c r="B327" s="1" t="s">
        <v>7</v>
      </c>
      <c r="C327" s="1" t="s">
        <v>305</v>
      </c>
      <c r="D327" s="1" t="s">
        <v>114</v>
      </c>
      <c r="E327" s="1" t="s">
        <v>115</v>
      </c>
      <c r="F327" s="1">
        <v>244737.64117852799</v>
      </c>
    </row>
    <row r="328" spans="1:6" ht="14.25" customHeight="1" x14ac:dyDescent="0.3">
      <c r="A328" s="1">
        <v>48768</v>
      </c>
      <c r="B328" s="1" t="s">
        <v>7</v>
      </c>
      <c r="C328" s="1" t="s">
        <v>306</v>
      </c>
      <c r="E328" s="1" t="s">
        <v>278</v>
      </c>
      <c r="F328" s="1">
        <v>136770.648909221</v>
      </c>
    </row>
    <row r="329" spans="1:6" ht="14.25" customHeight="1" x14ac:dyDescent="0.3">
      <c r="A329" s="1">
        <v>48356</v>
      </c>
      <c r="B329" s="1" t="s">
        <v>7</v>
      </c>
      <c r="C329" s="1" t="s">
        <v>307</v>
      </c>
      <c r="D329" s="1" t="s">
        <v>12</v>
      </c>
      <c r="E329" s="1" t="s">
        <v>40</v>
      </c>
      <c r="F329" s="1">
        <v>310958.73712182598</v>
      </c>
    </row>
    <row r="330" spans="1:6" ht="14.25" customHeight="1" x14ac:dyDescent="0.3">
      <c r="A330" s="1">
        <v>49240</v>
      </c>
      <c r="B330" s="1" t="s">
        <v>7</v>
      </c>
      <c r="C330" s="1" t="s">
        <v>308</v>
      </c>
      <c r="D330" s="1" t="s">
        <v>27</v>
      </c>
      <c r="E330" s="1" t="s">
        <v>28</v>
      </c>
      <c r="F330" s="1">
        <v>292933.432003394</v>
      </c>
    </row>
    <row r="331" spans="1:6" ht="14.25" customHeight="1" x14ac:dyDescent="0.3">
      <c r="A331" s="1">
        <v>48529</v>
      </c>
      <c r="B331" s="1" t="s">
        <v>7</v>
      </c>
      <c r="C331" s="1" t="s">
        <v>309</v>
      </c>
      <c r="D331" s="1" t="s">
        <v>35</v>
      </c>
      <c r="E331" s="1" t="s">
        <v>36</v>
      </c>
      <c r="F331" s="1">
        <v>72132.206003052197</v>
      </c>
    </row>
    <row r="332" spans="1:6" ht="14.25" customHeight="1" x14ac:dyDescent="0.3">
      <c r="A332" s="1">
        <v>48415</v>
      </c>
      <c r="B332" s="1" t="s">
        <v>7</v>
      </c>
      <c r="D332" s="1" t="s">
        <v>78</v>
      </c>
      <c r="E332" s="1" t="s">
        <v>79</v>
      </c>
      <c r="F332" s="1">
        <v>187719.78100017499</v>
      </c>
    </row>
    <row r="333" spans="1:6" ht="14.25" customHeight="1" x14ac:dyDescent="0.3">
      <c r="A333" s="1">
        <v>48040</v>
      </c>
      <c r="B333" s="1" t="s">
        <v>7</v>
      </c>
      <c r="C333" s="1" t="s">
        <v>310</v>
      </c>
      <c r="D333" s="1" t="s">
        <v>12</v>
      </c>
      <c r="E333" s="1" t="s">
        <v>60</v>
      </c>
      <c r="F333" s="1">
        <v>214306.44601438299</v>
      </c>
    </row>
    <row r="334" spans="1:6" ht="14.25" customHeight="1" x14ac:dyDescent="0.3">
      <c r="A334" s="1">
        <v>49112</v>
      </c>
      <c r="B334" s="1" t="s">
        <v>7</v>
      </c>
      <c r="C334" s="1" t="s">
        <v>311</v>
      </c>
      <c r="D334" s="1" t="s">
        <v>242</v>
      </c>
      <c r="E334" s="1" t="s">
        <v>243</v>
      </c>
      <c r="F334" s="1">
        <v>229598.15652128999</v>
      </c>
    </row>
    <row r="335" spans="1:6" ht="14.25" customHeight="1" x14ac:dyDescent="0.3">
      <c r="A335" s="1">
        <v>48875</v>
      </c>
      <c r="B335" s="1" t="s">
        <v>7</v>
      </c>
      <c r="C335" s="1" t="s">
        <v>312</v>
      </c>
      <c r="D335" s="1" t="s">
        <v>32</v>
      </c>
      <c r="E335" s="1" t="s">
        <v>178</v>
      </c>
      <c r="F335" s="1">
        <v>228825.10871733699</v>
      </c>
    </row>
    <row r="336" spans="1:6" ht="14.25" customHeight="1" x14ac:dyDescent="0.3">
      <c r="A336" s="1">
        <v>49931</v>
      </c>
      <c r="B336" s="1" t="s">
        <v>7</v>
      </c>
      <c r="C336" s="1" t="s">
        <v>313</v>
      </c>
      <c r="D336" s="1" t="s">
        <v>314</v>
      </c>
      <c r="E336" s="1" t="s">
        <v>315</v>
      </c>
      <c r="F336" s="1">
        <v>174543.50976712001</v>
      </c>
    </row>
    <row r="337" spans="1:6" ht="14.25" customHeight="1" x14ac:dyDescent="0.3">
      <c r="A337" s="1">
        <v>48429</v>
      </c>
      <c r="B337" s="1" t="s">
        <v>7</v>
      </c>
      <c r="C337" s="1" t="s">
        <v>316</v>
      </c>
      <c r="D337" s="1" t="s">
        <v>19</v>
      </c>
      <c r="E337" s="1" t="s">
        <v>111</v>
      </c>
      <c r="F337" s="1">
        <v>152646.343080433</v>
      </c>
    </row>
    <row r="338" spans="1:6" ht="14.25" customHeight="1" x14ac:dyDescent="0.3">
      <c r="A338" s="1">
        <v>48229</v>
      </c>
      <c r="B338" s="1" t="s">
        <v>7</v>
      </c>
      <c r="C338" s="1" t="s">
        <v>317</v>
      </c>
      <c r="D338" s="1" t="s">
        <v>12</v>
      </c>
      <c r="E338" s="1" t="s">
        <v>13</v>
      </c>
      <c r="F338" s="1">
        <v>54064.6125811858</v>
      </c>
    </row>
    <row r="339" spans="1:6" ht="14.25" customHeight="1" x14ac:dyDescent="0.3">
      <c r="A339" s="1">
        <v>48048</v>
      </c>
      <c r="B339" s="1" t="s">
        <v>7</v>
      </c>
      <c r="C339" s="1" t="s">
        <v>318</v>
      </c>
      <c r="D339" s="1" t="s">
        <v>12</v>
      </c>
      <c r="E339" s="1" t="s">
        <v>16</v>
      </c>
      <c r="F339" s="1">
        <v>256034.01124024799</v>
      </c>
    </row>
    <row r="340" spans="1:6" ht="14.25" customHeight="1" x14ac:dyDescent="0.3">
      <c r="A340" s="1">
        <v>49837</v>
      </c>
      <c r="B340" s="1" t="s">
        <v>7</v>
      </c>
      <c r="C340" s="1" t="s">
        <v>319</v>
      </c>
      <c r="D340" s="1" t="s">
        <v>223</v>
      </c>
      <c r="E340" s="1" t="s">
        <v>224</v>
      </c>
      <c r="F340" s="1">
        <v>125989.43620415</v>
      </c>
    </row>
    <row r="341" spans="1:6" ht="14.25" customHeight="1" x14ac:dyDescent="0.3">
      <c r="A341" s="1">
        <v>48074</v>
      </c>
      <c r="B341" s="1" t="s">
        <v>7</v>
      </c>
      <c r="C341" s="1" t="s">
        <v>320</v>
      </c>
      <c r="D341" s="1" t="s">
        <v>12</v>
      </c>
      <c r="E341" s="1" t="s">
        <v>60</v>
      </c>
      <c r="F341" s="1">
        <v>207470.67975983201</v>
      </c>
    </row>
    <row r="342" spans="1:6" ht="14.25" customHeight="1" x14ac:dyDescent="0.3">
      <c r="A342" s="1">
        <v>48138</v>
      </c>
      <c r="B342" s="1" t="s">
        <v>7</v>
      </c>
      <c r="C342" s="1" t="s">
        <v>321</v>
      </c>
      <c r="D342" s="1" t="s">
        <v>12</v>
      </c>
      <c r="E342" s="1" t="s">
        <v>13</v>
      </c>
      <c r="F342" s="1">
        <v>375033.91231069999</v>
      </c>
    </row>
    <row r="343" spans="1:6" ht="14.25" customHeight="1" x14ac:dyDescent="0.3">
      <c r="A343" s="1">
        <v>48444</v>
      </c>
      <c r="B343" s="1" t="s">
        <v>7</v>
      </c>
      <c r="C343" s="1" t="s">
        <v>322</v>
      </c>
      <c r="D343" s="1" t="s">
        <v>12</v>
      </c>
      <c r="E343" s="1" t="s">
        <v>97</v>
      </c>
      <c r="F343" s="1">
        <v>229060.39247607999</v>
      </c>
    </row>
    <row r="344" spans="1:6" ht="14.25" customHeight="1" x14ac:dyDescent="0.3">
      <c r="A344" s="1">
        <v>49078</v>
      </c>
      <c r="B344" s="1" t="s">
        <v>7</v>
      </c>
      <c r="C344" s="1" t="s">
        <v>323</v>
      </c>
      <c r="D344" s="1" t="s">
        <v>184</v>
      </c>
      <c r="E344" s="1" t="s">
        <v>185</v>
      </c>
      <c r="F344" s="1">
        <v>207345.88053671899</v>
      </c>
    </row>
    <row r="345" spans="1:6" ht="14.25" customHeight="1" x14ac:dyDescent="0.3">
      <c r="A345" s="1">
        <v>49038</v>
      </c>
      <c r="B345" s="1" t="s">
        <v>7</v>
      </c>
      <c r="C345" s="1" t="s">
        <v>324</v>
      </c>
      <c r="D345" s="1" t="s">
        <v>69</v>
      </c>
      <c r="E345" s="1" t="s">
        <v>70</v>
      </c>
      <c r="F345" s="1">
        <v>199042.89155329199</v>
      </c>
    </row>
    <row r="346" spans="1:6" ht="14.25" customHeight="1" x14ac:dyDescent="0.3">
      <c r="A346" s="1">
        <v>49866</v>
      </c>
      <c r="B346" s="1" t="s">
        <v>7</v>
      </c>
      <c r="C346" s="1" t="s">
        <v>325</v>
      </c>
      <c r="D346" s="1" t="s">
        <v>86</v>
      </c>
      <c r="E346" s="1" t="s">
        <v>87</v>
      </c>
      <c r="F346" s="1">
        <v>181145.266925148</v>
      </c>
    </row>
    <row r="347" spans="1:6" ht="14.25" customHeight="1" x14ac:dyDescent="0.3">
      <c r="A347" s="1">
        <v>48653</v>
      </c>
      <c r="B347" s="1" t="s">
        <v>7</v>
      </c>
      <c r="C347" s="1" t="s">
        <v>326</v>
      </c>
      <c r="E347" s="1" t="s">
        <v>327</v>
      </c>
      <c r="F347" s="1">
        <v>146010.38679873501</v>
      </c>
    </row>
    <row r="348" spans="1:6" ht="14.25" customHeight="1" x14ac:dyDescent="0.3">
      <c r="A348" s="1">
        <v>48612</v>
      </c>
      <c r="B348" s="1" t="s">
        <v>7</v>
      </c>
      <c r="C348" s="1" t="s">
        <v>328</v>
      </c>
      <c r="E348" s="1" t="s">
        <v>226</v>
      </c>
      <c r="F348" s="1">
        <v>110083.81430503</v>
      </c>
    </row>
    <row r="349" spans="1:6" ht="14.25" customHeight="1" x14ac:dyDescent="0.3">
      <c r="A349" s="1">
        <v>49690</v>
      </c>
      <c r="B349" s="1" t="s">
        <v>7</v>
      </c>
      <c r="C349" s="1" t="s">
        <v>329</v>
      </c>
      <c r="D349" s="1" t="s">
        <v>146</v>
      </c>
      <c r="E349" s="1" t="s">
        <v>147</v>
      </c>
      <c r="F349" s="1">
        <v>429104.58885979099</v>
      </c>
    </row>
    <row r="350" spans="1:6" ht="14.25" customHeight="1" x14ac:dyDescent="0.3">
      <c r="A350" s="1">
        <v>48509</v>
      </c>
      <c r="B350" s="1" t="s">
        <v>7</v>
      </c>
      <c r="C350" s="1" t="s">
        <v>309</v>
      </c>
      <c r="D350" s="1" t="s">
        <v>35</v>
      </c>
      <c r="E350" s="1" t="s">
        <v>36</v>
      </c>
      <c r="F350" s="1">
        <v>144566.863972822</v>
      </c>
    </row>
    <row r="351" spans="1:6" ht="14.25" customHeight="1" x14ac:dyDescent="0.3">
      <c r="A351" s="1">
        <v>48617</v>
      </c>
      <c r="B351" s="1" t="s">
        <v>7</v>
      </c>
      <c r="C351" s="1" t="s">
        <v>330</v>
      </c>
      <c r="E351" s="1" t="s">
        <v>256</v>
      </c>
      <c r="F351" s="1">
        <v>144301.451339566</v>
      </c>
    </row>
    <row r="352" spans="1:6" ht="14.25" customHeight="1" x14ac:dyDescent="0.3">
      <c r="A352" s="1">
        <v>49720</v>
      </c>
      <c r="B352" s="1" t="s">
        <v>7</v>
      </c>
      <c r="C352" s="1" t="s">
        <v>331</v>
      </c>
      <c r="E352" s="1" t="s">
        <v>332</v>
      </c>
      <c r="F352" s="1">
        <v>332417.33851883397</v>
      </c>
    </row>
    <row r="353" spans="1:6" ht="14.25" customHeight="1" x14ac:dyDescent="0.3">
      <c r="A353" s="1">
        <v>49460</v>
      </c>
      <c r="B353" s="1" t="s">
        <v>7</v>
      </c>
      <c r="C353" s="1" t="s">
        <v>333</v>
      </c>
      <c r="D353" s="1" t="s">
        <v>32</v>
      </c>
      <c r="E353" s="1" t="s">
        <v>33</v>
      </c>
      <c r="F353" s="1">
        <v>400932.48366447998</v>
      </c>
    </row>
    <row r="354" spans="1:6" ht="14.25" customHeight="1" x14ac:dyDescent="0.3">
      <c r="A354" s="1">
        <v>49461</v>
      </c>
      <c r="B354" s="1" t="s">
        <v>7</v>
      </c>
      <c r="C354" s="1" t="s">
        <v>334</v>
      </c>
      <c r="D354" s="1" t="s">
        <v>43</v>
      </c>
      <c r="E354" s="1" t="s">
        <v>44</v>
      </c>
      <c r="F354" s="1">
        <v>265220.457403904</v>
      </c>
    </row>
    <row r="355" spans="1:6" ht="14.25" customHeight="1" x14ac:dyDescent="0.3">
      <c r="A355" s="1">
        <v>48750</v>
      </c>
      <c r="B355" s="1" t="s">
        <v>7</v>
      </c>
      <c r="C355" s="1" t="s">
        <v>335</v>
      </c>
      <c r="E355" s="1" t="s">
        <v>336</v>
      </c>
      <c r="F355" s="1">
        <v>113217.159656403</v>
      </c>
    </row>
    <row r="356" spans="1:6" ht="14.25" customHeight="1" x14ac:dyDescent="0.3">
      <c r="A356" s="1">
        <v>49071</v>
      </c>
      <c r="B356" s="1" t="s">
        <v>7</v>
      </c>
      <c r="C356" s="1" t="s">
        <v>337</v>
      </c>
      <c r="E356" s="1" t="s">
        <v>236</v>
      </c>
      <c r="F356" s="1">
        <v>299276.35545277799</v>
      </c>
    </row>
    <row r="357" spans="1:6" ht="14.25" customHeight="1" x14ac:dyDescent="0.3">
      <c r="A357" s="1">
        <v>49349</v>
      </c>
      <c r="B357" s="1" t="s">
        <v>7</v>
      </c>
      <c r="C357" s="1" t="s">
        <v>338</v>
      </c>
      <c r="E357" s="1" t="s">
        <v>268</v>
      </c>
      <c r="F357" s="1">
        <v>122701.14855294699</v>
      </c>
    </row>
    <row r="358" spans="1:6" ht="14.25" customHeight="1" x14ac:dyDescent="0.3">
      <c r="A358" s="1">
        <v>49404</v>
      </c>
      <c r="B358" s="1" t="s">
        <v>7</v>
      </c>
      <c r="C358" s="1" t="s">
        <v>339</v>
      </c>
      <c r="D358" s="1" t="s">
        <v>32</v>
      </c>
      <c r="E358" s="1" t="s">
        <v>33</v>
      </c>
      <c r="F358" s="1">
        <v>294230.58144113899</v>
      </c>
    </row>
    <row r="359" spans="1:6" ht="14.25" customHeight="1" x14ac:dyDescent="0.3">
      <c r="A359" s="1">
        <v>48746</v>
      </c>
      <c r="B359" s="1" t="s">
        <v>7</v>
      </c>
      <c r="C359" s="1" t="s">
        <v>340</v>
      </c>
      <c r="E359" s="1" t="s">
        <v>278</v>
      </c>
      <c r="F359" s="1">
        <v>172920.41599110499</v>
      </c>
    </row>
    <row r="360" spans="1:6" ht="14.25" customHeight="1" x14ac:dyDescent="0.3">
      <c r="A360" s="1">
        <v>48457</v>
      </c>
      <c r="B360" s="1" t="s">
        <v>7</v>
      </c>
      <c r="C360" s="1" t="s">
        <v>341</v>
      </c>
      <c r="D360" s="1" t="s">
        <v>35</v>
      </c>
      <c r="E360" s="1" t="s">
        <v>36</v>
      </c>
      <c r="F360" s="1">
        <v>167826.51882768801</v>
      </c>
    </row>
    <row r="361" spans="1:6" ht="14.25" customHeight="1" x14ac:dyDescent="0.3">
      <c r="A361" s="1">
        <v>48208</v>
      </c>
      <c r="B361" s="1" t="s">
        <v>7</v>
      </c>
      <c r="C361" s="1" t="s">
        <v>14</v>
      </c>
      <c r="D361" s="1" t="s">
        <v>12</v>
      </c>
      <c r="E361" s="1" t="s">
        <v>13</v>
      </c>
      <c r="F361" s="1">
        <v>81211.472580180998</v>
      </c>
    </row>
    <row r="362" spans="1:6" ht="14.25" customHeight="1" x14ac:dyDescent="0.3">
      <c r="A362" s="1">
        <v>48015</v>
      </c>
      <c r="B362" s="1" t="s">
        <v>7</v>
      </c>
      <c r="C362" s="1" t="s">
        <v>342</v>
      </c>
      <c r="D362" s="1" t="s">
        <v>12</v>
      </c>
      <c r="E362" s="1" t="s">
        <v>16</v>
      </c>
      <c r="F362" s="1">
        <v>144629.36545781899</v>
      </c>
    </row>
    <row r="363" spans="1:6" ht="14.25" customHeight="1" x14ac:dyDescent="0.3">
      <c r="A363" s="1">
        <v>49046</v>
      </c>
      <c r="B363" s="1" t="s">
        <v>7</v>
      </c>
      <c r="C363" s="1" t="s">
        <v>343</v>
      </c>
      <c r="E363" s="1" t="s">
        <v>192</v>
      </c>
      <c r="F363" s="1">
        <v>195898.63442510401</v>
      </c>
    </row>
    <row r="364" spans="1:6" ht="14.25" customHeight="1" x14ac:dyDescent="0.3">
      <c r="A364" s="1">
        <v>48519</v>
      </c>
      <c r="B364" s="1" t="s">
        <v>7</v>
      </c>
      <c r="C364" s="1" t="s">
        <v>309</v>
      </c>
      <c r="D364" s="1" t="s">
        <v>35</v>
      </c>
      <c r="E364" s="1" t="s">
        <v>36</v>
      </c>
      <c r="F364" s="1">
        <v>150138.08798249901</v>
      </c>
    </row>
    <row r="365" spans="1:6" ht="14.25" customHeight="1" x14ac:dyDescent="0.3">
      <c r="A365" s="1">
        <v>49031</v>
      </c>
      <c r="B365" s="1" t="s">
        <v>7</v>
      </c>
      <c r="C365" s="1" t="s">
        <v>344</v>
      </c>
      <c r="D365" s="1" t="s">
        <v>242</v>
      </c>
      <c r="E365" s="1" t="s">
        <v>243</v>
      </c>
      <c r="F365" s="1">
        <v>191326.03190346199</v>
      </c>
    </row>
    <row r="366" spans="1:6" ht="14.25" customHeight="1" x14ac:dyDescent="0.3">
      <c r="A366" s="1">
        <v>49329</v>
      </c>
      <c r="B366" s="1" t="s">
        <v>7</v>
      </c>
      <c r="C366" s="1" t="s">
        <v>345</v>
      </c>
      <c r="D366" s="1" t="s">
        <v>32</v>
      </c>
      <c r="E366" s="1" t="s">
        <v>196</v>
      </c>
      <c r="F366" s="1">
        <v>203226.991084596</v>
      </c>
    </row>
    <row r="367" spans="1:6" ht="14.25" customHeight="1" x14ac:dyDescent="0.3">
      <c r="A367" s="1">
        <v>49323</v>
      </c>
      <c r="B367" s="1" t="s">
        <v>7</v>
      </c>
      <c r="C367" s="1" t="s">
        <v>346</v>
      </c>
      <c r="D367" s="1" t="s">
        <v>184</v>
      </c>
      <c r="E367" s="1" t="s">
        <v>185</v>
      </c>
      <c r="F367" s="1">
        <v>308468.80375614902</v>
      </c>
    </row>
    <row r="368" spans="1:6" ht="14.25" customHeight="1" x14ac:dyDescent="0.3">
      <c r="A368" s="1">
        <v>49087</v>
      </c>
      <c r="B368" s="1" t="s">
        <v>7</v>
      </c>
      <c r="C368" s="1" t="s">
        <v>347</v>
      </c>
      <c r="D368" s="1" t="s">
        <v>46</v>
      </c>
      <c r="E368" s="1" t="s">
        <v>47</v>
      </c>
      <c r="F368" s="1">
        <v>277070.76426375599</v>
      </c>
    </row>
    <row r="369" spans="1:6" ht="14.25" customHeight="1" x14ac:dyDescent="0.3">
      <c r="A369" s="1">
        <v>49327</v>
      </c>
      <c r="B369" s="1" t="s">
        <v>7</v>
      </c>
      <c r="C369" s="1" t="s">
        <v>348</v>
      </c>
      <c r="E369" s="1" t="s">
        <v>268</v>
      </c>
      <c r="F369" s="1">
        <v>184740.7805205</v>
      </c>
    </row>
    <row r="370" spans="1:6" ht="14.25" customHeight="1" x14ac:dyDescent="0.3">
      <c r="A370" s="1">
        <v>49302</v>
      </c>
      <c r="B370" s="1" t="s">
        <v>7</v>
      </c>
      <c r="D370" s="1" t="s">
        <v>32</v>
      </c>
      <c r="E370" s="1" t="s">
        <v>52</v>
      </c>
      <c r="F370" s="1">
        <v>394876.57387023402</v>
      </c>
    </row>
    <row r="371" spans="1:6" ht="14.25" customHeight="1" x14ac:dyDescent="0.3">
      <c r="A371" s="1">
        <v>48461</v>
      </c>
      <c r="B371" s="1" t="s">
        <v>7</v>
      </c>
      <c r="C371" s="1" t="s">
        <v>349</v>
      </c>
      <c r="D371" s="1" t="s">
        <v>12</v>
      </c>
      <c r="E371" s="1" t="s">
        <v>97</v>
      </c>
      <c r="F371" s="1">
        <v>206886.209883339</v>
      </c>
    </row>
    <row r="372" spans="1:6" ht="14.25" customHeight="1" x14ac:dyDescent="0.3">
      <c r="A372" s="1">
        <v>49913</v>
      </c>
      <c r="B372" s="1" t="s">
        <v>7</v>
      </c>
      <c r="C372" s="1" t="s">
        <v>350</v>
      </c>
      <c r="D372" s="1" t="s">
        <v>314</v>
      </c>
      <c r="E372" s="1" t="s">
        <v>315</v>
      </c>
      <c r="F372" s="1">
        <v>68772.741730994894</v>
      </c>
    </row>
    <row r="373" spans="1:6" ht="14.25" customHeight="1" x14ac:dyDescent="0.3">
      <c r="A373" s="1">
        <v>49727</v>
      </c>
      <c r="B373" s="1" t="s">
        <v>7</v>
      </c>
      <c r="C373" s="1" t="s">
        <v>351</v>
      </c>
      <c r="E373" s="1" t="s">
        <v>332</v>
      </c>
      <c r="F373" s="1">
        <v>225977.712552952</v>
      </c>
    </row>
    <row r="374" spans="1:6" ht="14.25" customHeight="1" x14ac:dyDescent="0.3">
      <c r="A374" s="1">
        <v>49083</v>
      </c>
      <c r="B374" s="1" t="s">
        <v>7</v>
      </c>
      <c r="C374" s="1" t="s">
        <v>352</v>
      </c>
      <c r="D374" s="1" t="s">
        <v>46</v>
      </c>
      <c r="E374" s="1" t="s">
        <v>47</v>
      </c>
      <c r="F374" s="1">
        <v>321653.06299641897</v>
      </c>
    </row>
    <row r="375" spans="1:6" ht="14.25" customHeight="1" x14ac:dyDescent="0.3">
      <c r="A375" s="1">
        <v>49930</v>
      </c>
      <c r="B375" s="1" t="s">
        <v>7</v>
      </c>
      <c r="C375" s="1" t="s">
        <v>353</v>
      </c>
      <c r="D375" s="1" t="s">
        <v>314</v>
      </c>
      <c r="E375" s="1" t="s">
        <v>315</v>
      </c>
      <c r="F375" s="1">
        <v>146245.28782988299</v>
      </c>
    </row>
    <row r="376" spans="1:6" ht="14.25" customHeight="1" x14ac:dyDescent="0.3">
      <c r="A376" s="1">
        <v>48455</v>
      </c>
      <c r="B376" s="1" t="s">
        <v>7</v>
      </c>
      <c r="C376" s="1" t="s">
        <v>354</v>
      </c>
      <c r="D376" s="1" t="s">
        <v>12</v>
      </c>
      <c r="E376" s="1" t="s">
        <v>97</v>
      </c>
      <c r="F376" s="1">
        <v>334831.74969547102</v>
      </c>
    </row>
    <row r="377" spans="1:6" ht="14.25" customHeight="1" x14ac:dyDescent="0.3">
      <c r="A377" s="1">
        <v>49419</v>
      </c>
      <c r="B377" s="1" t="s">
        <v>7</v>
      </c>
      <c r="C377" s="1" t="s">
        <v>355</v>
      </c>
      <c r="D377" s="1" t="s">
        <v>184</v>
      </c>
      <c r="E377" s="1" t="s">
        <v>185</v>
      </c>
      <c r="F377" s="1">
        <v>308888.44220128201</v>
      </c>
    </row>
    <row r="378" spans="1:6" ht="14.25" customHeight="1" x14ac:dyDescent="0.3">
      <c r="A378" s="1">
        <v>48650</v>
      </c>
      <c r="B378" s="1" t="s">
        <v>7</v>
      </c>
      <c r="C378" s="1" t="s">
        <v>356</v>
      </c>
      <c r="D378" s="1" t="s">
        <v>62</v>
      </c>
      <c r="E378" s="1" t="s">
        <v>63</v>
      </c>
      <c r="F378" s="1">
        <v>129500.95066835301</v>
      </c>
    </row>
    <row r="379" spans="1:6" ht="14.25" customHeight="1" x14ac:dyDescent="0.3">
      <c r="A379" s="1">
        <v>48039</v>
      </c>
      <c r="B379" s="1" t="s">
        <v>7</v>
      </c>
      <c r="C379" s="1" t="s">
        <v>357</v>
      </c>
      <c r="D379" s="1" t="s">
        <v>12</v>
      </c>
      <c r="E379" s="1" t="s">
        <v>60</v>
      </c>
      <c r="F379" s="1">
        <v>196632.07556254399</v>
      </c>
    </row>
    <row r="380" spans="1:6" ht="14.25" customHeight="1" x14ac:dyDescent="0.3">
      <c r="A380" s="1">
        <v>49659</v>
      </c>
      <c r="B380" s="1" t="s">
        <v>7</v>
      </c>
      <c r="C380" s="1" t="s">
        <v>358</v>
      </c>
      <c r="E380" s="1" t="s">
        <v>359</v>
      </c>
      <c r="F380" s="1">
        <v>127958.07144023701</v>
      </c>
    </row>
    <row r="381" spans="1:6" ht="14.25" customHeight="1" x14ac:dyDescent="0.3">
      <c r="A381" s="1">
        <v>48218</v>
      </c>
      <c r="B381" s="1" t="s">
        <v>7</v>
      </c>
      <c r="C381" s="1" t="s">
        <v>360</v>
      </c>
      <c r="D381" s="1" t="s">
        <v>12</v>
      </c>
      <c r="E381" s="1" t="s">
        <v>13</v>
      </c>
      <c r="F381" s="1">
        <v>50762.776199870597</v>
      </c>
    </row>
    <row r="382" spans="1:6" ht="14.25" customHeight="1" x14ac:dyDescent="0.3">
      <c r="A382" s="1">
        <v>49938</v>
      </c>
      <c r="B382" s="1" t="s">
        <v>7</v>
      </c>
      <c r="C382" s="1" t="s">
        <v>361</v>
      </c>
      <c r="E382" s="1" t="s">
        <v>362</v>
      </c>
      <c r="F382" s="1">
        <v>70158.163458871597</v>
      </c>
    </row>
    <row r="383" spans="1:6" ht="14.25" customHeight="1" x14ac:dyDescent="0.3">
      <c r="A383" s="1">
        <v>48350</v>
      </c>
      <c r="B383" s="1" t="s">
        <v>7</v>
      </c>
      <c r="C383" s="1" t="s">
        <v>363</v>
      </c>
      <c r="D383" s="1" t="s">
        <v>12</v>
      </c>
      <c r="E383" s="1" t="s">
        <v>40</v>
      </c>
      <c r="F383" s="1">
        <v>364296.69164302002</v>
      </c>
    </row>
    <row r="384" spans="1:6" ht="14.25" customHeight="1" x14ac:dyDescent="0.3">
      <c r="A384" s="1">
        <v>49646</v>
      </c>
      <c r="B384" s="1" t="s">
        <v>7</v>
      </c>
      <c r="C384" s="1" t="s">
        <v>364</v>
      </c>
      <c r="D384" s="1" t="s">
        <v>146</v>
      </c>
      <c r="E384" s="1" t="s">
        <v>365</v>
      </c>
      <c r="F384" s="1">
        <v>139642.91719654601</v>
      </c>
    </row>
    <row r="385" spans="1:6" ht="14.25" customHeight="1" x14ac:dyDescent="0.3">
      <c r="A385" s="1">
        <v>48363</v>
      </c>
      <c r="B385" s="1" t="s">
        <v>7</v>
      </c>
      <c r="C385" s="1" t="s">
        <v>366</v>
      </c>
      <c r="D385" s="1" t="s">
        <v>12</v>
      </c>
      <c r="E385" s="1" t="s">
        <v>40</v>
      </c>
      <c r="F385" s="1">
        <v>566166.49987362896</v>
      </c>
    </row>
    <row r="386" spans="1:6" ht="14.25" customHeight="1" x14ac:dyDescent="0.3">
      <c r="A386" s="1">
        <v>48883</v>
      </c>
      <c r="B386" s="1" t="s">
        <v>7</v>
      </c>
      <c r="C386" s="1" t="s">
        <v>367</v>
      </c>
      <c r="D386" s="1" t="s">
        <v>24</v>
      </c>
      <c r="E386" s="1" t="s">
        <v>25</v>
      </c>
      <c r="F386" s="1">
        <v>155592.85030604099</v>
      </c>
    </row>
    <row r="387" spans="1:6" ht="14.25" customHeight="1" x14ac:dyDescent="0.3">
      <c r="A387" s="1">
        <v>48158</v>
      </c>
      <c r="B387" s="1" t="s">
        <v>7</v>
      </c>
      <c r="C387" s="1" t="s">
        <v>368</v>
      </c>
      <c r="D387" s="1" t="s">
        <v>9</v>
      </c>
      <c r="E387" s="1" t="s">
        <v>10</v>
      </c>
      <c r="F387" s="1">
        <v>286770.32687341102</v>
      </c>
    </row>
    <row r="388" spans="1:6" ht="14.25" customHeight="1" x14ac:dyDescent="0.3">
      <c r="A388" s="1">
        <v>49677</v>
      </c>
      <c r="B388" s="1" t="s">
        <v>7</v>
      </c>
      <c r="C388" s="1" t="s">
        <v>369</v>
      </c>
      <c r="E388" s="1" t="s">
        <v>370</v>
      </c>
      <c r="F388" s="1">
        <v>131752.55635113301</v>
      </c>
    </row>
    <row r="389" spans="1:6" ht="14.25" customHeight="1" x14ac:dyDescent="0.3">
      <c r="A389" s="1">
        <v>49651</v>
      </c>
      <c r="B389" s="1" t="s">
        <v>7</v>
      </c>
      <c r="C389" s="1" t="s">
        <v>371</v>
      </c>
      <c r="D389" s="1" t="s">
        <v>152</v>
      </c>
      <c r="E389" s="1" t="s">
        <v>372</v>
      </c>
      <c r="F389" s="1">
        <v>157232.79151796701</v>
      </c>
    </row>
    <row r="390" spans="1:6" ht="14.25" customHeight="1" x14ac:dyDescent="0.3">
      <c r="A390" s="1">
        <v>48657</v>
      </c>
      <c r="B390" s="1" t="s">
        <v>7</v>
      </c>
      <c r="C390" s="1" t="s">
        <v>373</v>
      </c>
      <c r="D390" s="1" t="s">
        <v>92</v>
      </c>
      <c r="E390" s="1" t="s">
        <v>93</v>
      </c>
      <c r="F390" s="1">
        <v>159712.57871027401</v>
      </c>
    </row>
    <row r="391" spans="1:6" ht="14.25" customHeight="1" x14ac:dyDescent="0.3">
      <c r="A391" s="1">
        <v>48054</v>
      </c>
      <c r="B391" s="1" t="s">
        <v>7</v>
      </c>
      <c r="C391" s="1" t="s">
        <v>374</v>
      </c>
      <c r="D391" s="1" t="s">
        <v>12</v>
      </c>
      <c r="E391" s="1" t="s">
        <v>60</v>
      </c>
      <c r="F391" s="1">
        <v>294595.88284535898</v>
      </c>
    </row>
    <row r="392" spans="1:6" ht="14.25" customHeight="1" x14ac:dyDescent="0.3">
      <c r="A392" s="1">
        <v>49740</v>
      </c>
      <c r="B392" s="1" t="s">
        <v>7</v>
      </c>
      <c r="C392" s="1" t="s">
        <v>375</v>
      </c>
      <c r="E392" s="1" t="s">
        <v>213</v>
      </c>
      <c r="F392" s="1">
        <v>421199.720309817</v>
      </c>
    </row>
    <row r="393" spans="1:6" ht="14.25" customHeight="1" x14ac:dyDescent="0.3">
      <c r="A393" s="1">
        <v>48734</v>
      </c>
      <c r="B393" s="1" t="s">
        <v>7</v>
      </c>
      <c r="C393" s="1" t="s">
        <v>376</v>
      </c>
      <c r="D393" s="1" t="s">
        <v>78</v>
      </c>
      <c r="E393" s="1" t="s">
        <v>79</v>
      </c>
      <c r="F393" s="1">
        <v>296072.810463286</v>
      </c>
    </row>
    <row r="394" spans="1:6" ht="14.25" customHeight="1" x14ac:dyDescent="0.3">
      <c r="A394" s="1">
        <v>48131</v>
      </c>
      <c r="B394" s="1" t="s">
        <v>7</v>
      </c>
      <c r="C394" s="1" t="s">
        <v>377</v>
      </c>
      <c r="D394" s="1" t="s">
        <v>114</v>
      </c>
      <c r="E394" s="1" t="s">
        <v>115</v>
      </c>
      <c r="F394" s="1">
        <v>238883.435677242</v>
      </c>
    </row>
    <row r="395" spans="1:6" ht="14.25" customHeight="1" x14ac:dyDescent="0.3">
      <c r="A395" s="1">
        <v>48808</v>
      </c>
      <c r="B395" s="1" t="s">
        <v>7</v>
      </c>
      <c r="C395" s="1" t="s">
        <v>378</v>
      </c>
      <c r="D395" s="1" t="s">
        <v>19</v>
      </c>
      <c r="E395" s="1" t="s">
        <v>190</v>
      </c>
      <c r="F395" s="1">
        <v>241406.660150043</v>
      </c>
    </row>
    <row r="396" spans="1:6" ht="14.25" customHeight="1" x14ac:dyDescent="0.3">
      <c r="A396" s="1">
        <v>49437</v>
      </c>
      <c r="B396" s="1" t="s">
        <v>7</v>
      </c>
      <c r="C396" s="1" t="s">
        <v>379</v>
      </c>
      <c r="D396" s="1" t="s">
        <v>43</v>
      </c>
      <c r="E396" s="1" t="s">
        <v>44</v>
      </c>
      <c r="F396" s="1">
        <v>213848.78282005101</v>
      </c>
    </row>
    <row r="397" spans="1:6" ht="14.25" customHeight="1" x14ac:dyDescent="0.3">
      <c r="A397" s="1">
        <v>48872</v>
      </c>
      <c r="B397" s="1" t="s">
        <v>7</v>
      </c>
      <c r="C397" s="1" t="s">
        <v>380</v>
      </c>
      <c r="D397" s="1" t="s">
        <v>19</v>
      </c>
      <c r="E397" s="1" t="s">
        <v>111</v>
      </c>
      <c r="F397" s="1">
        <v>203627.52946663901</v>
      </c>
    </row>
    <row r="398" spans="1:6" ht="14.25" customHeight="1" x14ac:dyDescent="0.3">
      <c r="A398" s="1">
        <v>49841</v>
      </c>
      <c r="B398" s="1" t="s">
        <v>7</v>
      </c>
      <c r="C398" s="1" t="s">
        <v>381</v>
      </c>
      <c r="D398" s="1" t="s">
        <v>86</v>
      </c>
      <c r="E398" s="1" t="s">
        <v>87</v>
      </c>
      <c r="F398" s="1">
        <v>143379.73842484</v>
      </c>
    </row>
    <row r="399" spans="1:6" ht="14.25" customHeight="1" x14ac:dyDescent="0.3">
      <c r="A399" s="1">
        <v>48848</v>
      </c>
      <c r="B399" s="1" t="s">
        <v>7</v>
      </c>
      <c r="C399" s="1" t="s">
        <v>382</v>
      </c>
      <c r="D399" s="1" t="s">
        <v>19</v>
      </c>
      <c r="E399" s="1" t="s">
        <v>111</v>
      </c>
      <c r="F399" s="1">
        <v>237041.43648440199</v>
      </c>
    </row>
    <row r="400" spans="1:6" ht="14.25" customHeight="1" x14ac:dyDescent="0.3">
      <c r="A400" s="1">
        <v>49712</v>
      </c>
      <c r="B400" s="1" t="s">
        <v>7</v>
      </c>
      <c r="C400" s="1" t="s">
        <v>383</v>
      </c>
      <c r="E400" s="1" t="s">
        <v>332</v>
      </c>
      <c r="F400" s="1">
        <v>300129.64367467997</v>
      </c>
    </row>
    <row r="401" spans="1:6" ht="14.25" customHeight="1" x14ac:dyDescent="0.3">
      <c r="A401" s="1">
        <v>49057</v>
      </c>
      <c r="B401" s="1" t="s">
        <v>7</v>
      </c>
      <c r="C401" s="1" t="s">
        <v>384</v>
      </c>
      <c r="E401" s="1" t="s">
        <v>236</v>
      </c>
      <c r="F401" s="1">
        <v>109211.24349366401</v>
      </c>
    </row>
    <row r="402" spans="1:6" ht="14.25" customHeight="1" x14ac:dyDescent="0.3">
      <c r="A402" s="1">
        <v>48616</v>
      </c>
      <c r="B402" s="1" t="s">
        <v>7</v>
      </c>
      <c r="C402" s="1" t="s">
        <v>385</v>
      </c>
      <c r="D402" s="1" t="s">
        <v>78</v>
      </c>
      <c r="E402" s="1" t="s">
        <v>79</v>
      </c>
      <c r="F402" s="1">
        <v>162677.47340986799</v>
      </c>
    </row>
    <row r="403" spans="1:6" ht="14.25" customHeight="1" x14ac:dyDescent="0.3">
      <c r="A403" s="1">
        <v>49649</v>
      </c>
      <c r="B403" s="1" t="s">
        <v>7</v>
      </c>
      <c r="C403" s="1" t="s">
        <v>386</v>
      </c>
      <c r="D403" s="1" t="s">
        <v>146</v>
      </c>
      <c r="E403" s="1" t="s">
        <v>147</v>
      </c>
      <c r="F403" s="1">
        <v>264152.649434652</v>
      </c>
    </row>
    <row r="404" spans="1:6" ht="14.25" customHeight="1" x14ac:dyDescent="0.3">
      <c r="A404" s="1">
        <v>48413</v>
      </c>
      <c r="B404" s="1" t="s">
        <v>7</v>
      </c>
      <c r="C404" s="1" t="s">
        <v>387</v>
      </c>
      <c r="E404" s="1" t="s">
        <v>388</v>
      </c>
      <c r="F404" s="1">
        <v>117323.45804734901</v>
      </c>
    </row>
    <row r="405" spans="1:6" ht="14.25" customHeight="1" x14ac:dyDescent="0.3">
      <c r="A405" s="1">
        <v>48357</v>
      </c>
      <c r="B405" s="1" t="s">
        <v>7</v>
      </c>
      <c r="C405" s="1" t="s">
        <v>307</v>
      </c>
      <c r="D405" s="1" t="s">
        <v>12</v>
      </c>
      <c r="E405" s="1" t="s">
        <v>40</v>
      </c>
      <c r="F405" s="1">
        <v>352442.658435911</v>
      </c>
    </row>
    <row r="406" spans="1:6" ht="14.25" customHeight="1" x14ac:dyDescent="0.3">
      <c r="A406" s="1">
        <v>49643</v>
      </c>
      <c r="B406" s="1" t="s">
        <v>7</v>
      </c>
      <c r="C406" s="1" t="s">
        <v>389</v>
      </c>
      <c r="D406" s="1" t="s">
        <v>146</v>
      </c>
      <c r="E406" s="1" t="s">
        <v>147</v>
      </c>
      <c r="F406" s="1">
        <v>279017.56204739399</v>
      </c>
    </row>
    <row r="407" spans="1:6" ht="14.25" customHeight="1" x14ac:dyDescent="0.3">
      <c r="A407" s="1">
        <v>49053</v>
      </c>
      <c r="B407" s="1" t="s">
        <v>7</v>
      </c>
      <c r="C407" s="1" t="s">
        <v>390</v>
      </c>
      <c r="D407" s="1" t="s">
        <v>46</v>
      </c>
      <c r="E407" s="1" t="s">
        <v>47</v>
      </c>
      <c r="F407" s="1">
        <v>239775.28578461401</v>
      </c>
    </row>
    <row r="408" spans="1:6" ht="14.25" customHeight="1" x14ac:dyDescent="0.3">
      <c r="A408" s="1">
        <v>48120</v>
      </c>
      <c r="B408" s="1" t="s">
        <v>7</v>
      </c>
      <c r="C408" s="1" t="s">
        <v>22</v>
      </c>
      <c r="D408" s="1" t="s">
        <v>12</v>
      </c>
      <c r="E408" s="1" t="s">
        <v>13</v>
      </c>
      <c r="F408" s="1">
        <v>205037.60253335399</v>
      </c>
    </row>
    <row r="409" spans="1:6" ht="14.25" customHeight="1" x14ac:dyDescent="0.3">
      <c r="A409" s="1">
        <v>48211</v>
      </c>
      <c r="B409" s="1" t="s">
        <v>7</v>
      </c>
      <c r="C409" s="1" t="s">
        <v>66</v>
      </c>
      <c r="D409" s="1" t="s">
        <v>12</v>
      </c>
      <c r="E409" s="1" t="s">
        <v>13</v>
      </c>
      <c r="F409" s="1">
        <v>39132.2417336004</v>
      </c>
    </row>
    <row r="410" spans="1:6" ht="14.25" customHeight="1" x14ac:dyDescent="0.3">
      <c r="A410" s="1">
        <v>48217</v>
      </c>
      <c r="B410" s="1" t="s">
        <v>7</v>
      </c>
      <c r="C410" s="1" t="s">
        <v>14</v>
      </c>
      <c r="D410" s="1" t="s">
        <v>12</v>
      </c>
      <c r="E410" s="1" t="s">
        <v>13</v>
      </c>
      <c r="F410" s="1">
        <v>36403.090630443199</v>
      </c>
    </row>
    <row r="411" spans="1:6" ht="14.25" customHeight="1" x14ac:dyDescent="0.3">
      <c r="A411" s="1">
        <v>48438</v>
      </c>
      <c r="B411" s="1" t="s">
        <v>7</v>
      </c>
      <c r="C411" s="1" t="s">
        <v>391</v>
      </c>
      <c r="D411" s="1" t="s">
        <v>35</v>
      </c>
      <c r="E411" s="1" t="s">
        <v>36</v>
      </c>
      <c r="F411" s="1">
        <v>313393.73551833798</v>
      </c>
    </row>
    <row r="412" spans="1:6" ht="14.25" customHeight="1" x14ac:dyDescent="0.3">
      <c r="A412" s="1">
        <v>48629</v>
      </c>
      <c r="B412" s="1" t="s">
        <v>7</v>
      </c>
      <c r="C412" s="1" t="s">
        <v>392</v>
      </c>
      <c r="E412" s="1" t="s">
        <v>327</v>
      </c>
      <c r="F412" s="1">
        <v>159492.96149025901</v>
      </c>
    </row>
    <row r="413" spans="1:6" ht="14.25" customHeight="1" x14ac:dyDescent="0.3">
      <c r="A413" s="1">
        <v>48070</v>
      </c>
      <c r="B413" s="1" t="s">
        <v>7</v>
      </c>
      <c r="C413" s="1" t="s">
        <v>393</v>
      </c>
      <c r="D413" s="1" t="s">
        <v>12</v>
      </c>
      <c r="E413" s="1" t="s">
        <v>40</v>
      </c>
      <c r="F413" s="1">
        <v>440027.51021331002</v>
      </c>
    </row>
    <row r="414" spans="1:6" ht="14.25" customHeight="1" x14ac:dyDescent="0.3">
      <c r="A414" s="1">
        <v>48611</v>
      </c>
      <c r="B414" s="1" t="s">
        <v>7</v>
      </c>
      <c r="C414" s="1" t="s">
        <v>394</v>
      </c>
      <c r="D414" s="1" t="s">
        <v>62</v>
      </c>
      <c r="E414" s="1" t="s">
        <v>63</v>
      </c>
      <c r="F414" s="1">
        <v>181801.509781559</v>
      </c>
    </row>
    <row r="415" spans="1:6" ht="14.25" customHeight="1" x14ac:dyDescent="0.3">
      <c r="A415" s="1">
        <v>48165</v>
      </c>
      <c r="B415" s="1" t="s">
        <v>7</v>
      </c>
      <c r="C415" s="1" t="s">
        <v>395</v>
      </c>
      <c r="D415" s="1" t="s">
        <v>12</v>
      </c>
      <c r="E415" s="1" t="s">
        <v>40</v>
      </c>
      <c r="F415" s="1">
        <v>390103.650289424</v>
      </c>
    </row>
    <row r="416" spans="1:6" ht="14.25" customHeight="1" x14ac:dyDescent="0.3">
      <c r="A416" s="1">
        <v>49021</v>
      </c>
      <c r="B416" s="1" t="s">
        <v>7</v>
      </c>
      <c r="C416" s="1" t="s">
        <v>396</v>
      </c>
      <c r="D416" s="1" t="s">
        <v>19</v>
      </c>
      <c r="E416" s="1" t="s">
        <v>88</v>
      </c>
      <c r="F416" s="1">
        <v>191379.35709129801</v>
      </c>
    </row>
    <row r="417" spans="1:6" ht="14.25" customHeight="1" x14ac:dyDescent="0.3">
      <c r="A417" s="1">
        <v>49415</v>
      </c>
      <c r="B417" s="1" t="s">
        <v>7</v>
      </c>
      <c r="C417" s="1" t="s">
        <v>397</v>
      </c>
      <c r="D417" s="1" t="s">
        <v>43</v>
      </c>
      <c r="E417" s="1" t="s">
        <v>44</v>
      </c>
      <c r="F417" s="1">
        <v>269356.77968618198</v>
      </c>
    </row>
    <row r="418" spans="1:6" ht="14.25" customHeight="1" x14ac:dyDescent="0.3">
      <c r="A418" s="1">
        <v>48003</v>
      </c>
      <c r="B418" s="1" t="s">
        <v>7</v>
      </c>
      <c r="C418" s="1" t="s">
        <v>398</v>
      </c>
      <c r="D418" s="1" t="s">
        <v>12</v>
      </c>
      <c r="E418" s="1" t="s">
        <v>97</v>
      </c>
      <c r="F418" s="1">
        <v>279651.02176811802</v>
      </c>
    </row>
    <row r="419" spans="1:6" ht="14.25" customHeight="1" x14ac:dyDescent="0.3">
      <c r="A419" s="1">
        <v>49251</v>
      </c>
      <c r="B419" s="1" t="s">
        <v>7</v>
      </c>
      <c r="C419" s="1" t="s">
        <v>399</v>
      </c>
      <c r="D419" s="1" t="s">
        <v>19</v>
      </c>
      <c r="E419" s="1" t="s">
        <v>20</v>
      </c>
      <c r="F419" s="1">
        <v>191025.890323464</v>
      </c>
    </row>
    <row r="420" spans="1:6" ht="14.25" customHeight="1" x14ac:dyDescent="0.3">
      <c r="A420" s="1">
        <v>48726</v>
      </c>
      <c r="B420" s="1" t="s">
        <v>7</v>
      </c>
      <c r="C420" s="1" t="s">
        <v>400</v>
      </c>
      <c r="E420" s="1" t="s">
        <v>278</v>
      </c>
      <c r="F420" s="1">
        <v>129917.36551916599</v>
      </c>
    </row>
    <row r="421" spans="1:6" ht="14.25" customHeight="1" x14ac:dyDescent="0.3">
      <c r="A421" s="1">
        <v>48655</v>
      </c>
      <c r="B421" s="1" t="s">
        <v>7</v>
      </c>
      <c r="C421" s="1" t="s">
        <v>401</v>
      </c>
      <c r="D421" s="1" t="s">
        <v>78</v>
      </c>
      <c r="E421" s="1" t="s">
        <v>79</v>
      </c>
      <c r="F421" s="1">
        <v>157930.356982175</v>
      </c>
    </row>
    <row r="422" spans="1:6" ht="14.25" customHeight="1" x14ac:dyDescent="0.3">
      <c r="A422" s="1">
        <v>49802</v>
      </c>
      <c r="B422" s="1" t="s">
        <v>7</v>
      </c>
      <c r="C422" s="1" t="s">
        <v>402</v>
      </c>
      <c r="D422" s="1" t="s">
        <v>291</v>
      </c>
      <c r="E422" s="1" t="s">
        <v>292</v>
      </c>
      <c r="F422" s="1">
        <v>103061.675670051</v>
      </c>
    </row>
    <row r="423" spans="1:6" ht="14.25" customHeight="1" x14ac:dyDescent="0.3">
      <c r="A423" s="1">
        <v>49451</v>
      </c>
      <c r="B423" s="1" t="s">
        <v>7</v>
      </c>
      <c r="C423" s="1" t="s">
        <v>403</v>
      </c>
      <c r="D423" s="1" t="s">
        <v>43</v>
      </c>
      <c r="E423" s="1" t="s">
        <v>44</v>
      </c>
      <c r="F423" s="1">
        <v>237201.31786693601</v>
      </c>
    </row>
    <row r="424" spans="1:6" ht="14.25" customHeight="1" x14ac:dyDescent="0.3">
      <c r="A424" s="1">
        <v>49250</v>
      </c>
      <c r="B424" s="1" t="s">
        <v>7</v>
      </c>
      <c r="C424" s="1" t="s">
        <v>404</v>
      </c>
      <c r="D424" s="1" t="s">
        <v>238</v>
      </c>
      <c r="E424" s="1" t="s">
        <v>239</v>
      </c>
      <c r="F424" s="1">
        <v>174011.279100621</v>
      </c>
    </row>
    <row r="425" spans="1:6" ht="14.25" customHeight="1" x14ac:dyDescent="0.3">
      <c r="A425" s="1">
        <v>49099</v>
      </c>
      <c r="B425" s="1" t="s">
        <v>7</v>
      </c>
      <c r="C425" s="1" t="s">
        <v>405</v>
      </c>
      <c r="D425" s="1" t="s">
        <v>187</v>
      </c>
      <c r="E425" s="1" t="s">
        <v>188</v>
      </c>
      <c r="F425" s="1">
        <v>184209.56060466301</v>
      </c>
    </row>
    <row r="426" spans="1:6" ht="14.25" customHeight="1" x14ac:dyDescent="0.3">
      <c r="A426" s="1">
        <v>48421</v>
      </c>
      <c r="B426" s="1" t="s">
        <v>7</v>
      </c>
      <c r="C426" s="1" t="s">
        <v>406</v>
      </c>
      <c r="D426" s="1" t="s">
        <v>12</v>
      </c>
      <c r="E426" s="1" t="s">
        <v>97</v>
      </c>
      <c r="F426" s="1">
        <v>197295.65130966401</v>
      </c>
    </row>
    <row r="427" spans="1:6" ht="14.25" customHeight="1" x14ac:dyDescent="0.3">
      <c r="A427" s="1">
        <v>48422</v>
      </c>
      <c r="B427" s="1" t="s">
        <v>7</v>
      </c>
      <c r="C427" s="1" t="s">
        <v>407</v>
      </c>
      <c r="E427" s="1" t="s">
        <v>408</v>
      </c>
      <c r="F427" s="1">
        <v>149430.703102081</v>
      </c>
    </row>
    <row r="428" spans="1:6" ht="14.25" customHeight="1" x14ac:dyDescent="0.3">
      <c r="A428" s="1">
        <v>49055</v>
      </c>
      <c r="B428" s="1" t="s">
        <v>7</v>
      </c>
      <c r="C428" s="1" t="s">
        <v>409</v>
      </c>
      <c r="E428" s="1" t="s">
        <v>236</v>
      </c>
      <c r="F428" s="1">
        <v>180508.68655237</v>
      </c>
    </row>
    <row r="429" spans="1:6" ht="14.25" customHeight="1" x14ac:dyDescent="0.3">
      <c r="A429" s="1">
        <v>48847</v>
      </c>
      <c r="B429" s="1" t="s">
        <v>7</v>
      </c>
      <c r="C429" s="1" t="s">
        <v>410</v>
      </c>
      <c r="D429" s="1" t="s">
        <v>264</v>
      </c>
      <c r="E429" s="1" t="s">
        <v>265</v>
      </c>
      <c r="F429" s="1">
        <v>130227.380237295</v>
      </c>
    </row>
    <row r="430" spans="1:6" ht="14.25" customHeight="1" x14ac:dyDescent="0.3">
      <c r="A430" s="1">
        <v>49285</v>
      </c>
      <c r="B430" s="1" t="s">
        <v>7</v>
      </c>
      <c r="C430" s="1" t="s">
        <v>411</v>
      </c>
      <c r="D430" s="1" t="s">
        <v>19</v>
      </c>
      <c r="E430" s="1" t="s">
        <v>20</v>
      </c>
      <c r="F430" s="1">
        <v>232973.43786660201</v>
      </c>
    </row>
    <row r="431" spans="1:6" ht="14.25" customHeight="1" x14ac:dyDescent="0.3">
      <c r="A431" s="1">
        <v>48888</v>
      </c>
      <c r="B431" s="1" t="s">
        <v>7</v>
      </c>
      <c r="C431" s="1" t="s">
        <v>412</v>
      </c>
      <c r="D431" s="1" t="s">
        <v>32</v>
      </c>
      <c r="E431" s="1" t="s">
        <v>196</v>
      </c>
      <c r="F431" s="1">
        <v>150368.02549023399</v>
      </c>
    </row>
    <row r="432" spans="1:6" ht="14.25" customHeight="1" x14ac:dyDescent="0.3">
      <c r="A432" s="1">
        <v>49028</v>
      </c>
      <c r="B432" s="1" t="s">
        <v>7</v>
      </c>
      <c r="C432" s="1" t="s">
        <v>413</v>
      </c>
      <c r="D432" s="1" t="s">
        <v>143</v>
      </c>
      <c r="E432" s="1" t="s">
        <v>144</v>
      </c>
      <c r="F432" s="1">
        <v>130392.694811077</v>
      </c>
    </row>
    <row r="433" spans="1:6" ht="14.25" customHeight="1" x14ac:dyDescent="0.3">
      <c r="A433" s="1">
        <v>48849</v>
      </c>
      <c r="B433" s="1" t="s">
        <v>7</v>
      </c>
      <c r="C433" s="1" t="s">
        <v>414</v>
      </c>
      <c r="D433" s="1" t="s">
        <v>32</v>
      </c>
      <c r="E433" s="1" t="s">
        <v>178</v>
      </c>
      <c r="F433" s="1">
        <v>197939.31508616099</v>
      </c>
    </row>
    <row r="434" spans="1:6" ht="14.25" customHeight="1" x14ac:dyDescent="0.3">
      <c r="A434" s="1">
        <v>49082</v>
      </c>
      <c r="B434" s="1" t="s">
        <v>7</v>
      </c>
      <c r="C434" s="1" t="s">
        <v>415</v>
      </c>
      <c r="D434" s="1" t="s">
        <v>143</v>
      </c>
      <c r="E434" s="1" t="s">
        <v>144</v>
      </c>
      <c r="F434" s="1">
        <v>166095.770659025</v>
      </c>
    </row>
    <row r="435" spans="1:6" ht="14.25" customHeight="1" x14ac:dyDescent="0.3">
      <c r="A435" s="1">
        <v>48821</v>
      </c>
      <c r="B435" s="1" t="s">
        <v>7</v>
      </c>
      <c r="C435" s="1" t="s">
        <v>416</v>
      </c>
      <c r="D435" s="1" t="s">
        <v>19</v>
      </c>
      <c r="E435" s="1" t="s">
        <v>88</v>
      </c>
      <c r="F435" s="1">
        <v>253596.21074935401</v>
      </c>
    </row>
    <row r="436" spans="1:6" ht="14.25" customHeight="1" x14ac:dyDescent="0.3">
      <c r="A436" s="1">
        <v>49663</v>
      </c>
      <c r="B436" s="1" t="s">
        <v>7</v>
      </c>
      <c r="C436" s="1" t="s">
        <v>417</v>
      </c>
      <c r="D436" s="1" t="s">
        <v>152</v>
      </c>
      <c r="E436" s="1" t="s">
        <v>153</v>
      </c>
      <c r="F436" s="1">
        <v>137300.702839323</v>
      </c>
    </row>
    <row r="437" spans="1:6" ht="14.25" customHeight="1" x14ac:dyDescent="0.3">
      <c r="A437" s="1">
        <v>49788</v>
      </c>
      <c r="B437" s="1" t="s">
        <v>7</v>
      </c>
      <c r="C437" s="1" t="s">
        <v>418</v>
      </c>
      <c r="D437" s="1" t="s">
        <v>200</v>
      </c>
      <c r="E437" s="1" t="s">
        <v>201</v>
      </c>
      <c r="F437" s="1">
        <v>63072.648037959603</v>
      </c>
    </row>
    <row r="438" spans="1:6" ht="14.25" customHeight="1" x14ac:dyDescent="0.3">
      <c r="A438" s="1">
        <v>48095</v>
      </c>
      <c r="B438" s="1" t="s">
        <v>7</v>
      </c>
      <c r="C438" s="1" t="s">
        <v>176</v>
      </c>
      <c r="D438" s="1" t="s">
        <v>12</v>
      </c>
      <c r="E438" s="1" t="s">
        <v>16</v>
      </c>
      <c r="F438" s="1">
        <v>446679.05708651303</v>
      </c>
    </row>
    <row r="439" spans="1:6" ht="14.25" customHeight="1" x14ac:dyDescent="0.3">
      <c r="A439" s="1">
        <v>49935</v>
      </c>
      <c r="B439" s="1" t="s">
        <v>7</v>
      </c>
      <c r="E439" s="1" t="s">
        <v>419</v>
      </c>
      <c r="F439" s="1">
        <v>78588.290934322693</v>
      </c>
    </row>
    <row r="440" spans="1:6" ht="14.25" customHeight="1" x14ac:dyDescent="0.3">
      <c r="A440" s="1">
        <v>48626</v>
      </c>
      <c r="B440" s="1" t="s">
        <v>7</v>
      </c>
      <c r="C440" s="1" t="s">
        <v>420</v>
      </c>
      <c r="D440" s="1" t="s">
        <v>78</v>
      </c>
      <c r="E440" s="1" t="s">
        <v>79</v>
      </c>
      <c r="F440" s="1">
        <v>191956.687483822</v>
      </c>
    </row>
    <row r="441" spans="1:6" ht="14.25" customHeight="1" x14ac:dyDescent="0.3">
      <c r="A441" s="1">
        <v>49098</v>
      </c>
      <c r="B441" s="1" t="s">
        <v>7</v>
      </c>
      <c r="C441" s="1" t="s">
        <v>421</v>
      </c>
      <c r="D441" s="1" t="s">
        <v>69</v>
      </c>
      <c r="E441" s="1" t="s">
        <v>70</v>
      </c>
      <c r="F441" s="1">
        <v>171373.81901812801</v>
      </c>
    </row>
    <row r="442" spans="1:6" ht="14.25" customHeight="1" x14ac:dyDescent="0.3">
      <c r="A442" s="1">
        <v>49420</v>
      </c>
      <c r="B442" s="1" t="s">
        <v>7</v>
      </c>
      <c r="C442" s="1" t="s">
        <v>422</v>
      </c>
      <c r="E442" s="1" t="s">
        <v>423</v>
      </c>
      <c r="F442" s="1">
        <v>137754.113442709</v>
      </c>
    </row>
    <row r="443" spans="1:6" ht="14.25" customHeight="1" x14ac:dyDescent="0.3">
      <c r="A443" s="1">
        <v>48618</v>
      </c>
      <c r="B443" s="1" t="s">
        <v>7</v>
      </c>
      <c r="C443" s="1" t="s">
        <v>424</v>
      </c>
      <c r="D443" s="1" t="s">
        <v>92</v>
      </c>
      <c r="E443" s="1" t="s">
        <v>93</v>
      </c>
      <c r="F443" s="1">
        <v>132409.49972065</v>
      </c>
    </row>
    <row r="444" spans="1:6" ht="14.25" customHeight="1" x14ac:dyDescent="0.3">
      <c r="A444" s="1">
        <v>49247</v>
      </c>
      <c r="B444" s="1" t="s">
        <v>7</v>
      </c>
      <c r="C444" s="1" t="s">
        <v>425</v>
      </c>
      <c r="D444" s="1" t="s">
        <v>55</v>
      </c>
      <c r="E444" s="1" t="s">
        <v>56</v>
      </c>
      <c r="F444" s="1">
        <v>146829.74077033001</v>
      </c>
    </row>
    <row r="445" spans="1:6" ht="14.25" customHeight="1" x14ac:dyDescent="0.3">
      <c r="A445" s="1">
        <v>48817</v>
      </c>
      <c r="B445" s="1" t="s">
        <v>7</v>
      </c>
      <c r="C445" s="1" t="s">
        <v>426</v>
      </c>
      <c r="D445" s="1" t="s">
        <v>19</v>
      </c>
      <c r="E445" s="1" t="s">
        <v>111</v>
      </c>
      <c r="F445" s="1">
        <v>153052.098912691</v>
      </c>
    </row>
    <row r="446" spans="1:6" ht="14.25" customHeight="1" x14ac:dyDescent="0.3">
      <c r="A446" s="1">
        <v>49045</v>
      </c>
      <c r="B446" s="1" t="s">
        <v>7</v>
      </c>
      <c r="C446" s="1" t="s">
        <v>427</v>
      </c>
      <c r="E446" s="1" t="s">
        <v>236</v>
      </c>
      <c r="F446" s="1">
        <v>142462.789265842</v>
      </c>
    </row>
    <row r="447" spans="1:6" ht="14.25" customHeight="1" x14ac:dyDescent="0.3">
      <c r="A447" s="1">
        <v>48632</v>
      </c>
      <c r="B447" s="1" t="s">
        <v>7</v>
      </c>
      <c r="C447" s="1" t="s">
        <v>428</v>
      </c>
      <c r="E447" s="1" t="s">
        <v>256</v>
      </c>
      <c r="F447" s="1">
        <v>119878.64899854299</v>
      </c>
    </row>
    <row r="448" spans="1:6" ht="14.25" customHeight="1" x14ac:dyDescent="0.3">
      <c r="A448" s="1">
        <v>49631</v>
      </c>
      <c r="B448" s="1" t="s">
        <v>7</v>
      </c>
      <c r="C448" s="1" t="s">
        <v>429</v>
      </c>
      <c r="E448" s="1" t="s">
        <v>370</v>
      </c>
      <c r="F448" s="1">
        <v>129344.48623392099</v>
      </c>
    </row>
    <row r="449" spans="1:6" ht="14.25" customHeight="1" x14ac:dyDescent="0.3">
      <c r="A449" s="1">
        <v>49270</v>
      </c>
      <c r="B449" s="1" t="s">
        <v>7</v>
      </c>
      <c r="C449" s="1" t="s">
        <v>430</v>
      </c>
      <c r="D449" s="1" t="s">
        <v>114</v>
      </c>
      <c r="E449" s="1" t="s">
        <v>115</v>
      </c>
      <c r="F449" s="1">
        <v>242356.97090808299</v>
      </c>
    </row>
    <row r="450" spans="1:6" ht="14.25" customHeight="1" x14ac:dyDescent="0.3">
      <c r="A450" s="1">
        <v>49343</v>
      </c>
      <c r="B450" s="1" t="s">
        <v>7</v>
      </c>
      <c r="C450" s="1" t="s">
        <v>431</v>
      </c>
      <c r="D450" s="1" t="s">
        <v>32</v>
      </c>
      <c r="E450" s="1" t="s">
        <v>52</v>
      </c>
      <c r="F450" s="1">
        <v>228076.71117406301</v>
      </c>
    </row>
    <row r="451" spans="1:6" ht="14.25" customHeight="1" x14ac:dyDescent="0.3">
      <c r="A451" s="1">
        <v>49868</v>
      </c>
      <c r="B451" s="1" t="s">
        <v>7</v>
      </c>
      <c r="C451" s="1" t="s">
        <v>432</v>
      </c>
      <c r="E451" s="1" t="s">
        <v>433</v>
      </c>
      <c r="F451" s="1">
        <v>61716.136735763699</v>
      </c>
    </row>
    <row r="452" spans="1:6" ht="14.25" customHeight="1" x14ac:dyDescent="0.3">
      <c r="A452" s="1">
        <v>48216</v>
      </c>
      <c r="B452" s="1" t="s">
        <v>7</v>
      </c>
      <c r="C452" s="1" t="s">
        <v>14</v>
      </c>
      <c r="D452" s="1" t="s">
        <v>12</v>
      </c>
      <c r="E452" s="1" t="s">
        <v>13</v>
      </c>
      <c r="F452" s="1">
        <v>149198.82232647299</v>
      </c>
    </row>
    <row r="453" spans="1:6" ht="14.25" customHeight="1" x14ac:dyDescent="0.3">
      <c r="A453" s="1">
        <v>49330</v>
      </c>
      <c r="B453" s="1" t="s">
        <v>7</v>
      </c>
      <c r="C453" s="1" t="s">
        <v>434</v>
      </c>
      <c r="D453" s="1" t="s">
        <v>32</v>
      </c>
      <c r="E453" s="1" t="s">
        <v>52</v>
      </c>
      <c r="F453" s="1">
        <v>267338.32633927802</v>
      </c>
    </row>
    <row r="454" spans="1:6" ht="14.25" customHeight="1" x14ac:dyDescent="0.3">
      <c r="A454" s="1">
        <v>49455</v>
      </c>
      <c r="B454" s="1" t="s">
        <v>7</v>
      </c>
      <c r="C454" s="1" t="s">
        <v>108</v>
      </c>
      <c r="E454" s="1" t="s">
        <v>423</v>
      </c>
      <c r="F454" s="1">
        <v>162650.11399511201</v>
      </c>
    </row>
    <row r="455" spans="1:6" ht="14.25" customHeight="1" x14ac:dyDescent="0.3">
      <c r="A455" s="1">
        <v>48416</v>
      </c>
      <c r="B455" s="1" t="s">
        <v>7</v>
      </c>
      <c r="C455" s="1" t="s">
        <v>435</v>
      </c>
      <c r="E455" s="1" t="s">
        <v>408</v>
      </c>
      <c r="F455" s="1">
        <v>168981.49817822</v>
      </c>
    </row>
    <row r="456" spans="1:6" ht="14.25" customHeight="1" x14ac:dyDescent="0.3">
      <c r="A456" s="1">
        <v>49854</v>
      </c>
      <c r="B456" s="1" t="s">
        <v>7</v>
      </c>
      <c r="C456" s="1" t="s">
        <v>436</v>
      </c>
      <c r="E456" s="1" t="s">
        <v>437</v>
      </c>
      <c r="F456" s="1">
        <v>115544.84074299601</v>
      </c>
    </row>
    <row r="457" spans="1:6" ht="14.25" customHeight="1" x14ac:dyDescent="0.3">
      <c r="A457" s="1">
        <v>48412</v>
      </c>
      <c r="B457" s="1" t="s">
        <v>7</v>
      </c>
      <c r="C457" s="1" t="s">
        <v>438</v>
      </c>
      <c r="D457" s="1" t="s">
        <v>12</v>
      </c>
      <c r="E457" s="1" t="s">
        <v>97</v>
      </c>
      <c r="F457" s="1">
        <v>242652.876926275</v>
      </c>
    </row>
    <row r="458" spans="1:6" ht="14.25" customHeight="1" x14ac:dyDescent="0.3">
      <c r="A458" s="1">
        <v>49228</v>
      </c>
      <c r="B458" s="1" t="s">
        <v>7</v>
      </c>
      <c r="C458" s="1" t="s">
        <v>439</v>
      </c>
      <c r="D458" s="1" t="s">
        <v>55</v>
      </c>
      <c r="E458" s="1" t="s">
        <v>56</v>
      </c>
      <c r="F458" s="1">
        <v>189758.775111222</v>
      </c>
    </row>
    <row r="459" spans="1:6" ht="14.25" customHeight="1" x14ac:dyDescent="0.3">
      <c r="A459" s="1">
        <v>48353</v>
      </c>
      <c r="B459" s="1" t="s">
        <v>7</v>
      </c>
      <c r="C459" s="1" t="s">
        <v>440</v>
      </c>
      <c r="D459" s="1" t="s">
        <v>12</v>
      </c>
      <c r="E459" s="1" t="s">
        <v>38</v>
      </c>
      <c r="F459" s="1">
        <v>354742.08412031701</v>
      </c>
    </row>
    <row r="460" spans="1:6" ht="14.25" customHeight="1" x14ac:dyDescent="0.3">
      <c r="A460" s="1">
        <v>48005</v>
      </c>
      <c r="B460" s="1" t="s">
        <v>7</v>
      </c>
      <c r="C460" s="1" t="s">
        <v>441</v>
      </c>
      <c r="D460" s="1" t="s">
        <v>12</v>
      </c>
      <c r="E460" s="1" t="s">
        <v>16</v>
      </c>
      <c r="F460" s="1">
        <v>294386.30059852498</v>
      </c>
    </row>
    <row r="461" spans="1:6" ht="14.25" customHeight="1" x14ac:dyDescent="0.3">
      <c r="A461" s="1">
        <v>49065</v>
      </c>
      <c r="B461" s="1" t="s">
        <v>7</v>
      </c>
      <c r="C461" s="1" t="s">
        <v>442</v>
      </c>
      <c r="E461" s="1" t="s">
        <v>236</v>
      </c>
      <c r="F461" s="1">
        <v>210955.20244453</v>
      </c>
    </row>
    <row r="462" spans="1:6" ht="14.25" customHeight="1" x14ac:dyDescent="0.3">
      <c r="A462" s="1">
        <v>48881</v>
      </c>
      <c r="B462" s="1" t="s">
        <v>7</v>
      </c>
      <c r="C462" s="1" t="s">
        <v>207</v>
      </c>
      <c r="D462" s="1" t="s">
        <v>32</v>
      </c>
      <c r="E462" s="1" t="s">
        <v>178</v>
      </c>
      <c r="F462" s="1">
        <v>234329.35510951901</v>
      </c>
    </row>
    <row r="463" spans="1:6" ht="14.25" customHeight="1" x14ac:dyDescent="0.3">
      <c r="A463" s="1">
        <v>48049</v>
      </c>
      <c r="B463" s="1" t="s">
        <v>7</v>
      </c>
      <c r="C463" s="1" t="s">
        <v>443</v>
      </c>
      <c r="D463" s="1" t="s">
        <v>12</v>
      </c>
      <c r="E463" s="1" t="s">
        <v>60</v>
      </c>
      <c r="F463" s="1">
        <v>241643.84026231899</v>
      </c>
    </row>
    <row r="464" spans="1:6" ht="14.25" customHeight="1" x14ac:dyDescent="0.3">
      <c r="A464" s="1">
        <v>49013</v>
      </c>
      <c r="B464" s="1" t="s">
        <v>7</v>
      </c>
      <c r="C464" s="1" t="s">
        <v>444</v>
      </c>
      <c r="E464" s="1" t="s">
        <v>236</v>
      </c>
      <c r="F464" s="1">
        <v>117645.313036223</v>
      </c>
    </row>
    <row r="465" spans="1:6" ht="14.25" customHeight="1" x14ac:dyDescent="0.3">
      <c r="A465" s="1">
        <v>48651</v>
      </c>
      <c r="B465" s="1" t="s">
        <v>7</v>
      </c>
      <c r="C465" s="1" t="s">
        <v>445</v>
      </c>
      <c r="E465" s="1" t="s">
        <v>327</v>
      </c>
      <c r="F465" s="1">
        <v>150410.436209229</v>
      </c>
    </row>
    <row r="466" spans="1:6" ht="14.25" customHeight="1" x14ac:dyDescent="0.3">
      <c r="A466" s="1">
        <v>48453</v>
      </c>
      <c r="B466" s="1" t="s">
        <v>7</v>
      </c>
      <c r="C466" s="1" t="s">
        <v>446</v>
      </c>
      <c r="E466" s="1" t="s">
        <v>408</v>
      </c>
      <c r="F466" s="1">
        <v>130588.292296728</v>
      </c>
    </row>
    <row r="467" spans="1:6" ht="14.25" customHeight="1" x14ac:dyDescent="0.3">
      <c r="A467" s="1">
        <v>48097</v>
      </c>
      <c r="B467" s="1" t="s">
        <v>7</v>
      </c>
      <c r="C467" s="1" t="s">
        <v>447</v>
      </c>
      <c r="D467" s="1" t="s">
        <v>12</v>
      </c>
      <c r="E467" s="1" t="s">
        <v>60</v>
      </c>
      <c r="F467" s="1">
        <v>198959.24421652601</v>
      </c>
    </row>
    <row r="468" spans="1:6" ht="14.25" customHeight="1" x14ac:dyDescent="0.3">
      <c r="A468" s="1">
        <v>48471</v>
      </c>
      <c r="B468" s="1" t="s">
        <v>7</v>
      </c>
      <c r="C468" s="1" t="s">
        <v>448</v>
      </c>
      <c r="E468" s="1" t="s">
        <v>408</v>
      </c>
      <c r="F468" s="1">
        <v>123195.30719945399</v>
      </c>
    </row>
    <row r="469" spans="1:6" ht="14.25" customHeight="1" x14ac:dyDescent="0.3">
      <c r="A469" s="1">
        <v>48133</v>
      </c>
      <c r="B469" s="1" t="s">
        <v>7</v>
      </c>
      <c r="C469" s="1" t="s">
        <v>449</v>
      </c>
      <c r="D469" s="1" t="s">
        <v>114</v>
      </c>
      <c r="E469" s="1" t="s">
        <v>115</v>
      </c>
      <c r="F469" s="1">
        <v>189966.132286949</v>
      </c>
    </row>
    <row r="470" spans="1:6" ht="14.25" customHeight="1" x14ac:dyDescent="0.3">
      <c r="A470" s="1">
        <v>48658</v>
      </c>
      <c r="B470" s="1" t="s">
        <v>7</v>
      </c>
      <c r="C470" s="1" t="s">
        <v>450</v>
      </c>
      <c r="E470" s="1" t="s">
        <v>451</v>
      </c>
      <c r="F470" s="1">
        <v>97499.632496298407</v>
      </c>
    </row>
    <row r="471" spans="1:6" ht="14.25" customHeight="1" x14ac:dyDescent="0.3">
      <c r="A471" s="1">
        <v>49346</v>
      </c>
      <c r="B471" s="1" t="s">
        <v>7</v>
      </c>
      <c r="C471" s="1" t="s">
        <v>452</v>
      </c>
      <c r="D471" s="1" t="s">
        <v>173</v>
      </c>
      <c r="E471" s="1" t="s">
        <v>174</v>
      </c>
      <c r="F471" s="1">
        <v>232284.92887376499</v>
      </c>
    </row>
    <row r="472" spans="1:6" ht="14.25" customHeight="1" x14ac:dyDescent="0.3">
      <c r="A472" s="1">
        <v>48320</v>
      </c>
      <c r="B472" s="1" t="s">
        <v>7</v>
      </c>
      <c r="C472" s="1" t="s">
        <v>453</v>
      </c>
      <c r="D472" s="1" t="s">
        <v>12</v>
      </c>
      <c r="E472" s="1" t="s">
        <v>40</v>
      </c>
      <c r="F472" s="1">
        <v>279166.81596517097</v>
      </c>
    </row>
    <row r="473" spans="1:6" ht="14.25" customHeight="1" x14ac:dyDescent="0.3">
      <c r="A473" s="1">
        <v>49269</v>
      </c>
      <c r="B473" s="1" t="s">
        <v>7</v>
      </c>
      <c r="C473" s="1" t="s">
        <v>454</v>
      </c>
      <c r="D473" s="1" t="s">
        <v>27</v>
      </c>
      <c r="E473" s="1" t="s">
        <v>28</v>
      </c>
      <c r="F473" s="1">
        <v>209906.322674047</v>
      </c>
    </row>
    <row r="474" spans="1:6" ht="14.25" customHeight="1" x14ac:dyDescent="0.3">
      <c r="A474" s="1">
        <v>48892</v>
      </c>
      <c r="B474" s="1" t="s">
        <v>7</v>
      </c>
      <c r="C474" s="1" t="s">
        <v>455</v>
      </c>
      <c r="D474" s="1" t="s">
        <v>19</v>
      </c>
      <c r="E474" s="1" t="s">
        <v>20</v>
      </c>
      <c r="F474" s="1">
        <v>228901.21436726701</v>
      </c>
    </row>
    <row r="475" spans="1:6" ht="14.25" customHeight="1" x14ac:dyDescent="0.3">
      <c r="A475" s="1">
        <v>49042</v>
      </c>
      <c r="B475" s="1" t="s">
        <v>7</v>
      </c>
      <c r="C475" s="1" t="s">
        <v>456</v>
      </c>
      <c r="D475" s="1" t="s">
        <v>187</v>
      </c>
      <c r="E475" s="1" t="s">
        <v>188</v>
      </c>
      <c r="F475" s="1">
        <v>147323.227724622</v>
      </c>
    </row>
    <row r="476" spans="1:6" ht="14.25" customHeight="1" x14ac:dyDescent="0.3">
      <c r="A476" s="1">
        <v>48622</v>
      </c>
      <c r="B476" s="1" t="s">
        <v>7</v>
      </c>
      <c r="C476" s="1" t="s">
        <v>457</v>
      </c>
      <c r="E476" s="1" t="s">
        <v>256</v>
      </c>
      <c r="F476" s="1">
        <v>136240.57671238299</v>
      </c>
    </row>
    <row r="477" spans="1:6" ht="14.25" customHeight="1" x14ac:dyDescent="0.3">
      <c r="A477" s="1">
        <v>49073</v>
      </c>
      <c r="B477" s="1" t="s">
        <v>7</v>
      </c>
      <c r="C477" s="1" t="s">
        <v>458</v>
      </c>
      <c r="E477" s="1" t="s">
        <v>192</v>
      </c>
      <c r="F477" s="1">
        <v>164047.911162081</v>
      </c>
    </row>
    <row r="478" spans="1:6" ht="14.25" customHeight="1" x14ac:dyDescent="0.3">
      <c r="A478" s="1">
        <v>48850</v>
      </c>
      <c r="B478" s="1" t="s">
        <v>7</v>
      </c>
      <c r="C478" s="1" t="s">
        <v>459</v>
      </c>
      <c r="D478" s="1" t="s">
        <v>32</v>
      </c>
      <c r="E478" s="1" t="s">
        <v>196</v>
      </c>
      <c r="F478" s="1">
        <v>157229.73243817501</v>
      </c>
    </row>
    <row r="479" spans="1:6" ht="14.25" customHeight="1" x14ac:dyDescent="0.3">
      <c r="A479" s="1">
        <v>48730</v>
      </c>
      <c r="B479" s="1" t="s">
        <v>7</v>
      </c>
      <c r="C479" s="1" t="s">
        <v>460</v>
      </c>
      <c r="E479" s="1" t="s">
        <v>336</v>
      </c>
      <c r="F479" s="1">
        <v>145547.33634658399</v>
      </c>
    </row>
    <row r="480" spans="1:6" ht="14.25" customHeight="1" x14ac:dyDescent="0.3">
      <c r="A480" s="1">
        <v>48367</v>
      </c>
      <c r="B480" s="1" t="s">
        <v>7</v>
      </c>
      <c r="C480" s="1" t="s">
        <v>461</v>
      </c>
      <c r="D480" s="1" t="s">
        <v>12</v>
      </c>
      <c r="E480" s="1" t="s">
        <v>40</v>
      </c>
      <c r="F480" s="1">
        <v>409080.275601845</v>
      </c>
    </row>
    <row r="481" spans="1:6" ht="14.25" customHeight="1" x14ac:dyDescent="0.3">
      <c r="A481" s="1">
        <v>48428</v>
      </c>
      <c r="B481" s="1" t="s">
        <v>7</v>
      </c>
      <c r="C481" s="1" t="s">
        <v>462</v>
      </c>
      <c r="D481" s="1" t="s">
        <v>12</v>
      </c>
      <c r="E481" s="1" t="s">
        <v>97</v>
      </c>
      <c r="F481" s="1">
        <v>308496.13772724703</v>
      </c>
    </row>
    <row r="482" spans="1:6" ht="14.25" customHeight="1" x14ac:dyDescent="0.3">
      <c r="A482" s="1">
        <v>48756</v>
      </c>
      <c r="B482" s="1" t="s">
        <v>7</v>
      </c>
      <c r="C482" s="1" t="s">
        <v>463</v>
      </c>
      <c r="E482" s="1" t="s">
        <v>304</v>
      </c>
      <c r="F482" s="1">
        <v>60833.371292973803</v>
      </c>
    </row>
    <row r="483" spans="1:6" ht="14.25" customHeight="1" x14ac:dyDescent="0.3">
      <c r="A483" s="1">
        <v>49336</v>
      </c>
      <c r="B483" s="1" t="s">
        <v>7</v>
      </c>
      <c r="C483" s="1" t="s">
        <v>464</v>
      </c>
      <c r="D483" s="1" t="s">
        <v>173</v>
      </c>
      <c r="E483" s="1" t="s">
        <v>174</v>
      </c>
      <c r="F483" s="1">
        <v>136435.778836379</v>
      </c>
    </row>
    <row r="484" spans="1:6" ht="14.25" customHeight="1" x14ac:dyDescent="0.3">
      <c r="A484" s="1">
        <v>49236</v>
      </c>
      <c r="B484" s="1" t="s">
        <v>7</v>
      </c>
      <c r="C484" s="1" t="s">
        <v>49</v>
      </c>
      <c r="D484" s="1" t="s">
        <v>9</v>
      </c>
      <c r="E484" s="1" t="s">
        <v>10</v>
      </c>
      <c r="F484" s="1">
        <v>226083.180731203</v>
      </c>
    </row>
    <row r="485" spans="1:6" ht="14.25" customHeight="1" x14ac:dyDescent="0.3">
      <c r="A485" s="1">
        <v>49245</v>
      </c>
      <c r="B485" s="1" t="s">
        <v>7</v>
      </c>
      <c r="C485" s="1" t="s">
        <v>465</v>
      </c>
      <c r="D485" s="1" t="s">
        <v>118</v>
      </c>
      <c r="E485" s="1" t="s">
        <v>119</v>
      </c>
      <c r="F485" s="1">
        <v>138424.515759072</v>
      </c>
    </row>
    <row r="486" spans="1:6" ht="14.25" customHeight="1" x14ac:dyDescent="0.3">
      <c r="A486" s="1">
        <v>49637</v>
      </c>
      <c r="B486" s="1" t="s">
        <v>7</v>
      </c>
      <c r="C486" s="1" t="s">
        <v>466</v>
      </c>
      <c r="D486" s="1" t="s">
        <v>146</v>
      </c>
      <c r="E486" s="1" t="s">
        <v>147</v>
      </c>
      <c r="F486" s="1">
        <v>272885.15978505998</v>
      </c>
    </row>
    <row r="487" spans="1:6" ht="14.25" customHeight="1" x14ac:dyDescent="0.3">
      <c r="A487" s="1">
        <v>48463</v>
      </c>
      <c r="B487" s="1" t="s">
        <v>7</v>
      </c>
      <c r="C487" s="1" t="s">
        <v>467</v>
      </c>
      <c r="D487" s="1" t="s">
        <v>35</v>
      </c>
      <c r="E487" s="1" t="s">
        <v>36</v>
      </c>
      <c r="F487" s="1">
        <v>185854.395378566</v>
      </c>
    </row>
    <row r="488" spans="1:6" ht="14.25" customHeight="1" x14ac:dyDescent="0.3">
      <c r="A488" s="1">
        <v>49706</v>
      </c>
      <c r="B488" s="1" t="s">
        <v>7</v>
      </c>
      <c r="C488" s="1" t="s">
        <v>468</v>
      </c>
      <c r="E488" s="1" t="s">
        <v>213</v>
      </c>
      <c r="F488" s="1">
        <v>197741.48367744201</v>
      </c>
    </row>
    <row r="489" spans="1:6" ht="14.25" customHeight="1" x14ac:dyDescent="0.3">
      <c r="A489" s="1">
        <v>49076</v>
      </c>
      <c r="B489" s="1" t="s">
        <v>7</v>
      </c>
      <c r="C489" s="1" t="s">
        <v>469</v>
      </c>
      <c r="D489" s="1" t="s">
        <v>19</v>
      </c>
      <c r="E489" s="1" t="s">
        <v>88</v>
      </c>
      <c r="F489" s="1">
        <v>181157.22221055799</v>
      </c>
    </row>
    <row r="490" spans="1:6" ht="14.25" customHeight="1" x14ac:dyDescent="0.3">
      <c r="A490" s="1">
        <v>48893</v>
      </c>
      <c r="B490" s="1" t="s">
        <v>7</v>
      </c>
      <c r="D490" s="1" t="s">
        <v>24</v>
      </c>
      <c r="E490" s="1" t="s">
        <v>25</v>
      </c>
      <c r="F490" s="1">
        <v>154380.56021571899</v>
      </c>
    </row>
    <row r="491" spans="1:6" ht="14.25" customHeight="1" x14ac:dyDescent="0.3">
      <c r="A491" s="1">
        <v>49421</v>
      </c>
      <c r="B491" s="1" t="s">
        <v>7</v>
      </c>
      <c r="C491" s="1" t="s">
        <v>470</v>
      </c>
      <c r="E491" s="1" t="s">
        <v>423</v>
      </c>
      <c r="F491" s="1">
        <v>121863.673029981</v>
      </c>
    </row>
    <row r="492" spans="1:6" ht="14.25" customHeight="1" x14ac:dyDescent="0.3">
      <c r="A492" s="1">
        <v>49283</v>
      </c>
      <c r="B492" s="1" t="s">
        <v>7</v>
      </c>
      <c r="C492" s="1" t="s">
        <v>471</v>
      </c>
      <c r="D492" s="1" t="s">
        <v>27</v>
      </c>
      <c r="E492" s="1" t="s">
        <v>28</v>
      </c>
      <c r="F492" s="1">
        <v>236872.16345661701</v>
      </c>
    </row>
    <row r="493" spans="1:6" ht="14.25" customHeight="1" x14ac:dyDescent="0.3">
      <c r="A493" s="1">
        <v>48744</v>
      </c>
      <c r="B493" s="1" t="s">
        <v>7</v>
      </c>
      <c r="C493" s="1" t="s">
        <v>472</v>
      </c>
      <c r="E493" s="1" t="s">
        <v>278</v>
      </c>
      <c r="F493" s="1">
        <v>126713.742678831</v>
      </c>
    </row>
    <row r="494" spans="1:6" ht="14.25" customHeight="1" x14ac:dyDescent="0.3">
      <c r="A494" s="1">
        <v>48866</v>
      </c>
      <c r="B494" s="1" t="s">
        <v>7</v>
      </c>
      <c r="C494" s="1" t="s">
        <v>473</v>
      </c>
      <c r="D494" s="1" t="s">
        <v>19</v>
      </c>
      <c r="E494" s="1" t="s">
        <v>111</v>
      </c>
      <c r="F494" s="1">
        <v>150330.73428413499</v>
      </c>
    </row>
    <row r="495" spans="1:6" ht="14.25" customHeight="1" x14ac:dyDescent="0.3">
      <c r="A495" s="1">
        <v>49067</v>
      </c>
      <c r="B495" s="1" t="s">
        <v>7</v>
      </c>
      <c r="C495" s="1" t="s">
        <v>474</v>
      </c>
      <c r="D495" s="1" t="s">
        <v>242</v>
      </c>
      <c r="E495" s="1" t="s">
        <v>243</v>
      </c>
      <c r="F495" s="1">
        <v>171053.00081656501</v>
      </c>
    </row>
    <row r="496" spans="1:6" ht="14.25" customHeight="1" x14ac:dyDescent="0.3">
      <c r="A496" s="1">
        <v>48137</v>
      </c>
      <c r="B496" s="1" t="s">
        <v>7</v>
      </c>
      <c r="C496" s="1" t="s">
        <v>475</v>
      </c>
      <c r="D496" s="1" t="s">
        <v>12</v>
      </c>
      <c r="E496" s="1" t="s">
        <v>38</v>
      </c>
      <c r="F496" s="1">
        <v>270586.878939007</v>
      </c>
    </row>
    <row r="497" spans="1:6" ht="14.25" customHeight="1" x14ac:dyDescent="0.3">
      <c r="A497" s="1">
        <v>49265</v>
      </c>
      <c r="B497" s="1" t="s">
        <v>7</v>
      </c>
      <c r="C497" s="1" t="s">
        <v>476</v>
      </c>
      <c r="D497" s="1" t="s">
        <v>55</v>
      </c>
      <c r="E497" s="1" t="s">
        <v>56</v>
      </c>
      <c r="F497" s="1">
        <v>255375.569291994</v>
      </c>
    </row>
    <row r="498" spans="1:6" ht="14.25" customHeight="1" x14ac:dyDescent="0.3">
      <c r="A498" s="1">
        <v>48631</v>
      </c>
      <c r="B498" s="1" t="s">
        <v>7</v>
      </c>
      <c r="D498" s="1" t="s">
        <v>62</v>
      </c>
      <c r="E498" s="1" t="s">
        <v>63</v>
      </c>
      <c r="F498" s="1">
        <v>173982.75581819599</v>
      </c>
    </row>
    <row r="499" spans="1:6" ht="14.25" customHeight="1" x14ac:dyDescent="0.3">
      <c r="A499" s="1">
        <v>49056</v>
      </c>
      <c r="B499" s="1" t="s">
        <v>7</v>
      </c>
      <c r="C499" s="1" t="s">
        <v>477</v>
      </c>
      <c r="E499" s="1" t="s">
        <v>236</v>
      </c>
      <c r="F499" s="1">
        <v>143570.40957201901</v>
      </c>
    </row>
    <row r="500" spans="1:6" ht="14.25" customHeight="1" x14ac:dyDescent="0.3">
      <c r="A500" s="1">
        <v>48450</v>
      </c>
      <c r="B500" s="1" t="s">
        <v>7</v>
      </c>
      <c r="C500" s="1" t="s">
        <v>478</v>
      </c>
      <c r="E500" s="1" t="s">
        <v>408</v>
      </c>
      <c r="F500" s="1">
        <v>172244.101976684</v>
      </c>
    </row>
    <row r="501" spans="1:6" ht="14.25" customHeight="1" x14ac:dyDescent="0.3">
      <c r="A501" s="1">
        <v>49435</v>
      </c>
      <c r="B501" s="1" t="s">
        <v>7</v>
      </c>
      <c r="C501" s="1" t="s">
        <v>479</v>
      </c>
      <c r="D501" s="1" t="s">
        <v>32</v>
      </c>
      <c r="E501" s="1" t="s">
        <v>33</v>
      </c>
      <c r="F501" s="1">
        <v>329901.38075502601</v>
      </c>
    </row>
    <row r="502" spans="1:6" ht="14.25" customHeight="1" x14ac:dyDescent="0.3">
      <c r="A502" s="1">
        <v>48811</v>
      </c>
      <c r="B502" s="1" t="s">
        <v>7</v>
      </c>
      <c r="C502" s="1" t="s">
        <v>480</v>
      </c>
      <c r="D502" s="1" t="s">
        <v>32</v>
      </c>
      <c r="E502" s="1" t="s">
        <v>196</v>
      </c>
      <c r="F502" s="1">
        <v>128647.51120622399</v>
      </c>
    </row>
    <row r="503" spans="1:6" ht="14.25" customHeight="1" x14ac:dyDescent="0.3">
      <c r="A503" s="1">
        <v>48763</v>
      </c>
      <c r="B503" s="1" t="s">
        <v>7</v>
      </c>
      <c r="C503" s="1" t="s">
        <v>481</v>
      </c>
      <c r="E503" s="1" t="s">
        <v>336</v>
      </c>
      <c r="F503" s="1">
        <v>140846.53360693899</v>
      </c>
    </row>
    <row r="504" spans="1:6" ht="14.25" customHeight="1" x14ac:dyDescent="0.3">
      <c r="A504" s="1">
        <v>49779</v>
      </c>
      <c r="B504" s="1" t="s">
        <v>7</v>
      </c>
      <c r="C504" s="1" t="s">
        <v>482</v>
      </c>
      <c r="E504" s="1" t="s">
        <v>483</v>
      </c>
      <c r="F504" s="1">
        <v>112073.592585508</v>
      </c>
    </row>
    <row r="505" spans="1:6" ht="14.25" customHeight="1" x14ac:dyDescent="0.3">
      <c r="A505" s="1">
        <v>49665</v>
      </c>
      <c r="B505" s="1" t="s">
        <v>7</v>
      </c>
      <c r="C505" s="1" t="s">
        <v>484</v>
      </c>
      <c r="E505" s="1" t="s">
        <v>370</v>
      </c>
      <c r="F505" s="1">
        <v>114891.092939072</v>
      </c>
    </row>
    <row r="506" spans="1:6" ht="14.25" customHeight="1" x14ac:dyDescent="0.3">
      <c r="A506" s="1">
        <v>48656</v>
      </c>
      <c r="B506" s="1" t="s">
        <v>7</v>
      </c>
      <c r="C506" s="1" t="s">
        <v>485</v>
      </c>
      <c r="E506" s="1" t="s">
        <v>327</v>
      </c>
      <c r="F506" s="1">
        <v>89977.3439741771</v>
      </c>
    </row>
    <row r="507" spans="1:6" ht="14.25" customHeight="1" x14ac:dyDescent="0.3">
      <c r="A507" s="1">
        <v>48884</v>
      </c>
      <c r="B507" s="1" t="s">
        <v>7</v>
      </c>
      <c r="C507" s="1" t="s">
        <v>486</v>
      </c>
      <c r="D507" s="1" t="s">
        <v>32</v>
      </c>
      <c r="E507" s="1" t="s">
        <v>196</v>
      </c>
      <c r="F507" s="1">
        <v>151957.71494189501</v>
      </c>
    </row>
    <row r="508" spans="1:6" ht="14.25" customHeight="1" x14ac:dyDescent="0.3">
      <c r="A508" s="1">
        <v>48829</v>
      </c>
      <c r="B508" s="1" t="s">
        <v>7</v>
      </c>
      <c r="C508" s="1" t="s">
        <v>487</v>
      </c>
      <c r="D508" s="1" t="s">
        <v>32</v>
      </c>
      <c r="E508" s="1" t="s">
        <v>196</v>
      </c>
      <c r="F508" s="1">
        <v>127564.598511612</v>
      </c>
    </row>
    <row r="509" spans="1:6" ht="14.25" customHeight="1" x14ac:dyDescent="0.3">
      <c r="A509" s="1">
        <v>48023</v>
      </c>
      <c r="B509" s="1" t="s">
        <v>7</v>
      </c>
      <c r="C509" s="1" t="s">
        <v>488</v>
      </c>
      <c r="D509" s="1" t="s">
        <v>12</v>
      </c>
      <c r="E509" s="1" t="s">
        <v>60</v>
      </c>
      <c r="F509" s="1">
        <v>285313.35301053</v>
      </c>
    </row>
    <row r="510" spans="1:6" ht="14.25" customHeight="1" x14ac:dyDescent="0.3">
      <c r="A510" s="1">
        <v>49425</v>
      </c>
      <c r="B510" s="1" t="s">
        <v>7</v>
      </c>
      <c r="C510" s="1" t="s">
        <v>489</v>
      </c>
      <c r="D510" s="1" t="s">
        <v>43</v>
      </c>
      <c r="E510" s="1" t="s">
        <v>44</v>
      </c>
      <c r="F510" s="1">
        <v>173621.235898894</v>
      </c>
    </row>
    <row r="511" spans="1:6" ht="14.25" customHeight="1" x14ac:dyDescent="0.3">
      <c r="A511" s="1">
        <v>48637</v>
      </c>
      <c r="B511" s="1" t="s">
        <v>7</v>
      </c>
      <c r="C511" s="1" t="s">
        <v>490</v>
      </c>
      <c r="D511" s="1" t="s">
        <v>78</v>
      </c>
      <c r="E511" s="1" t="s">
        <v>79</v>
      </c>
      <c r="F511" s="1">
        <v>140893.92218406999</v>
      </c>
    </row>
    <row r="512" spans="1:6" ht="14.25" customHeight="1" x14ac:dyDescent="0.3">
      <c r="A512" s="1">
        <v>48441</v>
      </c>
      <c r="B512" s="1" t="s">
        <v>7</v>
      </c>
      <c r="C512" s="1" t="s">
        <v>491</v>
      </c>
      <c r="E512" s="1" t="s">
        <v>388</v>
      </c>
      <c r="F512" s="1">
        <v>131429.57856938601</v>
      </c>
    </row>
    <row r="513" spans="1:6" ht="14.25" customHeight="1" x14ac:dyDescent="0.3">
      <c r="A513" s="1">
        <v>49633</v>
      </c>
      <c r="B513" s="1" t="s">
        <v>7</v>
      </c>
      <c r="C513" s="1" t="s">
        <v>492</v>
      </c>
      <c r="D513" s="1" t="s">
        <v>146</v>
      </c>
      <c r="E513" s="1" t="s">
        <v>365</v>
      </c>
      <c r="F513" s="1">
        <v>157144.41129015599</v>
      </c>
    </row>
    <row r="514" spans="1:6" ht="14.25" customHeight="1" x14ac:dyDescent="0.3">
      <c r="A514" s="1">
        <v>49128</v>
      </c>
      <c r="B514" s="1" t="s">
        <v>7</v>
      </c>
      <c r="C514" s="1" t="s">
        <v>493</v>
      </c>
      <c r="D514" s="1" t="s">
        <v>69</v>
      </c>
      <c r="E514" s="1" t="s">
        <v>70</v>
      </c>
      <c r="F514" s="1">
        <v>278555.39141601499</v>
      </c>
    </row>
    <row r="515" spans="1:6" ht="14.25" customHeight="1" x14ac:dyDescent="0.3">
      <c r="A515" s="1">
        <v>49749</v>
      </c>
      <c r="B515" s="1" t="s">
        <v>7</v>
      </c>
      <c r="C515" s="1" t="s">
        <v>494</v>
      </c>
      <c r="E515" s="1" t="s">
        <v>249</v>
      </c>
      <c r="F515" s="1">
        <v>211167.42198621901</v>
      </c>
    </row>
    <row r="516" spans="1:6" ht="14.25" customHeight="1" x14ac:dyDescent="0.3">
      <c r="A516" s="1">
        <v>49920</v>
      </c>
      <c r="B516" s="1" t="s">
        <v>7</v>
      </c>
      <c r="C516" s="1" t="s">
        <v>495</v>
      </c>
      <c r="E516" s="1" t="s">
        <v>419</v>
      </c>
      <c r="F516" s="1">
        <v>101837.653232611</v>
      </c>
    </row>
    <row r="517" spans="1:6" ht="14.25" customHeight="1" x14ac:dyDescent="0.3">
      <c r="A517" s="1">
        <v>48014</v>
      </c>
      <c r="B517" s="1" t="s">
        <v>7</v>
      </c>
      <c r="C517" s="1" t="s">
        <v>496</v>
      </c>
      <c r="D517" s="1" t="s">
        <v>12</v>
      </c>
      <c r="E517" s="1" t="s">
        <v>60</v>
      </c>
      <c r="F517" s="1">
        <v>216813.05736764599</v>
      </c>
    </row>
    <row r="518" spans="1:6" ht="14.25" customHeight="1" x14ac:dyDescent="0.3">
      <c r="A518" s="1">
        <v>48006</v>
      </c>
      <c r="B518" s="1" t="s">
        <v>7</v>
      </c>
      <c r="C518" s="1" t="s">
        <v>497</v>
      </c>
      <c r="D518" s="1" t="s">
        <v>12</v>
      </c>
      <c r="E518" s="1" t="s">
        <v>60</v>
      </c>
      <c r="F518" s="1">
        <v>252182.58451500701</v>
      </c>
    </row>
    <row r="519" spans="1:6" ht="14.25" customHeight="1" x14ac:dyDescent="0.3">
      <c r="A519" s="1">
        <v>48064</v>
      </c>
      <c r="B519" s="1" t="s">
        <v>7</v>
      </c>
      <c r="C519" s="1" t="s">
        <v>498</v>
      </c>
      <c r="D519" s="1" t="s">
        <v>12</v>
      </c>
      <c r="E519" s="1" t="s">
        <v>60</v>
      </c>
      <c r="F519" s="1">
        <v>300187.44321639399</v>
      </c>
    </row>
    <row r="520" spans="1:6" ht="14.25" customHeight="1" x14ac:dyDescent="0.3">
      <c r="A520" s="1">
        <v>49657</v>
      </c>
      <c r="B520" s="1" t="s">
        <v>7</v>
      </c>
      <c r="C520" s="1" t="s">
        <v>499</v>
      </c>
      <c r="D520" s="1" t="s">
        <v>152</v>
      </c>
      <c r="E520" s="1" t="s">
        <v>372</v>
      </c>
      <c r="F520" s="1">
        <v>174493.63593637</v>
      </c>
    </row>
    <row r="521" spans="1:6" ht="14.25" customHeight="1" x14ac:dyDescent="0.3">
      <c r="A521" s="1">
        <v>48063</v>
      </c>
      <c r="B521" s="1" t="s">
        <v>7</v>
      </c>
      <c r="C521" s="1" t="s">
        <v>500</v>
      </c>
      <c r="D521" s="1" t="s">
        <v>12</v>
      </c>
      <c r="E521" s="1" t="s">
        <v>60</v>
      </c>
      <c r="F521" s="1">
        <v>316555.22683832602</v>
      </c>
    </row>
    <row r="522" spans="1:6" ht="14.25" customHeight="1" x14ac:dyDescent="0.3">
      <c r="A522" s="1">
        <v>48096</v>
      </c>
      <c r="B522" s="1" t="s">
        <v>7</v>
      </c>
      <c r="C522" s="1" t="s">
        <v>501</v>
      </c>
      <c r="D522" s="1" t="s">
        <v>12</v>
      </c>
      <c r="E522" s="1" t="s">
        <v>16</v>
      </c>
      <c r="F522" s="1">
        <v>328937.41337745299</v>
      </c>
    </row>
    <row r="523" spans="1:6" ht="14.25" customHeight="1" x14ac:dyDescent="0.3">
      <c r="A523" s="1">
        <v>49274</v>
      </c>
      <c r="B523" s="1" t="s">
        <v>7</v>
      </c>
      <c r="C523" s="1" t="s">
        <v>502</v>
      </c>
      <c r="D523" s="1" t="s">
        <v>238</v>
      </c>
      <c r="E523" s="1" t="s">
        <v>239</v>
      </c>
      <c r="F523" s="1">
        <v>149987.69421182599</v>
      </c>
    </row>
    <row r="524" spans="1:6" ht="14.25" customHeight="1" x14ac:dyDescent="0.3">
      <c r="A524" s="1">
        <v>49765</v>
      </c>
      <c r="B524" s="1" t="s">
        <v>7</v>
      </c>
      <c r="C524" s="1" t="s">
        <v>503</v>
      </c>
      <c r="E524" s="1" t="s">
        <v>249</v>
      </c>
      <c r="F524" s="1">
        <v>113919.700744873</v>
      </c>
    </row>
    <row r="525" spans="1:6" ht="14.25" customHeight="1" x14ac:dyDescent="0.3">
      <c r="A525" s="1">
        <v>49106</v>
      </c>
      <c r="B525" s="1" t="s">
        <v>7</v>
      </c>
      <c r="C525" s="1" t="s">
        <v>504</v>
      </c>
      <c r="D525" s="1" t="s">
        <v>69</v>
      </c>
      <c r="E525" s="1" t="s">
        <v>70</v>
      </c>
      <c r="F525" s="1">
        <v>283355.95853820298</v>
      </c>
    </row>
    <row r="526" spans="1:6" ht="14.25" customHeight="1" x14ac:dyDescent="0.3">
      <c r="A526" s="1">
        <v>49267</v>
      </c>
      <c r="B526" s="1" t="s">
        <v>7</v>
      </c>
      <c r="C526" s="1" t="s">
        <v>505</v>
      </c>
      <c r="D526" s="1" t="s">
        <v>114</v>
      </c>
      <c r="E526" s="1" t="s">
        <v>115</v>
      </c>
      <c r="F526" s="1">
        <v>264152.66541060398</v>
      </c>
    </row>
    <row r="527" spans="1:6" ht="14.25" customHeight="1" x14ac:dyDescent="0.3">
      <c r="A527" s="1">
        <v>49715</v>
      </c>
      <c r="B527" s="1" t="s">
        <v>7</v>
      </c>
      <c r="C527" s="1" t="s">
        <v>506</v>
      </c>
      <c r="D527" s="1" t="s">
        <v>200</v>
      </c>
      <c r="E527" s="1" t="s">
        <v>201</v>
      </c>
      <c r="F527" s="1">
        <v>151613.30771014001</v>
      </c>
    </row>
    <row r="528" spans="1:6" ht="14.25" customHeight="1" x14ac:dyDescent="0.3">
      <c r="A528" s="1">
        <v>49946</v>
      </c>
      <c r="B528" s="1" t="s">
        <v>7</v>
      </c>
      <c r="C528" s="1" t="s">
        <v>507</v>
      </c>
      <c r="E528" s="1" t="s">
        <v>508</v>
      </c>
      <c r="F528" s="1">
        <v>112281.40302090401</v>
      </c>
    </row>
    <row r="529" spans="1:6" ht="14.25" customHeight="1" x14ac:dyDescent="0.3">
      <c r="A529" s="1">
        <v>49117</v>
      </c>
      <c r="B529" s="1" t="s">
        <v>7</v>
      </c>
      <c r="C529" s="1" t="s">
        <v>509</v>
      </c>
      <c r="D529" s="1" t="s">
        <v>69</v>
      </c>
      <c r="E529" s="1" t="s">
        <v>70</v>
      </c>
      <c r="F529" s="1">
        <v>539722.68659745902</v>
      </c>
    </row>
    <row r="530" spans="1:6" ht="14.25" customHeight="1" x14ac:dyDescent="0.3">
      <c r="A530" s="1">
        <v>48041</v>
      </c>
      <c r="B530" s="1" t="s">
        <v>7</v>
      </c>
      <c r="C530" s="1" t="s">
        <v>510</v>
      </c>
      <c r="D530" s="1" t="s">
        <v>12</v>
      </c>
      <c r="E530" s="1" t="s">
        <v>60</v>
      </c>
      <c r="F530" s="1">
        <v>266761.48543664301</v>
      </c>
    </row>
    <row r="531" spans="1:6" ht="14.25" customHeight="1" x14ac:dyDescent="0.3">
      <c r="A531" s="1">
        <v>49756</v>
      </c>
      <c r="B531" s="1" t="s">
        <v>7</v>
      </c>
      <c r="C531" s="1" t="s">
        <v>511</v>
      </c>
      <c r="E531" s="1" t="s">
        <v>512</v>
      </c>
      <c r="F531" s="1">
        <v>103486.980149244</v>
      </c>
    </row>
    <row r="532" spans="1:6" ht="14.25" customHeight="1" x14ac:dyDescent="0.3">
      <c r="A532" s="1">
        <v>49615</v>
      </c>
      <c r="B532" s="1" t="s">
        <v>7</v>
      </c>
      <c r="C532" s="1" t="s">
        <v>513</v>
      </c>
      <c r="E532" s="1" t="s">
        <v>359</v>
      </c>
      <c r="F532" s="1">
        <v>294949.81116277399</v>
      </c>
    </row>
    <row r="533" spans="1:6" ht="14.25" customHeight="1" x14ac:dyDescent="0.3">
      <c r="A533" s="1">
        <v>49682</v>
      </c>
      <c r="B533" s="1" t="s">
        <v>7</v>
      </c>
      <c r="C533" s="1" t="s">
        <v>514</v>
      </c>
      <c r="D533" s="1" t="s">
        <v>146</v>
      </c>
      <c r="E533" s="1" t="s">
        <v>515</v>
      </c>
      <c r="F533" s="1">
        <v>467752.29829083302</v>
      </c>
    </row>
    <row r="534" spans="1:6" ht="14.25" customHeight="1" x14ac:dyDescent="0.3">
      <c r="A534" s="1">
        <v>48418</v>
      </c>
      <c r="B534" s="1" t="s">
        <v>7</v>
      </c>
      <c r="C534" s="1" t="s">
        <v>516</v>
      </c>
      <c r="D534" s="1" t="s">
        <v>19</v>
      </c>
      <c r="E534" s="1" t="s">
        <v>111</v>
      </c>
      <c r="F534" s="1">
        <v>234461.41193578401</v>
      </c>
    </row>
    <row r="535" spans="1:6" ht="14.25" customHeight="1" x14ac:dyDescent="0.3">
      <c r="A535" s="1">
        <v>48739</v>
      </c>
      <c r="B535" s="1" t="s">
        <v>7</v>
      </c>
      <c r="C535" s="1" t="s">
        <v>517</v>
      </c>
      <c r="E535" s="1" t="s">
        <v>336</v>
      </c>
      <c r="F535" s="1">
        <v>126092.62399602401</v>
      </c>
    </row>
    <row r="536" spans="1:6" ht="14.25" customHeight="1" x14ac:dyDescent="0.3">
      <c r="A536" s="1">
        <v>48436</v>
      </c>
      <c r="B536" s="1" t="s">
        <v>7</v>
      </c>
      <c r="C536" s="1" t="s">
        <v>159</v>
      </c>
      <c r="D536" s="1" t="s">
        <v>35</v>
      </c>
      <c r="E536" s="1" t="s">
        <v>36</v>
      </c>
      <c r="F536" s="1">
        <v>231476.24610029001</v>
      </c>
    </row>
    <row r="537" spans="1:6" ht="14.25" customHeight="1" x14ac:dyDescent="0.3">
      <c r="A537" s="1">
        <v>49328</v>
      </c>
      <c r="B537" s="1" t="s">
        <v>7</v>
      </c>
      <c r="C537" s="1" t="s">
        <v>518</v>
      </c>
      <c r="D537" s="1" t="s">
        <v>184</v>
      </c>
      <c r="E537" s="1" t="s">
        <v>185</v>
      </c>
      <c r="F537" s="1">
        <v>232395.02538637101</v>
      </c>
    </row>
    <row r="538" spans="1:6" ht="14.25" customHeight="1" x14ac:dyDescent="0.3">
      <c r="A538" s="1">
        <v>49094</v>
      </c>
      <c r="B538" s="1" t="s">
        <v>7</v>
      </c>
      <c r="C538" s="1" t="s">
        <v>519</v>
      </c>
      <c r="D538" s="1" t="s">
        <v>143</v>
      </c>
      <c r="E538" s="1" t="s">
        <v>144</v>
      </c>
      <c r="F538" s="1">
        <v>118601.338265189</v>
      </c>
    </row>
    <row r="539" spans="1:6" ht="14.25" customHeight="1" x14ac:dyDescent="0.3">
      <c r="A539" s="1">
        <v>49340</v>
      </c>
      <c r="B539" s="1" t="s">
        <v>7</v>
      </c>
      <c r="C539" s="1" t="s">
        <v>520</v>
      </c>
      <c r="D539" s="1" t="s">
        <v>173</v>
      </c>
      <c r="E539" s="1" t="s">
        <v>174</v>
      </c>
      <c r="F539" s="1">
        <v>131676.820406846</v>
      </c>
    </row>
    <row r="540" spans="1:6" ht="14.25" customHeight="1" x14ac:dyDescent="0.3">
      <c r="A540" s="1">
        <v>49326</v>
      </c>
      <c r="B540" s="1" t="s">
        <v>7</v>
      </c>
      <c r="C540" s="1" t="s">
        <v>521</v>
      </c>
      <c r="D540" s="1" t="s">
        <v>32</v>
      </c>
      <c r="E540" s="1" t="s">
        <v>196</v>
      </c>
      <c r="F540" s="1">
        <v>220957.39585437399</v>
      </c>
    </row>
    <row r="541" spans="1:6" ht="14.25" customHeight="1" x14ac:dyDescent="0.3">
      <c r="A541" s="1">
        <v>49454</v>
      </c>
      <c r="B541" s="1" t="s">
        <v>7</v>
      </c>
      <c r="C541" s="1" t="s">
        <v>522</v>
      </c>
      <c r="D541" s="1" t="s">
        <v>205</v>
      </c>
      <c r="E541" s="1" t="s">
        <v>206</v>
      </c>
      <c r="F541" s="1">
        <v>155983.13590264801</v>
      </c>
    </row>
    <row r="542" spans="1:6" ht="14.25" customHeight="1" x14ac:dyDescent="0.3">
      <c r="A542" s="1">
        <v>49676</v>
      </c>
      <c r="B542" s="1" t="s">
        <v>7</v>
      </c>
      <c r="C542" s="1" t="s">
        <v>523</v>
      </c>
      <c r="D542" s="1" t="s">
        <v>146</v>
      </c>
      <c r="E542" s="1" t="s">
        <v>365</v>
      </c>
      <c r="F542" s="1">
        <v>296055.97326140298</v>
      </c>
    </row>
    <row r="543" spans="1:6" ht="14.25" customHeight="1" x14ac:dyDescent="0.3">
      <c r="A543" s="1">
        <v>48831</v>
      </c>
      <c r="B543" s="1" t="s">
        <v>7</v>
      </c>
      <c r="C543" s="1" t="s">
        <v>524</v>
      </c>
      <c r="D543" s="1" t="s">
        <v>19</v>
      </c>
      <c r="E543" s="1" t="s">
        <v>190</v>
      </c>
      <c r="F543" s="1">
        <v>149568.16358985199</v>
      </c>
    </row>
    <row r="544" spans="1:6" ht="14.25" customHeight="1" x14ac:dyDescent="0.3">
      <c r="A544" s="1">
        <v>49448</v>
      </c>
      <c r="B544" s="1" t="s">
        <v>7</v>
      </c>
      <c r="C544" s="1" t="s">
        <v>525</v>
      </c>
      <c r="D544" s="1" t="s">
        <v>32</v>
      </c>
      <c r="E544" s="1" t="s">
        <v>33</v>
      </c>
      <c r="F544" s="1">
        <v>292648.21325824299</v>
      </c>
    </row>
    <row r="545" spans="1:6" ht="14.25" customHeight="1" x14ac:dyDescent="0.3">
      <c r="A545" s="1">
        <v>49256</v>
      </c>
      <c r="B545" s="1" t="s">
        <v>7</v>
      </c>
      <c r="C545" s="1" t="s">
        <v>526</v>
      </c>
      <c r="D545" s="1" t="s">
        <v>55</v>
      </c>
      <c r="E545" s="1" t="s">
        <v>56</v>
      </c>
      <c r="F545" s="1">
        <v>121677.666250394</v>
      </c>
    </row>
    <row r="546" spans="1:6" ht="14.25" customHeight="1" x14ac:dyDescent="0.3">
      <c r="A546" s="1">
        <v>49304</v>
      </c>
      <c r="B546" s="1" t="s">
        <v>7</v>
      </c>
      <c r="C546" s="1" t="s">
        <v>527</v>
      </c>
      <c r="E546" s="1" t="s">
        <v>528</v>
      </c>
      <c r="F546" s="1">
        <v>75570.416184284797</v>
      </c>
    </row>
    <row r="547" spans="1:6" ht="14.25" customHeight="1" x14ac:dyDescent="0.3">
      <c r="A547" s="1">
        <v>49229</v>
      </c>
      <c r="B547" s="1" t="s">
        <v>7</v>
      </c>
      <c r="C547" s="1" t="s">
        <v>529</v>
      </c>
      <c r="D547" s="1" t="s">
        <v>55</v>
      </c>
      <c r="E547" s="1" t="s">
        <v>56</v>
      </c>
      <c r="F547" s="1">
        <v>223779.79964607401</v>
      </c>
    </row>
    <row r="548" spans="1:6" ht="14.25" customHeight="1" x14ac:dyDescent="0.3">
      <c r="A548" s="1">
        <v>49064</v>
      </c>
      <c r="B548" s="1" t="s">
        <v>7</v>
      </c>
      <c r="C548" s="1" t="s">
        <v>530</v>
      </c>
      <c r="E548" s="1" t="s">
        <v>236</v>
      </c>
      <c r="F548" s="1">
        <v>180020.44495933299</v>
      </c>
    </row>
    <row r="549" spans="1:6" ht="14.25" customHeight="1" x14ac:dyDescent="0.3">
      <c r="A549" s="1">
        <v>49012</v>
      </c>
      <c r="B549" s="1" t="s">
        <v>7</v>
      </c>
      <c r="C549" s="1" t="s">
        <v>531</v>
      </c>
      <c r="D549" s="1" t="s">
        <v>46</v>
      </c>
      <c r="E549" s="1" t="s">
        <v>47</v>
      </c>
      <c r="F549" s="1">
        <v>249387.48587108101</v>
      </c>
    </row>
    <row r="550" spans="1:6" ht="14.25" customHeight="1" x14ac:dyDescent="0.3">
      <c r="A550" s="1">
        <v>49072</v>
      </c>
      <c r="B550" s="1" t="s">
        <v>7</v>
      </c>
      <c r="C550" s="1" t="s">
        <v>532</v>
      </c>
      <c r="D550" s="1" t="s">
        <v>187</v>
      </c>
      <c r="E550" s="1" t="s">
        <v>188</v>
      </c>
      <c r="F550" s="1">
        <v>154000.671114722</v>
      </c>
    </row>
    <row r="551" spans="1:6" ht="14.25" customHeight="1" x14ac:dyDescent="0.3">
      <c r="A551" s="1">
        <v>49101</v>
      </c>
      <c r="B551" s="1" t="s">
        <v>7</v>
      </c>
      <c r="C551" s="1" t="s">
        <v>533</v>
      </c>
      <c r="D551" s="1" t="s">
        <v>69</v>
      </c>
      <c r="E551" s="1" t="s">
        <v>70</v>
      </c>
      <c r="F551" s="1">
        <v>281501.60599463899</v>
      </c>
    </row>
    <row r="552" spans="1:6" ht="14.25" customHeight="1" x14ac:dyDescent="0.3">
      <c r="A552" s="1">
        <v>49284</v>
      </c>
      <c r="B552" s="1" t="s">
        <v>7</v>
      </c>
      <c r="C552" s="1" t="s">
        <v>534</v>
      </c>
      <c r="D552" s="1" t="s">
        <v>27</v>
      </c>
      <c r="E552" s="1" t="s">
        <v>28</v>
      </c>
      <c r="F552" s="1">
        <v>166502.25026342101</v>
      </c>
    </row>
    <row r="553" spans="1:6" ht="14.25" customHeight="1" x14ac:dyDescent="0.3">
      <c r="A553" s="1">
        <v>49246</v>
      </c>
      <c r="B553" s="1" t="s">
        <v>7</v>
      </c>
      <c r="C553" s="1" t="s">
        <v>535</v>
      </c>
      <c r="D553" s="1" t="s">
        <v>27</v>
      </c>
      <c r="E553" s="1" t="s">
        <v>28</v>
      </c>
      <c r="F553" s="1">
        <v>236404.232826625</v>
      </c>
    </row>
    <row r="554" spans="1:6" ht="14.25" customHeight="1" x14ac:dyDescent="0.3">
      <c r="A554" s="1">
        <v>49111</v>
      </c>
      <c r="B554" s="1" t="s">
        <v>7</v>
      </c>
      <c r="C554" s="1" t="s">
        <v>536</v>
      </c>
      <c r="D554" s="1" t="s">
        <v>69</v>
      </c>
      <c r="E554" s="1" t="s">
        <v>70</v>
      </c>
      <c r="F554" s="1">
        <v>196643.807585979</v>
      </c>
    </row>
    <row r="555" spans="1:6" ht="14.25" customHeight="1" x14ac:dyDescent="0.3">
      <c r="A555" s="1">
        <v>49709</v>
      </c>
      <c r="B555" s="1" t="s">
        <v>7</v>
      </c>
      <c r="C555" s="1" t="s">
        <v>537</v>
      </c>
      <c r="E555" s="1" t="s">
        <v>538</v>
      </c>
      <c r="F555" s="1">
        <v>95178.844456064704</v>
      </c>
    </row>
    <row r="556" spans="1:6" ht="14.25" customHeight="1" x14ac:dyDescent="0.3">
      <c r="A556" s="1">
        <v>49088</v>
      </c>
      <c r="B556" s="1" t="s">
        <v>7</v>
      </c>
      <c r="C556" s="1" t="s">
        <v>539</v>
      </c>
      <c r="D556" s="1" t="s">
        <v>46</v>
      </c>
      <c r="E556" s="1" t="s">
        <v>47</v>
      </c>
      <c r="F556" s="1">
        <v>266831.83100545302</v>
      </c>
    </row>
    <row r="557" spans="1:6" ht="14.25" customHeight="1" x14ac:dyDescent="0.3">
      <c r="A557" s="1">
        <v>49635</v>
      </c>
      <c r="B557" s="1" t="s">
        <v>7</v>
      </c>
      <c r="C557" s="1" t="s">
        <v>540</v>
      </c>
      <c r="D557" s="1" t="s">
        <v>146</v>
      </c>
      <c r="E557" s="1" t="s">
        <v>541</v>
      </c>
      <c r="F557" s="1">
        <v>379677.14440734999</v>
      </c>
    </row>
    <row r="558" spans="1:6" ht="14.25" customHeight="1" x14ac:dyDescent="0.3">
      <c r="A558" s="1">
        <v>49862</v>
      </c>
      <c r="B558" s="1" t="s">
        <v>7</v>
      </c>
      <c r="C558" s="1" t="s">
        <v>542</v>
      </c>
      <c r="E558" s="1" t="s">
        <v>543</v>
      </c>
      <c r="F558" s="1">
        <v>144395.09674110799</v>
      </c>
    </row>
    <row r="559" spans="1:6" ht="14.25" customHeight="1" x14ac:dyDescent="0.3">
      <c r="A559" s="1">
        <v>48634</v>
      </c>
      <c r="B559" s="1" t="s">
        <v>7</v>
      </c>
      <c r="C559" s="1" t="s">
        <v>544</v>
      </c>
      <c r="D559" s="1" t="s">
        <v>62</v>
      </c>
      <c r="E559" s="1" t="s">
        <v>63</v>
      </c>
      <c r="F559" s="1">
        <v>145932.95680181801</v>
      </c>
    </row>
    <row r="560" spans="1:6" ht="14.25" customHeight="1" x14ac:dyDescent="0.3">
      <c r="A560" s="1">
        <v>48757</v>
      </c>
      <c r="B560" s="1" t="s">
        <v>7</v>
      </c>
      <c r="C560" s="1" t="s">
        <v>545</v>
      </c>
      <c r="E560" s="1" t="s">
        <v>278</v>
      </c>
      <c r="F560" s="1">
        <v>167270.456065515</v>
      </c>
    </row>
    <row r="561" spans="1:6" ht="14.25" customHeight="1" x14ac:dyDescent="0.3">
      <c r="A561" s="1">
        <v>49034</v>
      </c>
      <c r="B561" s="1" t="s">
        <v>7</v>
      </c>
      <c r="C561" s="1" t="s">
        <v>546</v>
      </c>
      <c r="D561" s="1" t="s">
        <v>46</v>
      </c>
      <c r="E561" s="1" t="s">
        <v>47</v>
      </c>
      <c r="F561" s="1">
        <v>211383.55419573301</v>
      </c>
    </row>
    <row r="562" spans="1:6" ht="14.25" customHeight="1" x14ac:dyDescent="0.3">
      <c r="A562" s="1">
        <v>48647</v>
      </c>
      <c r="B562" s="1" t="s">
        <v>7</v>
      </c>
      <c r="C562" s="1" t="s">
        <v>547</v>
      </c>
      <c r="E562" s="1" t="s">
        <v>512</v>
      </c>
      <c r="F562" s="1">
        <v>74005.850355764502</v>
      </c>
    </row>
    <row r="563" spans="1:6" ht="14.25" customHeight="1" x14ac:dyDescent="0.3">
      <c r="A563" s="1">
        <v>48179</v>
      </c>
      <c r="B563" s="1" t="s">
        <v>7</v>
      </c>
      <c r="C563" s="1" t="s">
        <v>548</v>
      </c>
      <c r="D563" s="1" t="s">
        <v>114</v>
      </c>
      <c r="E563" s="1" t="s">
        <v>115</v>
      </c>
      <c r="F563" s="1">
        <v>252757.249321084</v>
      </c>
    </row>
    <row r="564" spans="1:6" ht="14.25" customHeight="1" x14ac:dyDescent="0.3">
      <c r="A564" s="1">
        <v>49310</v>
      </c>
      <c r="B564" s="1" t="s">
        <v>7</v>
      </c>
      <c r="C564" s="1" t="s">
        <v>549</v>
      </c>
      <c r="D564" s="1" t="s">
        <v>24</v>
      </c>
      <c r="E564" s="1" t="s">
        <v>25</v>
      </c>
      <c r="F564" s="1">
        <v>146410.331482554</v>
      </c>
    </row>
    <row r="565" spans="1:6" ht="14.25" customHeight="1" x14ac:dyDescent="0.3">
      <c r="A565" s="1">
        <v>49237</v>
      </c>
      <c r="B565" s="1" t="s">
        <v>7</v>
      </c>
      <c r="C565" s="1" t="s">
        <v>550</v>
      </c>
      <c r="D565" s="1" t="s">
        <v>27</v>
      </c>
      <c r="E565" s="1" t="s">
        <v>28</v>
      </c>
      <c r="F565" s="1">
        <v>188076.11469123099</v>
      </c>
    </row>
    <row r="566" spans="1:6" ht="14.25" customHeight="1" x14ac:dyDescent="0.3">
      <c r="A566" s="1">
        <v>49781</v>
      </c>
      <c r="B566" s="1" t="s">
        <v>7</v>
      </c>
      <c r="C566" s="1" t="s">
        <v>551</v>
      </c>
      <c r="E566" s="1" t="s">
        <v>552</v>
      </c>
      <c r="F566" s="1">
        <v>152282.034726793</v>
      </c>
    </row>
    <row r="567" spans="1:6" ht="14.25" customHeight="1" x14ac:dyDescent="0.3">
      <c r="A567" s="1">
        <v>49746</v>
      </c>
      <c r="B567" s="1" t="s">
        <v>7</v>
      </c>
      <c r="C567" s="1" t="s">
        <v>553</v>
      </c>
      <c r="E567" s="1" t="s">
        <v>538</v>
      </c>
      <c r="F567" s="1">
        <v>116352.102452914</v>
      </c>
    </row>
    <row r="568" spans="1:6" ht="14.25" customHeight="1" x14ac:dyDescent="0.3">
      <c r="A568" s="1">
        <v>48857</v>
      </c>
      <c r="B568" s="1" t="s">
        <v>7</v>
      </c>
      <c r="C568" s="1" t="s">
        <v>554</v>
      </c>
      <c r="D568" s="1" t="s">
        <v>19</v>
      </c>
      <c r="E568" s="1" t="s">
        <v>111</v>
      </c>
      <c r="F568" s="1">
        <v>176718.67642144699</v>
      </c>
    </row>
    <row r="569" spans="1:6" ht="14.25" customHeight="1" x14ac:dyDescent="0.3">
      <c r="A569" s="1">
        <v>49887</v>
      </c>
      <c r="B569" s="1" t="s">
        <v>7</v>
      </c>
      <c r="C569" s="1" t="s">
        <v>555</v>
      </c>
      <c r="D569" s="1" t="s">
        <v>281</v>
      </c>
      <c r="E569" s="1" t="s">
        <v>282</v>
      </c>
      <c r="F569" s="1">
        <v>133720.57436699601</v>
      </c>
    </row>
    <row r="570" spans="1:6" ht="14.25" customHeight="1" x14ac:dyDescent="0.3">
      <c r="A570" s="1">
        <v>48876</v>
      </c>
      <c r="B570" s="1" t="s">
        <v>7</v>
      </c>
      <c r="C570" s="1" t="s">
        <v>556</v>
      </c>
      <c r="D570" s="1" t="s">
        <v>19</v>
      </c>
      <c r="E570" s="1" t="s">
        <v>88</v>
      </c>
      <c r="F570" s="1">
        <v>194416.61946298199</v>
      </c>
    </row>
    <row r="571" spans="1:6" ht="14.25" customHeight="1" x14ac:dyDescent="0.3">
      <c r="A571" s="1">
        <v>49621</v>
      </c>
      <c r="B571" s="1" t="s">
        <v>7</v>
      </c>
      <c r="C571" s="1" t="s">
        <v>557</v>
      </c>
      <c r="D571" s="1" t="s">
        <v>146</v>
      </c>
      <c r="E571" s="1" t="s">
        <v>515</v>
      </c>
      <c r="F571" s="1">
        <v>378175.363030601</v>
      </c>
    </row>
    <row r="572" spans="1:6" ht="14.25" customHeight="1" x14ac:dyDescent="0.3">
      <c r="A572" s="1">
        <v>48851</v>
      </c>
      <c r="B572" s="1" t="s">
        <v>7</v>
      </c>
      <c r="C572" s="1" t="s">
        <v>558</v>
      </c>
      <c r="D572" s="1" t="s">
        <v>32</v>
      </c>
      <c r="E572" s="1" t="s">
        <v>178</v>
      </c>
      <c r="F572" s="1">
        <v>185807.26487406599</v>
      </c>
    </row>
    <row r="573" spans="1:6" ht="14.25" customHeight="1" x14ac:dyDescent="0.3">
      <c r="A573" s="1">
        <v>49870</v>
      </c>
      <c r="B573" s="1" t="s">
        <v>7</v>
      </c>
      <c r="C573" s="1" t="s">
        <v>559</v>
      </c>
      <c r="D573" s="1" t="s">
        <v>291</v>
      </c>
      <c r="E573" s="1" t="s">
        <v>292</v>
      </c>
      <c r="F573" s="1">
        <v>93104.064424774799</v>
      </c>
    </row>
    <row r="574" spans="1:6" ht="14.25" customHeight="1" x14ac:dyDescent="0.3">
      <c r="A574" s="1">
        <v>49096</v>
      </c>
      <c r="B574" s="1" t="s">
        <v>7</v>
      </c>
      <c r="C574" s="1" t="s">
        <v>560</v>
      </c>
      <c r="D574" s="1" t="s">
        <v>19</v>
      </c>
      <c r="E574" s="1" t="s">
        <v>88</v>
      </c>
      <c r="F574" s="1">
        <v>186018.62036032899</v>
      </c>
    </row>
    <row r="575" spans="1:6" ht="14.25" customHeight="1" x14ac:dyDescent="0.3">
      <c r="A575" s="1">
        <v>48002</v>
      </c>
      <c r="B575" s="1" t="s">
        <v>7</v>
      </c>
      <c r="C575" s="1" t="s">
        <v>561</v>
      </c>
      <c r="D575" s="1" t="s">
        <v>12</v>
      </c>
      <c r="E575" s="1" t="s">
        <v>60</v>
      </c>
      <c r="F575" s="1">
        <v>294179.46095835598</v>
      </c>
    </row>
    <row r="576" spans="1:6" ht="14.25" customHeight="1" x14ac:dyDescent="0.3">
      <c r="A576" s="1">
        <v>49403</v>
      </c>
      <c r="B576" s="1" t="s">
        <v>7</v>
      </c>
      <c r="C576" s="1" t="s">
        <v>562</v>
      </c>
      <c r="D576" s="1" t="s">
        <v>32</v>
      </c>
      <c r="E576" s="1" t="s">
        <v>33</v>
      </c>
      <c r="F576" s="1">
        <v>286233.81717696303</v>
      </c>
    </row>
    <row r="577" spans="1:6" ht="14.25" customHeight="1" x14ac:dyDescent="0.3">
      <c r="A577" s="1">
        <v>48027</v>
      </c>
      <c r="B577" s="1" t="s">
        <v>7</v>
      </c>
      <c r="C577" s="1" t="s">
        <v>563</v>
      </c>
      <c r="D577" s="1" t="s">
        <v>12</v>
      </c>
      <c r="E577" s="1" t="s">
        <v>60</v>
      </c>
      <c r="F577" s="1">
        <v>266613.52487343398</v>
      </c>
    </row>
    <row r="578" spans="1:6" ht="14.25" customHeight="1" x14ac:dyDescent="0.3">
      <c r="A578" s="1">
        <v>49266</v>
      </c>
      <c r="B578" s="1" t="s">
        <v>7</v>
      </c>
      <c r="C578" s="1" t="s">
        <v>564</v>
      </c>
      <c r="D578" s="1" t="s">
        <v>238</v>
      </c>
      <c r="E578" s="1" t="s">
        <v>239</v>
      </c>
      <c r="F578" s="1">
        <v>168393.07515789499</v>
      </c>
    </row>
    <row r="579" spans="1:6" ht="14.25" customHeight="1" x14ac:dyDescent="0.3">
      <c r="A579" s="1">
        <v>49040</v>
      </c>
      <c r="B579" s="1" t="s">
        <v>7</v>
      </c>
      <c r="C579" s="1" t="s">
        <v>565</v>
      </c>
      <c r="D579" s="1" t="s">
        <v>187</v>
      </c>
      <c r="E579" s="1" t="s">
        <v>188</v>
      </c>
      <c r="F579" s="1">
        <v>152104.08999695801</v>
      </c>
    </row>
    <row r="580" spans="1:6" ht="14.25" customHeight="1" x14ac:dyDescent="0.3">
      <c r="A580" s="1">
        <v>48145</v>
      </c>
      <c r="B580" s="1" t="s">
        <v>7</v>
      </c>
      <c r="C580" s="1" t="s">
        <v>566</v>
      </c>
      <c r="D580" s="1" t="s">
        <v>114</v>
      </c>
      <c r="E580" s="1" t="s">
        <v>115</v>
      </c>
      <c r="F580" s="1">
        <v>215024.24802296099</v>
      </c>
    </row>
    <row r="581" spans="1:6" ht="14.25" customHeight="1" x14ac:dyDescent="0.3">
      <c r="A581" s="1">
        <v>49953</v>
      </c>
      <c r="B581" s="1" t="s">
        <v>7</v>
      </c>
      <c r="C581" s="1" t="s">
        <v>567</v>
      </c>
      <c r="E581" s="1" t="s">
        <v>568</v>
      </c>
      <c r="F581" s="1">
        <v>91315.608865653499</v>
      </c>
    </row>
    <row r="582" spans="1:6" ht="14.25" customHeight="1" x14ac:dyDescent="0.3">
      <c r="A582" s="1">
        <v>48159</v>
      </c>
      <c r="B582" s="1" t="s">
        <v>7</v>
      </c>
      <c r="C582" s="1" t="s">
        <v>569</v>
      </c>
      <c r="D582" s="1" t="s">
        <v>114</v>
      </c>
      <c r="E582" s="1" t="s">
        <v>115</v>
      </c>
      <c r="F582" s="1">
        <v>225669.73528266701</v>
      </c>
    </row>
    <row r="583" spans="1:6" ht="14.25" customHeight="1" x14ac:dyDescent="0.3">
      <c r="A583" s="1">
        <v>48610</v>
      </c>
      <c r="B583" s="1" t="s">
        <v>7</v>
      </c>
      <c r="C583" s="1" t="s">
        <v>570</v>
      </c>
      <c r="E583" s="1" t="s">
        <v>304</v>
      </c>
      <c r="F583" s="1">
        <v>86146.374444701694</v>
      </c>
    </row>
    <row r="584" spans="1:6" ht="14.25" customHeight="1" x14ac:dyDescent="0.3">
      <c r="A584" s="1">
        <v>49614</v>
      </c>
      <c r="B584" s="1" t="s">
        <v>7</v>
      </c>
      <c r="C584" s="1" t="s">
        <v>571</v>
      </c>
      <c r="E584" s="1" t="s">
        <v>245</v>
      </c>
      <c r="F584" s="1">
        <v>210323.90275307701</v>
      </c>
    </row>
    <row r="585" spans="1:6" ht="14.25" customHeight="1" x14ac:dyDescent="0.3">
      <c r="A585" s="1">
        <v>49878</v>
      </c>
      <c r="B585" s="1" t="s">
        <v>7</v>
      </c>
      <c r="C585" s="1" t="s">
        <v>572</v>
      </c>
      <c r="D585" s="1" t="s">
        <v>223</v>
      </c>
      <c r="E585" s="1" t="s">
        <v>224</v>
      </c>
      <c r="F585" s="1">
        <v>124626.49574174899</v>
      </c>
    </row>
    <row r="586" spans="1:6" ht="14.25" customHeight="1" x14ac:dyDescent="0.3">
      <c r="A586" s="1">
        <v>49030</v>
      </c>
      <c r="B586" s="1" t="s">
        <v>7</v>
      </c>
      <c r="C586" s="1" t="s">
        <v>573</v>
      </c>
      <c r="D586" s="1" t="s">
        <v>187</v>
      </c>
      <c r="E586" s="1" t="s">
        <v>188</v>
      </c>
      <c r="F586" s="1">
        <v>147939.23592112301</v>
      </c>
    </row>
    <row r="587" spans="1:6" ht="14.25" customHeight="1" x14ac:dyDescent="0.3">
      <c r="A587" s="1">
        <v>49807</v>
      </c>
      <c r="B587" s="1" t="s">
        <v>7</v>
      </c>
      <c r="C587" s="1" t="s">
        <v>574</v>
      </c>
      <c r="D587" s="1" t="s">
        <v>223</v>
      </c>
      <c r="E587" s="1" t="s">
        <v>224</v>
      </c>
      <c r="F587" s="1">
        <v>142852.77967108999</v>
      </c>
    </row>
    <row r="588" spans="1:6" ht="14.25" customHeight="1" x14ac:dyDescent="0.3">
      <c r="A588" s="1">
        <v>49277</v>
      </c>
      <c r="B588" s="1" t="s">
        <v>7</v>
      </c>
      <c r="C588" s="1" t="s">
        <v>575</v>
      </c>
      <c r="D588" s="1" t="s">
        <v>27</v>
      </c>
      <c r="E588" s="1" t="s">
        <v>28</v>
      </c>
      <c r="F588" s="1">
        <v>221929.34709532899</v>
      </c>
    </row>
    <row r="589" spans="1:6" ht="14.25" customHeight="1" x14ac:dyDescent="0.3">
      <c r="A589" s="1">
        <v>49908</v>
      </c>
      <c r="B589" s="1" t="s">
        <v>7</v>
      </c>
      <c r="C589" s="1" t="s">
        <v>576</v>
      </c>
      <c r="E589" s="1" t="s">
        <v>508</v>
      </c>
      <c r="F589" s="1">
        <v>117541.768352592</v>
      </c>
    </row>
    <row r="590" spans="1:6" ht="14.25" customHeight="1" x14ac:dyDescent="0.3">
      <c r="A590" s="1">
        <v>48427</v>
      </c>
      <c r="B590" s="1" t="s">
        <v>7</v>
      </c>
      <c r="C590" s="1" t="s">
        <v>577</v>
      </c>
      <c r="E590" s="1" t="s">
        <v>408</v>
      </c>
      <c r="F590" s="1">
        <v>131877.739049867</v>
      </c>
    </row>
    <row r="591" spans="1:6" ht="14.25" customHeight="1" x14ac:dyDescent="0.3">
      <c r="A591" s="1">
        <v>49668</v>
      </c>
      <c r="B591" s="1" t="s">
        <v>7</v>
      </c>
      <c r="C591" s="1" t="s">
        <v>578</v>
      </c>
      <c r="D591" s="1" t="s">
        <v>152</v>
      </c>
      <c r="E591" s="1" t="s">
        <v>153</v>
      </c>
      <c r="F591" s="1">
        <v>109900.998371836</v>
      </c>
    </row>
    <row r="592" spans="1:6" ht="14.25" customHeight="1" x14ac:dyDescent="0.3">
      <c r="A592" s="1">
        <v>48419</v>
      </c>
      <c r="B592" s="1" t="s">
        <v>7</v>
      </c>
      <c r="C592" s="1" t="s">
        <v>579</v>
      </c>
      <c r="E592" s="1" t="s">
        <v>408</v>
      </c>
      <c r="F592" s="1">
        <v>124027.492780274</v>
      </c>
    </row>
    <row r="593" spans="1:6" ht="14.25" customHeight="1" x14ac:dyDescent="0.3">
      <c r="A593" s="1">
        <v>49655</v>
      </c>
      <c r="B593" s="1" t="s">
        <v>7</v>
      </c>
      <c r="C593" s="1" t="s">
        <v>580</v>
      </c>
      <c r="E593" s="1" t="s">
        <v>370</v>
      </c>
      <c r="F593" s="1">
        <v>136345.01025580199</v>
      </c>
    </row>
    <row r="594" spans="1:6" ht="14.25" customHeight="1" x14ac:dyDescent="0.3">
      <c r="A594" s="1">
        <v>49344</v>
      </c>
      <c r="B594" s="1" t="s">
        <v>7</v>
      </c>
      <c r="C594" s="1" t="s">
        <v>581</v>
      </c>
      <c r="D594" s="1" t="s">
        <v>184</v>
      </c>
      <c r="E594" s="1" t="s">
        <v>185</v>
      </c>
      <c r="F594" s="1">
        <v>262715.64167758101</v>
      </c>
    </row>
    <row r="595" spans="1:6" ht="14.25" customHeight="1" x14ac:dyDescent="0.3">
      <c r="A595" s="1">
        <v>48755</v>
      </c>
      <c r="B595" s="1" t="s">
        <v>7</v>
      </c>
      <c r="C595" s="1" t="s">
        <v>582</v>
      </c>
      <c r="E595" s="1" t="s">
        <v>388</v>
      </c>
      <c r="F595" s="1">
        <v>144661.33115608999</v>
      </c>
    </row>
    <row r="596" spans="1:6" ht="14.25" customHeight="1" x14ac:dyDescent="0.3">
      <c r="A596" s="1">
        <v>49639</v>
      </c>
      <c r="B596" s="1" t="s">
        <v>7</v>
      </c>
      <c r="C596" s="1" t="s">
        <v>583</v>
      </c>
      <c r="E596" s="1" t="s">
        <v>370</v>
      </c>
      <c r="F596" s="1">
        <v>131501.67216510599</v>
      </c>
    </row>
    <row r="597" spans="1:6" ht="14.25" customHeight="1" x14ac:dyDescent="0.3">
      <c r="A597" s="1">
        <v>49232</v>
      </c>
      <c r="B597" s="1" t="s">
        <v>7</v>
      </c>
      <c r="C597" s="1" t="s">
        <v>584</v>
      </c>
      <c r="D597" s="1" t="s">
        <v>238</v>
      </c>
      <c r="E597" s="1" t="s">
        <v>239</v>
      </c>
      <c r="F597" s="1">
        <v>209701.59638922001</v>
      </c>
    </row>
    <row r="598" spans="1:6" ht="14.25" customHeight="1" x14ac:dyDescent="0.3">
      <c r="A598" s="1">
        <v>49450</v>
      </c>
      <c r="B598" s="1" t="s">
        <v>7</v>
      </c>
      <c r="C598" s="1" t="s">
        <v>585</v>
      </c>
      <c r="D598" s="1" t="s">
        <v>184</v>
      </c>
      <c r="E598" s="1" t="s">
        <v>185</v>
      </c>
      <c r="F598" s="1">
        <v>109773.959173458</v>
      </c>
    </row>
    <row r="599" spans="1:6" ht="14.25" customHeight="1" x14ac:dyDescent="0.3">
      <c r="A599" s="1">
        <v>49905</v>
      </c>
      <c r="B599" s="1" t="s">
        <v>7</v>
      </c>
      <c r="C599" s="1" t="s">
        <v>586</v>
      </c>
      <c r="D599" s="1" t="s">
        <v>314</v>
      </c>
      <c r="E599" s="1" t="s">
        <v>315</v>
      </c>
      <c r="F599" s="1">
        <v>128127.05841741701</v>
      </c>
    </row>
    <row r="600" spans="1:6" ht="14.25" customHeight="1" x14ac:dyDescent="0.3">
      <c r="A600" s="1">
        <v>49332</v>
      </c>
      <c r="B600" s="1" t="s">
        <v>7</v>
      </c>
      <c r="C600" s="1" t="s">
        <v>587</v>
      </c>
      <c r="D600" s="1" t="s">
        <v>173</v>
      </c>
      <c r="E600" s="1" t="s">
        <v>174</v>
      </c>
      <c r="F600" s="1">
        <v>163837.383096215</v>
      </c>
    </row>
    <row r="601" spans="1:6" ht="14.25" customHeight="1" x14ac:dyDescent="0.3">
      <c r="A601" s="1">
        <v>48722</v>
      </c>
      <c r="B601" s="1" t="s">
        <v>7</v>
      </c>
      <c r="C601" s="1" t="s">
        <v>588</v>
      </c>
      <c r="D601" s="1" t="s">
        <v>78</v>
      </c>
      <c r="E601" s="1" t="s">
        <v>79</v>
      </c>
      <c r="F601" s="1">
        <v>152115.599657627</v>
      </c>
    </row>
    <row r="602" spans="1:6" ht="14.25" customHeight="1" x14ac:dyDescent="0.3">
      <c r="A602" s="1">
        <v>48191</v>
      </c>
      <c r="B602" s="1" t="s">
        <v>7</v>
      </c>
      <c r="C602" s="1" t="s">
        <v>531</v>
      </c>
      <c r="D602" s="1" t="s">
        <v>9</v>
      </c>
      <c r="E602" s="1" t="s">
        <v>10</v>
      </c>
      <c r="F602" s="1">
        <v>278307.19654236501</v>
      </c>
    </row>
    <row r="603" spans="1:6" ht="14.25" customHeight="1" x14ac:dyDescent="0.3">
      <c r="A603" s="1">
        <v>48140</v>
      </c>
      <c r="B603" s="1" t="s">
        <v>7</v>
      </c>
      <c r="C603" s="1" t="s">
        <v>589</v>
      </c>
      <c r="D603" s="1" t="s">
        <v>114</v>
      </c>
      <c r="E603" s="1" t="s">
        <v>115</v>
      </c>
      <c r="F603" s="1">
        <v>256810.30676517799</v>
      </c>
    </row>
    <row r="604" spans="1:6" ht="14.25" customHeight="1" x14ac:dyDescent="0.3">
      <c r="A604" s="1">
        <v>49254</v>
      </c>
      <c r="B604" s="1" t="s">
        <v>7</v>
      </c>
      <c r="C604" s="1" t="s">
        <v>590</v>
      </c>
      <c r="D604" s="1" t="s">
        <v>27</v>
      </c>
      <c r="E604" s="1" t="s">
        <v>28</v>
      </c>
      <c r="F604" s="1">
        <v>173588.70371486299</v>
      </c>
    </row>
    <row r="605" spans="1:6" ht="14.25" customHeight="1" x14ac:dyDescent="0.3">
      <c r="A605" s="1">
        <v>49650</v>
      </c>
      <c r="B605" s="1" t="s">
        <v>7</v>
      </c>
      <c r="C605" s="1" t="s">
        <v>591</v>
      </c>
      <c r="D605" s="1" t="s">
        <v>146</v>
      </c>
      <c r="E605" s="1" t="s">
        <v>541</v>
      </c>
      <c r="F605" s="1">
        <v>304400.47420123802</v>
      </c>
    </row>
    <row r="606" spans="1:6" ht="14.25" customHeight="1" x14ac:dyDescent="0.3">
      <c r="A606" s="1">
        <v>49249</v>
      </c>
      <c r="B606" s="1" t="s">
        <v>7</v>
      </c>
      <c r="C606" s="1" t="s">
        <v>592</v>
      </c>
      <c r="D606" s="1" t="s">
        <v>238</v>
      </c>
      <c r="E606" s="1" t="s">
        <v>239</v>
      </c>
      <c r="F606" s="1">
        <v>253436.640743308</v>
      </c>
    </row>
    <row r="607" spans="1:6" ht="14.25" customHeight="1" x14ac:dyDescent="0.3">
      <c r="A607" s="1">
        <v>49032</v>
      </c>
      <c r="B607" s="1" t="s">
        <v>7</v>
      </c>
      <c r="C607" s="1" t="s">
        <v>593</v>
      </c>
      <c r="D607" s="1" t="s">
        <v>187</v>
      </c>
      <c r="E607" s="1" t="s">
        <v>188</v>
      </c>
      <c r="F607" s="1">
        <v>177336.69890012301</v>
      </c>
    </row>
    <row r="608" spans="1:6" ht="14.25" customHeight="1" x14ac:dyDescent="0.3">
      <c r="A608" s="1">
        <v>49617</v>
      </c>
      <c r="B608" s="1" t="s">
        <v>7</v>
      </c>
      <c r="C608" s="1" t="s">
        <v>594</v>
      </c>
      <c r="D608" s="1" t="s">
        <v>146</v>
      </c>
      <c r="E608" s="1" t="s">
        <v>541</v>
      </c>
      <c r="F608" s="1">
        <v>309818.69210089301</v>
      </c>
    </row>
    <row r="609" spans="1:6" ht="14.25" customHeight="1" x14ac:dyDescent="0.3">
      <c r="A609" s="1">
        <v>49730</v>
      </c>
      <c r="B609" s="1" t="s">
        <v>7</v>
      </c>
      <c r="C609" s="1" t="s">
        <v>595</v>
      </c>
      <c r="E609" s="1" t="s">
        <v>359</v>
      </c>
      <c r="F609" s="1">
        <v>174399.59505566701</v>
      </c>
    </row>
    <row r="610" spans="1:6" ht="14.25" customHeight="1" x14ac:dyDescent="0.3">
      <c r="A610" s="1">
        <v>48819</v>
      </c>
      <c r="B610" s="1" t="s">
        <v>7</v>
      </c>
      <c r="C610" s="1" t="s">
        <v>596</v>
      </c>
      <c r="D610" s="1" t="s">
        <v>19</v>
      </c>
      <c r="E610" s="1" t="s">
        <v>20</v>
      </c>
      <c r="F610" s="1">
        <v>213994.31074649101</v>
      </c>
    </row>
    <row r="611" spans="1:6" ht="14.25" customHeight="1" x14ac:dyDescent="0.3">
      <c r="A611" s="1">
        <v>49449</v>
      </c>
      <c r="B611" s="1" t="s">
        <v>7</v>
      </c>
      <c r="C611" s="1" t="s">
        <v>597</v>
      </c>
      <c r="E611" s="1" t="s">
        <v>423</v>
      </c>
      <c r="F611" s="1">
        <v>295963.44520237303</v>
      </c>
    </row>
    <row r="612" spans="1:6" ht="14.25" customHeight="1" x14ac:dyDescent="0.3">
      <c r="A612" s="1">
        <v>48891</v>
      </c>
      <c r="B612" s="1" t="s">
        <v>7</v>
      </c>
      <c r="C612" s="1" t="s">
        <v>598</v>
      </c>
      <c r="D612" s="1" t="s">
        <v>32</v>
      </c>
      <c r="E612" s="1" t="s">
        <v>196</v>
      </c>
      <c r="F612" s="1">
        <v>125145.531627081</v>
      </c>
    </row>
    <row r="613" spans="1:6" ht="14.25" customHeight="1" x14ac:dyDescent="0.3">
      <c r="A613" s="1">
        <v>49241</v>
      </c>
      <c r="B613" s="1" t="s">
        <v>7</v>
      </c>
      <c r="C613" s="1" t="s">
        <v>599</v>
      </c>
      <c r="D613" s="1" t="s">
        <v>27</v>
      </c>
      <c r="E613" s="1" t="s">
        <v>28</v>
      </c>
      <c r="F613" s="1">
        <v>193597.56840131199</v>
      </c>
    </row>
    <row r="614" spans="1:6" ht="14.25" customHeight="1" x14ac:dyDescent="0.3">
      <c r="A614" s="1">
        <v>48475</v>
      </c>
      <c r="B614" s="1" t="s">
        <v>7</v>
      </c>
      <c r="C614" s="1" t="s">
        <v>600</v>
      </c>
      <c r="E614" s="1" t="s">
        <v>388</v>
      </c>
      <c r="F614" s="1">
        <v>132993.80506210399</v>
      </c>
    </row>
    <row r="615" spans="1:6" ht="14.25" customHeight="1" x14ac:dyDescent="0.3">
      <c r="A615" s="1">
        <v>48759</v>
      </c>
      <c r="B615" s="1" t="s">
        <v>7</v>
      </c>
      <c r="C615" s="1" t="s">
        <v>601</v>
      </c>
      <c r="E615" s="1" t="s">
        <v>388</v>
      </c>
      <c r="F615" s="1">
        <v>85685.203401170394</v>
      </c>
    </row>
    <row r="616" spans="1:6" ht="14.25" customHeight="1" x14ac:dyDescent="0.3">
      <c r="A616" s="1">
        <v>49688</v>
      </c>
      <c r="B616" s="1" t="s">
        <v>7</v>
      </c>
      <c r="C616" s="1" t="s">
        <v>602</v>
      </c>
      <c r="E616" s="1" t="s">
        <v>370</v>
      </c>
      <c r="F616" s="1">
        <v>146403.162391711</v>
      </c>
    </row>
    <row r="617" spans="1:6" ht="14.25" customHeight="1" x14ac:dyDescent="0.3">
      <c r="A617" s="1">
        <v>48834</v>
      </c>
      <c r="B617" s="1" t="s">
        <v>7</v>
      </c>
      <c r="C617" s="1" t="s">
        <v>603</v>
      </c>
      <c r="D617" s="1" t="s">
        <v>32</v>
      </c>
      <c r="E617" s="1" t="s">
        <v>196</v>
      </c>
      <c r="F617" s="1">
        <v>155868.41152058</v>
      </c>
    </row>
    <row r="618" spans="1:6" ht="14.25" customHeight="1" x14ac:dyDescent="0.3">
      <c r="A618" s="1">
        <v>48615</v>
      </c>
      <c r="B618" s="1" t="s">
        <v>7</v>
      </c>
      <c r="C618" s="1" t="s">
        <v>604</v>
      </c>
      <c r="D618" s="1" t="s">
        <v>92</v>
      </c>
      <c r="E618" s="1" t="s">
        <v>93</v>
      </c>
      <c r="F618" s="1">
        <v>120672.712788572</v>
      </c>
    </row>
    <row r="619" spans="1:6" ht="14.25" customHeight="1" x14ac:dyDescent="0.3">
      <c r="A619" s="1">
        <v>49683</v>
      </c>
      <c r="B619" s="1" t="s">
        <v>7</v>
      </c>
      <c r="C619" s="1" t="s">
        <v>605</v>
      </c>
      <c r="D619" s="1" t="s">
        <v>146</v>
      </c>
      <c r="E619" s="1" t="s">
        <v>541</v>
      </c>
      <c r="F619" s="1">
        <v>212191.15905881699</v>
      </c>
    </row>
    <row r="620" spans="1:6" ht="14.25" customHeight="1" x14ac:dyDescent="0.3">
      <c r="A620" s="1">
        <v>49916</v>
      </c>
      <c r="B620" s="1" t="s">
        <v>7</v>
      </c>
      <c r="C620" s="1" t="s">
        <v>606</v>
      </c>
      <c r="D620" s="1" t="s">
        <v>314</v>
      </c>
      <c r="E620" s="1" t="s">
        <v>315</v>
      </c>
      <c r="F620" s="1">
        <v>171476.373458491</v>
      </c>
    </row>
    <row r="621" spans="1:6" ht="14.25" customHeight="1" x14ac:dyDescent="0.3">
      <c r="A621" s="1">
        <v>48069</v>
      </c>
      <c r="B621" s="1" t="s">
        <v>7</v>
      </c>
      <c r="C621" s="1" t="s">
        <v>607</v>
      </c>
      <c r="D621" s="1" t="s">
        <v>12</v>
      </c>
      <c r="E621" s="1" t="s">
        <v>40</v>
      </c>
      <c r="F621" s="1">
        <v>416777.61796806398</v>
      </c>
    </row>
    <row r="622" spans="1:6" ht="14.25" customHeight="1" x14ac:dyDescent="0.3">
      <c r="A622" s="1">
        <v>48022</v>
      </c>
      <c r="B622" s="1" t="s">
        <v>7</v>
      </c>
      <c r="C622" s="1" t="s">
        <v>608</v>
      </c>
      <c r="D622" s="1" t="s">
        <v>12</v>
      </c>
      <c r="E622" s="1" t="s">
        <v>60</v>
      </c>
      <c r="F622" s="1">
        <v>272452.50114500301</v>
      </c>
    </row>
    <row r="623" spans="1:6" ht="14.25" customHeight="1" x14ac:dyDescent="0.3">
      <c r="A623" s="1">
        <v>49713</v>
      </c>
      <c r="B623" s="1" t="s">
        <v>7</v>
      </c>
      <c r="C623" s="1" t="s">
        <v>609</v>
      </c>
      <c r="E623" s="1" t="s">
        <v>332</v>
      </c>
      <c r="F623" s="1">
        <v>216458.979415176</v>
      </c>
    </row>
    <row r="624" spans="1:6" ht="14.25" customHeight="1" x14ac:dyDescent="0.3">
      <c r="A624" s="1">
        <v>48894</v>
      </c>
      <c r="B624" s="1" t="s">
        <v>7</v>
      </c>
      <c r="C624" s="1" t="s">
        <v>610</v>
      </c>
      <c r="D624" s="1" t="s">
        <v>19</v>
      </c>
      <c r="E624" s="1" t="s">
        <v>190</v>
      </c>
      <c r="F624" s="1">
        <v>269737.85466098803</v>
      </c>
    </row>
    <row r="625" spans="1:6" ht="14.25" customHeight="1" x14ac:dyDescent="0.3">
      <c r="A625" s="1">
        <v>49220</v>
      </c>
      <c r="B625" s="1" t="s">
        <v>7</v>
      </c>
      <c r="C625" s="1" t="s">
        <v>611</v>
      </c>
      <c r="D625" s="1" t="s">
        <v>55</v>
      </c>
      <c r="E625" s="1" t="s">
        <v>56</v>
      </c>
      <c r="F625" s="1">
        <v>200264.58988672099</v>
      </c>
    </row>
    <row r="626" spans="1:6" ht="14.25" customHeight="1" x14ac:dyDescent="0.3">
      <c r="A626" s="1">
        <v>49033</v>
      </c>
      <c r="B626" s="1" t="s">
        <v>7</v>
      </c>
      <c r="C626" s="1" t="s">
        <v>117</v>
      </c>
      <c r="D626" s="1" t="s">
        <v>118</v>
      </c>
      <c r="E626" s="1" t="s">
        <v>119</v>
      </c>
      <c r="F626" s="1">
        <v>232185.67889635201</v>
      </c>
    </row>
    <row r="627" spans="1:6" ht="14.25" customHeight="1" x14ac:dyDescent="0.3">
      <c r="A627" s="1">
        <v>49892</v>
      </c>
      <c r="B627" s="1" t="s">
        <v>7</v>
      </c>
      <c r="C627" s="1" t="s">
        <v>612</v>
      </c>
      <c r="D627" s="1" t="s">
        <v>291</v>
      </c>
      <c r="E627" s="1" t="s">
        <v>292</v>
      </c>
      <c r="F627" s="1">
        <v>148622.18147415199</v>
      </c>
    </row>
    <row r="628" spans="1:6" ht="14.25" customHeight="1" x14ac:dyDescent="0.3">
      <c r="A628" s="1">
        <v>49622</v>
      </c>
      <c r="B628" s="1" t="s">
        <v>7</v>
      </c>
      <c r="C628" s="1" t="s">
        <v>613</v>
      </c>
      <c r="E628" s="1" t="s">
        <v>359</v>
      </c>
      <c r="F628" s="1">
        <v>232109.866038218</v>
      </c>
    </row>
    <row r="629" spans="1:6" ht="14.25" customHeight="1" x14ac:dyDescent="0.3">
      <c r="A629" s="1">
        <v>49092</v>
      </c>
      <c r="B629" s="1" t="s">
        <v>7</v>
      </c>
      <c r="C629" s="1" t="s">
        <v>614</v>
      </c>
      <c r="D629" s="1" t="s">
        <v>118</v>
      </c>
      <c r="E629" s="1" t="s">
        <v>119</v>
      </c>
      <c r="F629" s="1">
        <v>132057.782792429</v>
      </c>
    </row>
    <row r="630" spans="1:6" ht="14.25" customHeight="1" x14ac:dyDescent="0.3">
      <c r="A630" s="1">
        <v>48659</v>
      </c>
      <c r="B630" s="1" t="s">
        <v>7</v>
      </c>
      <c r="C630" s="1" t="s">
        <v>615</v>
      </c>
      <c r="E630" s="1" t="s">
        <v>451</v>
      </c>
      <c r="F630" s="1">
        <v>103924.445538784</v>
      </c>
    </row>
    <row r="631" spans="1:6" ht="14.25" customHeight="1" x14ac:dyDescent="0.3">
      <c r="A631" s="1">
        <v>49339</v>
      </c>
      <c r="B631" s="1" t="s">
        <v>7</v>
      </c>
      <c r="C631" s="1" t="s">
        <v>616</v>
      </c>
      <c r="D631" s="1" t="s">
        <v>32</v>
      </c>
      <c r="E631" s="1" t="s">
        <v>196</v>
      </c>
      <c r="F631" s="1">
        <v>228707.012519974</v>
      </c>
    </row>
    <row r="632" spans="1:6" ht="14.25" customHeight="1" x14ac:dyDescent="0.3">
      <c r="A632" s="1">
        <v>48835</v>
      </c>
      <c r="B632" s="1" t="s">
        <v>7</v>
      </c>
      <c r="C632" s="1" t="s">
        <v>617</v>
      </c>
      <c r="D632" s="1" t="s">
        <v>19</v>
      </c>
      <c r="E632" s="1" t="s">
        <v>190</v>
      </c>
      <c r="F632" s="1">
        <v>241471.18753555001</v>
      </c>
    </row>
    <row r="633" spans="1:6" ht="14.25" customHeight="1" x14ac:dyDescent="0.3">
      <c r="A633" s="1">
        <v>49402</v>
      </c>
      <c r="B633" s="1" t="s">
        <v>7</v>
      </c>
      <c r="D633" s="1" t="s">
        <v>205</v>
      </c>
      <c r="E633" s="1" t="s">
        <v>206</v>
      </c>
      <c r="F633" s="1">
        <v>131853.39565788099</v>
      </c>
    </row>
    <row r="634" spans="1:6" ht="14.25" customHeight="1" x14ac:dyDescent="0.3">
      <c r="A634" s="1">
        <v>49043</v>
      </c>
      <c r="B634" s="1" t="s">
        <v>7</v>
      </c>
      <c r="C634" s="1" t="s">
        <v>618</v>
      </c>
      <c r="E634" s="1" t="s">
        <v>236</v>
      </c>
      <c r="F634" s="1">
        <v>130564.98172574599</v>
      </c>
    </row>
    <row r="635" spans="1:6" ht="14.25" customHeight="1" x14ac:dyDescent="0.3">
      <c r="A635" s="1">
        <v>48628</v>
      </c>
      <c r="B635" s="1" t="s">
        <v>7</v>
      </c>
      <c r="C635" s="1" t="s">
        <v>619</v>
      </c>
      <c r="D635" s="1" t="s">
        <v>92</v>
      </c>
      <c r="E635" s="1" t="s">
        <v>93</v>
      </c>
      <c r="F635" s="1">
        <v>167154.419757447</v>
      </c>
    </row>
    <row r="636" spans="1:6" ht="14.25" customHeight="1" x14ac:dyDescent="0.3">
      <c r="A636" s="1">
        <v>48449</v>
      </c>
      <c r="B636" s="1" t="s">
        <v>7</v>
      </c>
      <c r="C636" s="1" t="s">
        <v>620</v>
      </c>
      <c r="D636" s="1" t="s">
        <v>35</v>
      </c>
      <c r="E636" s="1" t="s">
        <v>36</v>
      </c>
      <c r="F636" s="1">
        <v>166775.03782221599</v>
      </c>
    </row>
    <row r="637" spans="1:6" ht="14.25" customHeight="1" x14ac:dyDescent="0.3">
      <c r="A637" s="1">
        <v>49253</v>
      </c>
      <c r="B637" s="1" t="s">
        <v>7</v>
      </c>
      <c r="C637" s="1" t="s">
        <v>621</v>
      </c>
      <c r="D637" s="1" t="s">
        <v>55</v>
      </c>
      <c r="E637" s="1" t="s">
        <v>56</v>
      </c>
      <c r="F637" s="1">
        <v>266851.68579856399</v>
      </c>
    </row>
    <row r="638" spans="1:6" ht="14.25" customHeight="1" x14ac:dyDescent="0.3">
      <c r="A638" s="1">
        <v>48822</v>
      </c>
      <c r="B638" s="1" t="s">
        <v>7</v>
      </c>
      <c r="C638" s="1" t="s">
        <v>622</v>
      </c>
      <c r="D638" s="1" t="s">
        <v>19</v>
      </c>
      <c r="E638" s="1" t="s">
        <v>190</v>
      </c>
      <c r="F638" s="1">
        <v>275661.26178491302</v>
      </c>
    </row>
    <row r="639" spans="1:6" ht="14.25" customHeight="1" x14ac:dyDescent="0.3">
      <c r="A639" s="1">
        <v>49287</v>
      </c>
      <c r="B639" s="1" t="s">
        <v>7</v>
      </c>
      <c r="D639" s="1" t="s">
        <v>55</v>
      </c>
      <c r="E639" s="1" t="s">
        <v>56</v>
      </c>
      <c r="F639" s="1">
        <v>261348.902457321</v>
      </c>
    </row>
    <row r="640" spans="1:6" ht="14.25" customHeight="1" x14ac:dyDescent="0.3">
      <c r="A640" s="1">
        <v>49233</v>
      </c>
      <c r="B640" s="1" t="s">
        <v>7</v>
      </c>
      <c r="C640" s="1" t="s">
        <v>611</v>
      </c>
      <c r="D640" s="1" t="s">
        <v>55</v>
      </c>
      <c r="E640" s="1" t="s">
        <v>56</v>
      </c>
      <c r="F640" s="1">
        <v>234590.64911198101</v>
      </c>
    </row>
    <row r="641" spans="1:6" ht="14.25" customHeight="1" x14ac:dyDescent="0.3">
      <c r="A641" s="1">
        <v>49234</v>
      </c>
      <c r="B641" s="1" t="s">
        <v>7</v>
      </c>
      <c r="C641" s="1" t="s">
        <v>623</v>
      </c>
      <c r="D641" s="1" t="s">
        <v>27</v>
      </c>
      <c r="E641" s="1" t="s">
        <v>28</v>
      </c>
      <c r="F641" s="1">
        <v>265294.38065653102</v>
      </c>
    </row>
    <row r="642" spans="1:6" ht="14.25" customHeight="1" x14ac:dyDescent="0.3">
      <c r="A642" s="1">
        <v>48414</v>
      </c>
      <c r="B642" s="1" t="s">
        <v>7</v>
      </c>
      <c r="C642" s="1" t="s">
        <v>624</v>
      </c>
      <c r="D642" s="1" t="s">
        <v>19</v>
      </c>
      <c r="E642" s="1" t="s">
        <v>111</v>
      </c>
      <c r="F642" s="1">
        <v>155662.15368538201</v>
      </c>
    </row>
    <row r="643" spans="1:6" ht="14.25" customHeight="1" x14ac:dyDescent="0.3">
      <c r="A643" s="1">
        <v>48815</v>
      </c>
      <c r="B643" s="1" t="s">
        <v>7</v>
      </c>
      <c r="C643" s="1" t="s">
        <v>625</v>
      </c>
      <c r="D643" s="1" t="s">
        <v>32</v>
      </c>
      <c r="E643" s="1" t="s">
        <v>178</v>
      </c>
      <c r="F643" s="1">
        <v>234500.84609998099</v>
      </c>
    </row>
    <row r="644" spans="1:6" ht="14.25" customHeight="1" x14ac:dyDescent="0.3">
      <c r="A644" s="1">
        <v>49011</v>
      </c>
      <c r="B644" s="1" t="s">
        <v>7</v>
      </c>
      <c r="C644" s="1" t="s">
        <v>626</v>
      </c>
      <c r="D644" s="1" t="s">
        <v>118</v>
      </c>
      <c r="E644" s="1" t="s">
        <v>119</v>
      </c>
      <c r="F644" s="1">
        <v>156577.86253364399</v>
      </c>
    </row>
    <row r="645" spans="1:6" ht="14.25" customHeight="1" x14ac:dyDescent="0.3">
      <c r="A645" s="1">
        <v>49911</v>
      </c>
      <c r="B645" s="1" t="s">
        <v>7</v>
      </c>
      <c r="C645" s="1" t="s">
        <v>627</v>
      </c>
      <c r="E645" s="1" t="s">
        <v>362</v>
      </c>
      <c r="F645" s="1">
        <v>74154.202156478801</v>
      </c>
    </row>
    <row r="646" spans="1:6" ht="14.25" customHeight="1" x14ac:dyDescent="0.3">
      <c r="A646" s="1">
        <v>48818</v>
      </c>
      <c r="B646" s="1" t="s">
        <v>7</v>
      </c>
      <c r="C646" s="1" t="s">
        <v>628</v>
      </c>
      <c r="D646" s="1" t="s">
        <v>32</v>
      </c>
      <c r="E646" s="1" t="s">
        <v>196</v>
      </c>
      <c r="F646" s="1">
        <v>138799.87883443901</v>
      </c>
    </row>
    <row r="647" spans="1:6" ht="14.25" customHeight="1" x14ac:dyDescent="0.3">
      <c r="A647" s="1">
        <v>49751</v>
      </c>
      <c r="B647" s="1" t="s">
        <v>7</v>
      </c>
      <c r="C647" s="1" t="s">
        <v>629</v>
      </c>
      <c r="E647" s="1" t="s">
        <v>182</v>
      </c>
      <c r="F647" s="1">
        <v>143489.87040182101</v>
      </c>
    </row>
    <row r="648" spans="1:6" ht="14.25" customHeight="1" x14ac:dyDescent="0.3">
      <c r="A648" s="1">
        <v>49252</v>
      </c>
      <c r="B648" s="1" t="s">
        <v>7</v>
      </c>
      <c r="C648" s="1" t="s">
        <v>630</v>
      </c>
      <c r="D648" s="1" t="s">
        <v>238</v>
      </c>
      <c r="E648" s="1" t="s">
        <v>239</v>
      </c>
      <c r="F648" s="1">
        <v>160915.47797022699</v>
      </c>
    </row>
    <row r="649" spans="1:6" ht="14.25" customHeight="1" x14ac:dyDescent="0.3">
      <c r="A649" s="1">
        <v>49968</v>
      </c>
      <c r="B649" s="1" t="s">
        <v>7</v>
      </c>
      <c r="C649" s="1" t="s">
        <v>631</v>
      </c>
      <c r="E649" s="1" t="s">
        <v>362</v>
      </c>
      <c r="F649" s="1">
        <v>64802.588897141002</v>
      </c>
    </row>
    <row r="650" spans="1:6" ht="14.25" customHeight="1" x14ac:dyDescent="0.3">
      <c r="A650" s="1">
        <v>49061</v>
      </c>
      <c r="B650" s="1" t="s">
        <v>7</v>
      </c>
      <c r="C650" s="1" t="s">
        <v>632</v>
      </c>
      <c r="D650" s="1" t="s">
        <v>242</v>
      </c>
      <c r="E650" s="1" t="s">
        <v>243</v>
      </c>
      <c r="F650" s="1">
        <v>165442.17203471801</v>
      </c>
    </row>
    <row r="651" spans="1:6" ht="14.25" customHeight="1" x14ac:dyDescent="0.3">
      <c r="A651" s="1">
        <v>48460</v>
      </c>
      <c r="B651" s="1" t="s">
        <v>7</v>
      </c>
      <c r="C651" s="1" t="s">
        <v>633</v>
      </c>
      <c r="D651" s="1" t="s">
        <v>19</v>
      </c>
      <c r="E651" s="1" t="s">
        <v>111</v>
      </c>
      <c r="F651" s="1">
        <v>182970.124317626</v>
      </c>
    </row>
    <row r="652" spans="1:6" ht="14.25" customHeight="1" x14ac:dyDescent="0.3">
      <c r="A652" s="1">
        <v>49051</v>
      </c>
      <c r="B652" s="1" t="s">
        <v>7</v>
      </c>
      <c r="C652" s="1" t="s">
        <v>634</v>
      </c>
      <c r="D652" s="1" t="s">
        <v>118</v>
      </c>
      <c r="E652" s="1" t="s">
        <v>119</v>
      </c>
      <c r="F652" s="1">
        <v>221368.99506788401</v>
      </c>
    </row>
    <row r="653" spans="1:6" ht="14.25" customHeight="1" x14ac:dyDescent="0.3">
      <c r="A653" s="1">
        <v>48654</v>
      </c>
      <c r="B653" s="1" t="s">
        <v>7</v>
      </c>
      <c r="C653" s="1" t="s">
        <v>635</v>
      </c>
      <c r="E653" s="1" t="s">
        <v>304</v>
      </c>
      <c r="F653" s="1">
        <v>109238.499668082</v>
      </c>
    </row>
    <row r="654" spans="1:6" ht="14.25" customHeight="1" x14ac:dyDescent="0.3">
      <c r="A654" s="1">
        <v>49255</v>
      </c>
      <c r="B654" s="1" t="s">
        <v>7</v>
      </c>
      <c r="C654" s="1" t="s">
        <v>636</v>
      </c>
      <c r="D654" s="1" t="s">
        <v>143</v>
      </c>
      <c r="E654" s="1" t="s">
        <v>144</v>
      </c>
      <c r="F654" s="1">
        <v>118459.38959221001</v>
      </c>
    </row>
    <row r="655" spans="1:6" ht="14.25" customHeight="1" x14ac:dyDescent="0.3">
      <c r="A655" s="1">
        <v>48933</v>
      </c>
      <c r="B655" s="1" t="s">
        <v>7</v>
      </c>
      <c r="C655" s="1" t="s">
        <v>53</v>
      </c>
      <c r="D655" s="1" t="s">
        <v>19</v>
      </c>
      <c r="E655" s="1" t="s">
        <v>20</v>
      </c>
      <c r="F655" s="1">
        <v>106497.882270895</v>
      </c>
    </row>
    <row r="656" spans="1:6" ht="14.25" customHeight="1" x14ac:dyDescent="0.3">
      <c r="A656" s="1">
        <v>48740</v>
      </c>
      <c r="B656" s="1" t="s">
        <v>7</v>
      </c>
      <c r="C656" s="1" t="s">
        <v>637</v>
      </c>
      <c r="E656" s="1" t="s">
        <v>638</v>
      </c>
      <c r="F656" s="1">
        <v>140492.792389446</v>
      </c>
    </row>
    <row r="657" spans="1:6" ht="14.25" customHeight="1" x14ac:dyDescent="0.3">
      <c r="A657" s="1">
        <v>49945</v>
      </c>
      <c r="B657" s="1" t="s">
        <v>7</v>
      </c>
      <c r="C657" s="1" t="s">
        <v>639</v>
      </c>
      <c r="D657" s="1" t="s">
        <v>314</v>
      </c>
      <c r="E657" s="1" t="s">
        <v>315</v>
      </c>
      <c r="F657" s="1">
        <v>121946.860212927</v>
      </c>
    </row>
    <row r="658" spans="1:6" ht="14.25" customHeight="1" x14ac:dyDescent="0.3">
      <c r="A658" s="1">
        <v>48417</v>
      </c>
      <c r="B658" s="1" t="s">
        <v>7</v>
      </c>
      <c r="C658" s="1" t="s">
        <v>640</v>
      </c>
      <c r="D658" s="1" t="s">
        <v>78</v>
      </c>
      <c r="E658" s="1" t="s">
        <v>79</v>
      </c>
      <c r="F658" s="1">
        <v>152516.001739261</v>
      </c>
    </row>
    <row r="659" spans="1:6" ht="14.25" customHeight="1" x14ac:dyDescent="0.3">
      <c r="A659" s="1">
        <v>49766</v>
      </c>
      <c r="B659" s="1" t="s">
        <v>7</v>
      </c>
      <c r="C659" s="1" t="s">
        <v>641</v>
      </c>
      <c r="D659" s="1" t="s">
        <v>163</v>
      </c>
      <c r="E659" s="1" t="s">
        <v>164</v>
      </c>
      <c r="F659" s="1">
        <v>141153.89438532901</v>
      </c>
    </row>
    <row r="660" spans="1:6" ht="14.25" customHeight="1" x14ac:dyDescent="0.3">
      <c r="A660" s="1">
        <v>49780</v>
      </c>
      <c r="B660" s="1" t="s">
        <v>7</v>
      </c>
      <c r="C660" s="1" t="s">
        <v>642</v>
      </c>
      <c r="D660" s="1" t="s">
        <v>200</v>
      </c>
      <c r="E660" s="1" t="s">
        <v>201</v>
      </c>
      <c r="F660" s="1">
        <v>113612.419946569</v>
      </c>
    </row>
    <row r="661" spans="1:6" ht="14.25" customHeight="1" x14ac:dyDescent="0.3">
      <c r="A661" s="1">
        <v>49453</v>
      </c>
      <c r="B661" s="1" t="s">
        <v>7</v>
      </c>
      <c r="C661" s="1" t="s">
        <v>643</v>
      </c>
      <c r="D661" s="1" t="s">
        <v>184</v>
      </c>
      <c r="E661" s="1" t="s">
        <v>185</v>
      </c>
      <c r="F661" s="1">
        <v>531848.57392337697</v>
      </c>
    </row>
    <row r="662" spans="1:6" ht="14.25" customHeight="1" x14ac:dyDescent="0.3">
      <c r="A662" s="1">
        <v>49235</v>
      </c>
      <c r="B662" s="1" t="s">
        <v>7</v>
      </c>
      <c r="C662" s="1" t="s">
        <v>644</v>
      </c>
      <c r="D662" s="1" t="s">
        <v>55</v>
      </c>
      <c r="E662" s="1" t="s">
        <v>56</v>
      </c>
      <c r="F662" s="1">
        <v>165523.149672044</v>
      </c>
    </row>
    <row r="663" spans="1:6" ht="14.25" customHeight="1" x14ac:dyDescent="0.3">
      <c r="A663" s="1">
        <v>49070</v>
      </c>
      <c r="B663" s="1" t="s">
        <v>7</v>
      </c>
      <c r="D663" s="1" t="s">
        <v>184</v>
      </c>
      <c r="E663" s="1" t="s">
        <v>185</v>
      </c>
      <c r="F663" s="1">
        <v>224959.48814661501</v>
      </c>
    </row>
    <row r="664" spans="1:6" ht="14.25" customHeight="1" x14ac:dyDescent="0.3">
      <c r="A664" s="1">
        <v>49259</v>
      </c>
      <c r="B664" s="1" t="s">
        <v>7</v>
      </c>
      <c r="C664" s="1" t="s">
        <v>645</v>
      </c>
      <c r="D664" s="1" t="s">
        <v>27</v>
      </c>
      <c r="E664" s="1" t="s">
        <v>28</v>
      </c>
      <c r="F664" s="1">
        <v>210403.836838446</v>
      </c>
    </row>
    <row r="665" spans="1:6" ht="14.25" customHeight="1" x14ac:dyDescent="0.3">
      <c r="A665" s="1">
        <v>49272</v>
      </c>
      <c r="B665" s="1" t="s">
        <v>7</v>
      </c>
      <c r="C665" s="1" t="s">
        <v>646</v>
      </c>
      <c r="D665" s="1" t="s">
        <v>27</v>
      </c>
      <c r="E665" s="1" t="s">
        <v>28</v>
      </c>
      <c r="F665" s="1">
        <v>237078.10556867099</v>
      </c>
    </row>
    <row r="666" spans="1:6" ht="14.25" customHeight="1" x14ac:dyDescent="0.3">
      <c r="A666" s="1">
        <v>49680</v>
      </c>
      <c r="B666" s="1" t="s">
        <v>7</v>
      </c>
      <c r="C666" s="1" t="s">
        <v>647</v>
      </c>
      <c r="D666" s="1" t="s">
        <v>146</v>
      </c>
      <c r="E666" s="1" t="s">
        <v>365</v>
      </c>
      <c r="F666" s="1">
        <v>138050.73276576001</v>
      </c>
    </row>
    <row r="667" spans="1:6" ht="14.25" customHeight="1" x14ac:dyDescent="0.3">
      <c r="A667" s="1">
        <v>49264</v>
      </c>
      <c r="B667" s="1" t="s">
        <v>7</v>
      </c>
      <c r="C667" s="1" t="s">
        <v>648</v>
      </c>
      <c r="D667" s="1" t="s">
        <v>19</v>
      </c>
      <c r="E667" s="1" t="s">
        <v>20</v>
      </c>
      <c r="F667" s="1">
        <v>189331.916773971</v>
      </c>
    </row>
    <row r="668" spans="1:6" ht="14.25" customHeight="1" x14ac:dyDescent="0.3">
      <c r="A668" s="1">
        <v>48032</v>
      </c>
      <c r="B668" s="1" t="s">
        <v>7</v>
      </c>
      <c r="C668" s="1" t="s">
        <v>649</v>
      </c>
      <c r="D668" s="1" t="s">
        <v>12</v>
      </c>
      <c r="E668" s="1" t="s">
        <v>60</v>
      </c>
      <c r="F668" s="1">
        <v>251751.161097551</v>
      </c>
    </row>
    <row r="669" spans="1:6" ht="14.25" customHeight="1" x14ac:dyDescent="0.3">
      <c r="A669" s="1">
        <v>49411</v>
      </c>
      <c r="B669" s="1" t="s">
        <v>7</v>
      </c>
      <c r="C669" s="1" t="s">
        <v>650</v>
      </c>
      <c r="D669" s="1" t="s">
        <v>205</v>
      </c>
      <c r="E669" s="1" t="s">
        <v>206</v>
      </c>
      <c r="F669" s="1">
        <v>171121.38362926699</v>
      </c>
    </row>
    <row r="670" spans="1:6" ht="14.25" customHeight="1" x14ac:dyDescent="0.3">
      <c r="A670" s="1">
        <v>49755</v>
      </c>
      <c r="B670" s="1" t="s">
        <v>7</v>
      </c>
      <c r="C670" s="1" t="s">
        <v>651</v>
      </c>
      <c r="E670" s="1" t="s">
        <v>213</v>
      </c>
      <c r="F670" s="1">
        <v>164865.29411090599</v>
      </c>
    </row>
    <row r="671" spans="1:6" ht="14.25" customHeight="1" x14ac:dyDescent="0.3">
      <c r="A671" s="1">
        <v>48767</v>
      </c>
      <c r="B671" s="1" t="s">
        <v>7</v>
      </c>
      <c r="C671" s="1" t="s">
        <v>652</v>
      </c>
      <c r="E671" s="1" t="s">
        <v>278</v>
      </c>
      <c r="F671" s="1">
        <v>89598.398229658604</v>
      </c>
    </row>
    <row r="672" spans="1:6" ht="14.25" customHeight="1" x14ac:dyDescent="0.3">
      <c r="A672" s="1">
        <v>48467</v>
      </c>
      <c r="B672" s="1" t="s">
        <v>7</v>
      </c>
      <c r="C672" s="1" t="s">
        <v>653</v>
      </c>
      <c r="E672" s="1" t="s">
        <v>388</v>
      </c>
      <c r="F672" s="1">
        <v>146134.12225378599</v>
      </c>
    </row>
    <row r="673" spans="1:6" ht="14.25" customHeight="1" x14ac:dyDescent="0.3">
      <c r="A673" s="1">
        <v>49733</v>
      </c>
      <c r="B673" s="1" t="s">
        <v>7</v>
      </c>
      <c r="C673" s="1" t="s">
        <v>654</v>
      </c>
      <c r="E673" s="1" t="s">
        <v>294</v>
      </c>
      <c r="F673" s="1">
        <v>128798.55765945101</v>
      </c>
    </row>
    <row r="674" spans="1:6" ht="14.25" customHeight="1" x14ac:dyDescent="0.3">
      <c r="A674" s="1">
        <v>48464</v>
      </c>
      <c r="B674" s="1" t="s">
        <v>7</v>
      </c>
      <c r="C674" s="1" t="s">
        <v>655</v>
      </c>
      <c r="D674" s="1" t="s">
        <v>12</v>
      </c>
      <c r="E674" s="1" t="s">
        <v>97</v>
      </c>
      <c r="F674" s="1">
        <v>178299.66364812601</v>
      </c>
    </row>
    <row r="675" spans="1:6" ht="14.25" customHeight="1" x14ac:dyDescent="0.3">
      <c r="A675" s="1">
        <v>48890</v>
      </c>
      <c r="B675" s="1" t="s">
        <v>7</v>
      </c>
      <c r="C675" s="1" t="s">
        <v>656</v>
      </c>
      <c r="D675" s="1" t="s">
        <v>19</v>
      </c>
      <c r="E675" s="1" t="s">
        <v>88</v>
      </c>
      <c r="F675" s="1">
        <v>191860.95493116899</v>
      </c>
    </row>
    <row r="676" spans="1:6" ht="14.25" customHeight="1" x14ac:dyDescent="0.3">
      <c r="A676" s="1">
        <v>49271</v>
      </c>
      <c r="B676" s="1" t="s">
        <v>7</v>
      </c>
      <c r="C676" s="1" t="s">
        <v>657</v>
      </c>
      <c r="D676" s="1" t="s">
        <v>238</v>
      </c>
      <c r="E676" s="1" t="s">
        <v>239</v>
      </c>
      <c r="F676" s="1">
        <v>158537.553537359</v>
      </c>
    </row>
    <row r="677" spans="1:6" ht="14.25" customHeight="1" x14ac:dyDescent="0.3">
      <c r="A677" s="1">
        <v>48652</v>
      </c>
      <c r="B677" s="1" t="s">
        <v>7</v>
      </c>
      <c r="C677" s="1" t="s">
        <v>91</v>
      </c>
      <c r="D677" s="1" t="s">
        <v>92</v>
      </c>
      <c r="E677" s="1" t="s">
        <v>93</v>
      </c>
      <c r="F677" s="1">
        <v>148359.337903935</v>
      </c>
    </row>
    <row r="678" spans="1:6" ht="14.25" customHeight="1" x14ac:dyDescent="0.3">
      <c r="A678" s="1">
        <v>49648</v>
      </c>
      <c r="B678" s="1" t="s">
        <v>7</v>
      </c>
      <c r="C678" s="1" t="s">
        <v>658</v>
      </c>
      <c r="E678" s="1" t="s">
        <v>359</v>
      </c>
      <c r="F678" s="1">
        <v>655819.847019376</v>
      </c>
    </row>
    <row r="679" spans="1:6" ht="14.25" customHeight="1" x14ac:dyDescent="0.3">
      <c r="A679" s="1">
        <v>49753</v>
      </c>
      <c r="B679" s="1" t="s">
        <v>7</v>
      </c>
      <c r="C679" s="1" t="s">
        <v>659</v>
      </c>
      <c r="D679" s="1" t="s">
        <v>163</v>
      </c>
      <c r="E679" s="1" t="s">
        <v>164</v>
      </c>
      <c r="F679" s="1">
        <v>135844.13523515401</v>
      </c>
    </row>
    <row r="680" spans="1:6" ht="14.25" customHeight="1" x14ac:dyDescent="0.3">
      <c r="A680" s="1">
        <v>49113</v>
      </c>
      <c r="B680" s="1" t="s">
        <v>7</v>
      </c>
      <c r="C680" s="1" t="s">
        <v>660</v>
      </c>
      <c r="D680" s="1" t="s">
        <v>69</v>
      </c>
      <c r="E680" s="1" t="s">
        <v>70</v>
      </c>
      <c r="F680" s="1">
        <v>178871.820260154</v>
      </c>
    </row>
    <row r="681" spans="1:6" ht="14.25" customHeight="1" x14ac:dyDescent="0.3">
      <c r="A681" s="1">
        <v>48897</v>
      </c>
      <c r="B681" s="1" t="s">
        <v>7</v>
      </c>
      <c r="C681" s="1" t="s">
        <v>661</v>
      </c>
      <c r="E681" s="1" t="s">
        <v>192</v>
      </c>
      <c r="F681" s="1">
        <v>200275.35280925001</v>
      </c>
    </row>
    <row r="682" spans="1:6" ht="14.25" customHeight="1" x14ac:dyDescent="0.3">
      <c r="A682" s="1">
        <v>49795</v>
      </c>
      <c r="B682" s="1" t="s">
        <v>7</v>
      </c>
      <c r="C682" s="1" t="s">
        <v>662</v>
      </c>
      <c r="E682" s="1" t="s">
        <v>182</v>
      </c>
      <c r="F682" s="1">
        <v>132352.97166913</v>
      </c>
    </row>
    <row r="683" spans="1:6" ht="14.25" customHeight="1" x14ac:dyDescent="0.3">
      <c r="A683" s="1">
        <v>49446</v>
      </c>
      <c r="B683" s="1" t="s">
        <v>7</v>
      </c>
      <c r="C683" s="1" t="s">
        <v>663</v>
      </c>
      <c r="E683" s="1" t="s">
        <v>423</v>
      </c>
      <c r="F683" s="1">
        <v>173478.25344593599</v>
      </c>
    </row>
    <row r="684" spans="1:6" ht="14.25" customHeight="1" x14ac:dyDescent="0.3">
      <c r="A684" s="1">
        <v>48725</v>
      </c>
      <c r="B684" s="1" t="s">
        <v>7</v>
      </c>
      <c r="C684" s="1" t="s">
        <v>664</v>
      </c>
      <c r="E684" s="1" t="s">
        <v>388</v>
      </c>
      <c r="F684" s="1">
        <v>143702.466854567</v>
      </c>
    </row>
    <row r="685" spans="1:6" ht="14.25" customHeight="1" x14ac:dyDescent="0.3">
      <c r="A685" s="1">
        <v>49342</v>
      </c>
      <c r="B685" s="1" t="s">
        <v>7</v>
      </c>
      <c r="C685" s="1" t="s">
        <v>665</v>
      </c>
      <c r="D685" s="1" t="s">
        <v>173</v>
      </c>
      <c r="E685" s="1" t="s">
        <v>174</v>
      </c>
      <c r="F685" s="1">
        <v>132821.198971128</v>
      </c>
    </row>
    <row r="686" spans="1:6" ht="14.25" customHeight="1" x14ac:dyDescent="0.3">
      <c r="A686" s="1">
        <v>49325</v>
      </c>
      <c r="B686" s="1" t="s">
        <v>7</v>
      </c>
      <c r="C686" s="1" t="s">
        <v>666</v>
      </c>
      <c r="E686" s="1" t="s">
        <v>192</v>
      </c>
      <c r="F686" s="1">
        <v>220029.04602441599</v>
      </c>
    </row>
    <row r="687" spans="1:6" ht="14.25" customHeight="1" x14ac:dyDescent="0.3">
      <c r="A687" s="1">
        <v>48741</v>
      </c>
      <c r="B687" s="1" t="s">
        <v>7</v>
      </c>
      <c r="C687" s="1" t="s">
        <v>667</v>
      </c>
      <c r="E687" s="1" t="s">
        <v>278</v>
      </c>
      <c r="F687" s="1">
        <v>145012.40140538101</v>
      </c>
    </row>
    <row r="688" spans="1:6" ht="14.25" customHeight="1" x14ac:dyDescent="0.3">
      <c r="A688" s="1">
        <v>49102</v>
      </c>
      <c r="B688" s="1" t="s">
        <v>7</v>
      </c>
      <c r="C688" s="1" t="s">
        <v>668</v>
      </c>
      <c r="D688" s="1" t="s">
        <v>69</v>
      </c>
      <c r="E688" s="1" t="s">
        <v>70</v>
      </c>
      <c r="F688" s="1">
        <v>197785.40466658701</v>
      </c>
    </row>
    <row r="689" spans="1:6" ht="14.25" customHeight="1" x14ac:dyDescent="0.3">
      <c r="A689" s="1">
        <v>48435</v>
      </c>
      <c r="B689" s="1" t="s">
        <v>7</v>
      </c>
      <c r="C689" s="1" t="s">
        <v>669</v>
      </c>
      <c r="E689" s="1" t="s">
        <v>278</v>
      </c>
      <c r="F689" s="1">
        <v>161802.51774146099</v>
      </c>
    </row>
    <row r="690" spans="1:6" ht="14.25" customHeight="1" x14ac:dyDescent="0.3">
      <c r="A690" s="1">
        <v>49405</v>
      </c>
      <c r="B690" s="1" t="s">
        <v>7</v>
      </c>
      <c r="C690" s="1" t="s">
        <v>670</v>
      </c>
      <c r="D690" s="1" t="s">
        <v>205</v>
      </c>
      <c r="E690" s="1" t="s">
        <v>206</v>
      </c>
      <c r="F690" s="1">
        <v>144272.32212635101</v>
      </c>
    </row>
    <row r="691" spans="1:6" ht="14.25" customHeight="1" x14ac:dyDescent="0.3">
      <c r="A691" s="1">
        <v>49089</v>
      </c>
      <c r="B691" s="1" t="s">
        <v>7</v>
      </c>
      <c r="C691" s="1" t="s">
        <v>671</v>
      </c>
      <c r="D691" s="1" t="s">
        <v>143</v>
      </c>
      <c r="E691" s="1" t="s">
        <v>144</v>
      </c>
      <c r="F691" s="1">
        <v>105501.677786741</v>
      </c>
    </row>
    <row r="692" spans="1:6" ht="14.25" customHeight="1" x14ac:dyDescent="0.3">
      <c r="A692" s="1">
        <v>49885</v>
      </c>
      <c r="B692" s="1" t="s">
        <v>7</v>
      </c>
      <c r="C692" s="1" t="s">
        <v>672</v>
      </c>
      <c r="D692" s="1" t="s">
        <v>86</v>
      </c>
      <c r="E692" s="1" t="s">
        <v>87</v>
      </c>
      <c r="F692" s="1">
        <v>175080.46283031101</v>
      </c>
    </row>
    <row r="693" spans="1:6" ht="14.25" customHeight="1" x14ac:dyDescent="0.3">
      <c r="A693" s="1">
        <v>48877</v>
      </c>
      <c r="B693" s="1" t="s">
        <v>7</v>
      </c>
      <c r="C693" s="1" t="s">
        <v>673</v>
      </c>
      <c r="D693" s="1" t="s">
        <v>264</v>
      </c>
      <c r="E693" s="1" t="s">
        <v>265</v>
      </c>
      <c r="F693" s="1">
        <v>123343.72177698</v>
      </c>
    </row>
    <row r="694" spans="1:6" ht="14.25" customHeight="1" x14ac:dyDescent="0.3">
      <c r="A694" s="1">
        <v>48860</v>
      </c>
      <c r="B694" s="1" t="s">
        <v>7</v>
      </c>
      <c r="C694" s="1" t="s">
        <v>674</v>
      </c>
      <c r="D694" s="1" t="s">
        <v>32</v>
      </c>
      <c r="E694" s="1" t="s">
        <v>178</v>
      </c>
      <c r="F694" s="1">
        <v>166410.86771736399</v>
      </c>
    </row>
    <row r="695" spans="1:6" ht="14.25" customHeight="1" x14ac:dyDescent="0.3">
      <c r="A695" s="1">
        <v>49026</v>
      </c>
      <c r="B695" s="1" t="s">
        <v>7</v>
      </c>
      <c r="C695" s="1" t="s">
        <v>675</v>
      </c>
      <c r="E695" s="1" t="s">
        <v>236</v>
      </c>
      <c r="F695" s="1">
        <v>160088.03759492101</v>
      </c>
    </row>
    <row r="696" spans="1:6" ht="14.25" customHeight="1" x14ac:dyDescent="0.3">
      <c r="A696" s="1">
        <v>49338</v>
      </c>
      <c r="B696" s="1" t="s">
        <v>7</v>
      </c>
      <c r="E696" s="1" t="s">
        <v>268</v>
      </c>
      <c r="F696" s="1">
        <v>141085.87228054399</v>
      </c>
    </row>
    <row r="697" spans="1:6" ht="14.25" customHeight="1" x14ac:dyDescent="0.3">
      <c r="A697" s="1">
        <v>49774</v>
      </c>
      <c r="B697" s="1" t="s">
        <v>7</v>
      </c>
      <c r="C697" s="1" t="s">
        <v>676</v>
      </c>
      <c r="D697" s="1" t="s">
        <v>200</v>
      </c>
      <c r="E697" s="1" t="s">
        <v>201</v>
      </c>
      <c r="F697" s="1">
        <v>135814.40837336599</v>
      </c>
    </row>
    <row r="698" spans="1:6" ht="14.25" customHeight="1" x14ac:dyDescent="0.3">
      <c r="A698" s="1">
        <v>49644</v>
      </c>
      <c r="B698" s="1" t="s">
        <v>7</v>
      </c>
      <c r="C698" s="1" t="s">
        <v>677</v>
      </c>
      <c r="E698" s="1" t="s">
        <v>528</v>
      </c>
      <c r="F698" s="1">
        <v>126982.202119646</v>
      </c>
    </row>
    <row r="699" spans="1:6" ht="14.25" customHeight="1" x14ac:dyDescent="0.3">
      <c r="A699" s="1">
        <v>49640</v>
      </c>
      <c r="B699" s="1" t="s">
        <v>7</v>
      </c>
      <c r="C699" s="1" t="s">
        <v>678</v>
      </c>
      <c r="D699" s="1" t="s">
        <v>146</v>
      </c>
      <c r="E699" s="1" t="s">
        <v>541</v>
      </c>
      <c r="F699" s="1">
        <v>296967.06190922402</v>
      </c>
    </row>
    <row r="700" spans="1:6" ht="14.25" customHeight="1" x14ac:dyDescent="0.3">
      <c r="A700" s="1">
        <v>49620</v>
      </c>
      <c r="B700" s="1" t="s">
        <v>7</v>
      </c>
      <c r="C700" s="1" t="s">
        <v>679</v>
      </c>
      <c r="D700" s="1" t="s">
        <v>152</v>
      </c>
      <c r="E700" s="1" t="s">
        <v>153</v>
      </c>
      <c r="F700" s="1">
        <v>200766.086965291</v>
      </c>
    </row>
    <row r="701" spans="1:6" ht="14.25" customHeight="1" x14ac:dyDescent="0.3">
      <c r="A701" s="1">
        <v>48806</v>
      </c>
      <c r="B701" s="1" t="s">
        <v>7</v>
      </c>
      <c r="C701" s="1" t="s">
        <v>680</v>
      </c>
      <c r="D701" s="1" t="s">
        <v>264</v>
      </c>
      <c r="E701" s="1" t="s">
        <v>265</v>
      </c>
      <c r="F701" s="1">
        <v>118996.3258183</v>
      </c>
    </row>
    <row r="702" spans="1:6" ht="14.25" customHeight="1" x14ac:dyDescent="0.3">
      <c r="A702" s="1">
        <v>49125</v>
      </c>
      <c r="B702" s="1" t="s">
        <v>7</v>
      </c>
      <c r="C702" s="1" t="s">
        <v>681</v>
      </c>
      <c r="D702" s="1" t="s">
        <v>69</v>
      </c>
      <c r="E702" s="1" t="s">
        <v>70</v>
      </c>
      <c r="F702" s="1">
        <v>342667.65356456902</v>
      </c>
    </row>
    <row r="703" spans="1:6" ht="14.25" customHeight="1" x14ac:dyDescent="0.3">
      <c r="A703" s="1">
        <v>48370</v>
      </c>
      <c r="B703" s="1" t="s">
        <v>7</v>
      </c>
      <c r="C703" s="1" t="s">
        <v>461</v>
      </c>
      <c r="D703" s="1" t="s">
        <v>12</v>
      </c>
      <c r="E703" s="1" t="s">
        <v>40</v>
      </c>
      <c r="F703" s="1">
        <v>456050.03327778802</v>
      </c>
    </row>
    <row r="704" spans="1:6" ht="14.25" customHeight="1" x14ac:dyDescent="0.3">
      <c r="A704" s="1">
        <v>49629</v>
      </c>
      <c r="B704" s="1" t="s">
        <v>7</v>
      </c>
      <c r="C704" s="1" t="s">
        <v>682</v>
      </c>
      <c r="E704" s="1" t="s">
        <v>359</v>
      </c>
      <c r="F704" s="1">
        <v>417059.26344479801</v>
      </c>
    </row>
    <row r="705" spans="1:6" ht="14.25" customHeight="1" x14ac:dyDescent="0.3">
      <c r="A705" s="1">
        <v>49729</v>
      </c>
      <c r="B705" s="1" t="s">
        <v>7</v>
      </c>
      <c r="C705" s="1" t="s">
        <v>683</v>
      </c>
      <c r="E705" s="1" t="s">
        <v>359</v>
      </c>
      <c r="F705" s="1">
        <v>216483.661080422</v>
      </c>
    </row>
    <row r="706" spans="1:6" ht="14.25" customHeight="1" x14ac:dyDescent="0.3">
      <c r="A706" s="1">
        <v>49818</v>
      </c>
      <c r="B706" s="1" t="s">
        <v>7</v>
      </c>
      <c r="C706" s="1" t="s">
        <v>684</v>
      </c>
      <c r="D706" s="1" t="s">
        <v>223</v>
      </c>
      <c r="E706" s="1" t="s">
        <v>224</v>
      </c>
      <c r="F706" s="1">
        <v>135170.64279393401</v>
      </c>
    </row>
    <row r="707" spans="1:6" ht="14.25" customHeight="1" x14ac:dyDescent="0.3">
      <c r="A707" s="1">
        <v>49776</v>
      </c>
      <c r="B707" s="1" t="s">
        <v>7</v>
      </c>
      <c r="C707" s="1" t="s">
        <v>685</v>
      </c>
      <c r="E707" s="1" t="s">
        <v>483</v>
      </c>
      <c r="F707" s="1">
        <v>118538.47962</v>
      </c>
    </row>
    <row r="708" spans="1:6" ht="14.25" customHeight="1" x14ac:dyDescent="0.3">
      <c r="A708" s="1">
        <v>48733</v>
      </c>
      <c r="B708" s="1" t="s">
        <v>7</v>
      </c>
      <c r="C708" s="1" t="s">
        <v>686</v>
      </c>
      <c r="E708" s="1" t="s">
        <v>278</v>
      </c>
      <c r="F708" s="1">
        <v>109242.817908197</v>
      </c>
    </row>
    <row r="709" spans="1:6" ht="14.25" customHeight="1" x14ac:dyDescent="0.3">
      <c r="A709" s="1">
        <v>49095</v>
      </c>
      <c r="B709" s="1" t="s">
        <v>7</v>
      </c>
      <c r="C709" s="1" t="s">
        <v>687</v>
      </c>
      <c r="D709" s="1" t="s">
        <v>242</v>
      </c>
      <c r="E709" s="1" t="s">
        <v>243</v>
      </c>
      <c r="F709" s="1">
        <v>235483.13592013501</v>
      </c>
    </row>
    <row r="710" spans="1:6" ht="14.25" customHeight="1" x14ac:dyDescent="0.3">
      <c r="A710" s="1">
        <v>48703</v>
      </c>
      <c r="B710" s="1" t="s">
        <v>7</v>
      </c>
      <c r="C710" s="1" t="s">
        <v>688</v>
      </c>
      <c r="E710" s="1" t="s">
        <v>451</v>
      </c>
      <c r="F710" s="1">
        <v>117417.700103818</v>
      </c>
    </row>
    <row r="711" spans="1:6" ht="14.25" customHeight="1" x14ac:dyDescent="0.3">
      <c r="A711" s="1">
        <v>49238</v>
      </c>
      <c r="B711" s="1" t="s">
        <v>7</v>
      </c>
      <c r="C711" s="1" t="s">
        <v>689</v>
      </c>
      <c r="D711" s="1" t="s">
        <v>55</v>
      </c>
      <c r="E711" s="1" t="s">
        <v>56</v>
      </c>
      <c r="F711" s="1">
        <v>177785.54071422899</v>
      </c>
    </row>
    <row r="712" spans="1:6" ht="14.25" customHeight="1" x14ac:dyDescent="0.3">
      <c r="A712" s="1">
        <v>48865</v>
      </c>
      <c r="B712" s="1" t="s">
        <v>7</v>
      </c>
      <c r="C712" s="1" t="s">
        <v>690</v>
      </c>
      <c r="D712" s="1" t="s">
        <v>32</v>
      </c>
      <c r="E712" s="1" t="s">
        <v>178</v>
      </c>
      <c r="F712" s="1">
        <v>185846.76750068899</v>
      </c>
    </row>
    <row r="713" spans="1:6" ht="14.25" customHeight="1" x14ac:dyDescent="0.3">
      <c r="A713" s="1">
        <v>49759</v>
      </c>
      <c r="B713" s="1" t="s">
        <v>7</v>
      </c>
      <c r="C713" s="1" t="s">
        <v>691</v>
      </c>
      <c r="E713" s="1" t="s">
        <v>483</v>
      </c>
      <c r="F713" s="1">
        <v>136194.874524035</v>
      </c>
    </row>
    <row r="714" spans="1:6" ht="14.25" customHeight="1" x14ac:dyDescent="0.3">
      <c r="A714" s="1">
        <v>49459</v>
      </c>
      <c r="B714" s="1" t="s">
        <v>7</v>
      </c>
      <c r="C714" s="1" t="s">
        <v>692</v>
      </c>
      <c r="E714" s="1" t="s">
        <v>423</v>
      </c>
      <c r="F714" s="1">
        <v>94972.347911356803</v>
      </c>
    </row>
    <row r="715" spans="1:6" ht="14.25" customHeight="1" x14ac:dyDescent="0.3">
      <c r="A715" s="1">
        <v>49305</v>
      </c>
      <c r="B715" s="1" t="s">
        <v>7</v>
      </c>
      <c r="C715" s="1" t="s">
        <v>693</v>
      </c>
      <c r="D715" s="1" t="s">
        <v>173</v>
      </c>
      <c r="E715" s="1" t="s">
        <v>174</v>
      </c>
      <c r="F715" s="1">
        <v>92411.318130272397</v>
      </c>
    </row>
    <row r="716" spans="1:6" ht="14.25" customHeight="1" x14ac:dyDescent="0.3">
      <c r="A716" s="1">
        <v>48873</v>
      </c>
      <c r="B716" s="1" t="s">
        <v>7</v>
      </c>
      <c r="C716" s="1" t="s">
        <v>694</v>
      </c>
      <c r="D716" s="1" t="s">
        <v>32</v>
      </c>
      <c r="E716" s="1" t="s">
        <v>178</v>
      </c>
      <c r="F716" s="1">
        <v>221523.05299225199</v>
      </c>
    </row>
    <row r="717" spans="1:6" ht="14.25" customHeight="1" x14ac:dyDescent="0.3">
      <c r="A717" s="1">
        <v>49060</v>
      </c>
      <c r="B717" s="1" t="s">
        <v>7</v>
      </c>
      <c r="C717" s="1" t="s">
        <v>695</v>
      </c>
      <c r="E717" s="1" t="s">
        <v>192</v>
      </c>
      <c r="F717" s="1">
        <v>292272.66795947199</v>
      </c>
    </row>
    <row r="718" spans="1:6" ht="14.25" customHeight="1" x14ac:dyDescent="0.3">
      <c r="A718" s="1">
        <v>49679</v>
      </c>
      <c r="B718" s="1" t="s">
        <v>7</v>
      </c>
      <c r="C718" s="1" t="s">
        <v>696</v>
      </c>
      <c r="E718" s="1" t="s">
        <v>370</v>
      </c>
      <c r="F718" s="1">
        <v>134722.767845572</v>
      </c>
    </row>
    <row r="719" spans="1:6" ht="14.25" customHeight="1" x14ac:dyDescent="0.3">
      <c r="A719" s="1">
        <v>49656</v>
      </c>
      <c r="B719" s="1" t="s">
        <v>7</v>
      </c>
      <c r="C719" s="1" t="s">
        <v>697</v>
      </c>
      <c r="E719" s="1" t="s">
        <v>528</v>
      </c>
      <c r="F719" s="1">
        <v>94128.762281514893</v>
      </c>
    </row>
    <row r="720" spans="1:6" ht="14.25" customHeight="1" x14ac:dyDescent="0.3">
      <c r="A720" s="1">
        <v>49747</v>
      </c>
      <c r="B720" s="1" t="s">
        <v>7</v>
      </c>
      <c r="C720" s="1" t="s">
        <v>698</v>
      </c>
      <c r="D720" s="1" t="s">
        <v>163</v>
      </c>
      <c r="E720" s="1" t="s">
        <v>164</v>
      </c>
      <c r="F720" s="1">
        <v>150988.681852974</v>
      </c>
    </row>
    <row r="721" spans="1:6" ht="14.25" customHeight="1" x14ac:dyDescent="0.3">
      <c r="A721" s="1">
        <v>49309</v>
      </c>
      <c r="B721" s="1" t="s">
        <v>7</v>
      </c>
      <c r="C721" s="1" t="s">
        <v>699</v>
      </c>
      <c r="E721" s="1" t="s">
        <v>268</v>
      </c>
      <c r="F721" s="1">
        <v>89875.186604856804</v>
      </c>
    </row>
    <row r="722" spans="1:6" ht="14.25" customHeight="1" x14ac:dyDescent="0.3">
      <c r="A722" s="1">
        <v>49884</v>
      </c>
      <c r="B722" s="1" t="s">
        <v>7</v>
      </c>
      <c r="C722" s="1" t="s">
        <v>700</v>
      </c>
      <c r="E722" s="1" t="s">
        <v>543</v>
      </c>
      <c r="F722" s="1">
        <v>123199.15875566901</v>
      </c>
    </row>
    <row r="723" spans="1:6" ht="14.25" customHeight="1" x14ac:dyDescent="0.3">
      <c r="A723" s="1">
        <v>49769</v>
      </c>
      <c r="B723" s="1" t="s">
        <v>7</v>
      </c>
      <c r="C723" s="1" t="s">
        <v>701</v>
      </c>
      <c r="E723" s="1" t="s">
        <v>213</v>
      </c>
      <c r="F723" s="1">
        <v>150261.050488899</v>
      </c>
    </row>
    <row r="724" spans="1:6" ht="14.25" customHeight="1" x14ac:dyDescent="0.3">
      <c r="A724" s="1">
        <v>48731</v>
      </c>
      <c r="B724" s="1" t="s">
        <v>7</v>
      </c>
      <c r="C724" s="1" t="s">
        <v>702</v>
      </c>
      <c r="E724" s="1" t="s">
        <v>388</v>
      </c>
      <c r="F724" s="1">
        <v>96038.033967229101</v>
      </c>
    </row>
    <row r="725" spans="1:6" ht="14.25" customHeight="1" x14ac:dyDescent="0.3">
      <c r="A725" s="1">
        <v>48878</v>
      </c>
      <c r="B725" s="1" t="s">
        <v>7</v>
      </c>
      <c r="C725" s="1" t="s">
        <v>703</v>
      </c>
      <c r="D725" s="1" t="s">
        <v>24</v>
      </c>
      <c r="E725" s="1" t="s">
        <v>25</v>
      </c>
      <c r="F725" s="1">
        <v>152626.20889274101</v>
      </c>
    </row>
    <row r="726" spans="1:6" ht="14.25" customHeight="1" x14ac:dyDescent="0.3">
      <c r="A726" s="1">
        <v>48472</v>
      </c>
      <c r="B726" s="1" t="s">
        <v>7</v>
      </c>
      <c r="C726" s="1" t="s">
        <v>704</v>
      </c>
      <c r="E726" s="1" t="s">
        <v>408</v>
      </c>
      <c r="F726" s="1">
        <v>117790.89108380501</v>
      </c>
    </row>
    <row r="727" spans="1:6" ht="14.25" customHeight="1" x14ac:dyDescent="0.3">
      <c r="A727" s="1">
        <v>48662</v>
      </c>
      <c r="B727" s="1" t="s">
        <v>7</v>
      </c>
      <c r="C727" s="1" t="s">
        <v>705</v>
      </c>
      <c r="D727" s="1" t="s">
        <v>264</v>
      </c>
      <c r="E727" s="1" t="s">
        <v>265</v>
      </c>
      <c r="F727" s="1">
        <v>114841.47355650501</v>
      </c>
    </row>
    <row r="728" spans="1:6" ht="14.25" customHeight="1" x14ac:dyDescent="0.3">
      <c r="A728" s="1">
        <v>49452</v>
      </c>
      <c r="B728" s="1" t="s">
        <v>7</v>
      </c>
      <c r="C728" s="1" t="s">
        <v>706</v>
      </c>
      <c r="E728" s="1" t="s">
        <v>423</v>
      </c>
      <c r="F728" s="1">
        <v>136030.500534233</v>
      </c>
    </row>
    <row r="729" spans="1:6" ht="14.25" customHeight="1" x14ac:dyDescent="0.3">
      <c r="A729" s="1">
        <v>48871</v>
      </c>
      <c r="B729" s="1" t="s">
        <v>7</v>
      </c>
      <c r="C729" s="1" t="s">
        <v>707</v>
      </c>
      <c r="D729" s="1" t="s">
        <v>264</v>
      </c>
      <c r="E729" s="1" t="s">
        <v>265</v>
      </c>
      <c r="F729" s="1">
        <v>201159.015345236</v>
      </c>
    </row>
    <row r="730" spans="1:6" ht="14.25" customHeight="1" x14ac:dyDescent="0.3">
      <c r="A730" s="1">
        <v>48748</v>
      </c>
      <c r="B730" s="1" t="s">
        <v>7</v>
      </c>
      <c r="C730" s="1" t="s">
        <v>708</v>
      </c>
      <c r="E730" s="1" t="s">
        <v>336</v>
      </c>
      <c r="F730" s="1">
        <v>108634.340760269</v>
      </c>
    </row>
    <row r="731" spans="1:6" ht="14.25" customHeight="1" x14ac:dyDescent="0.3">
      <c r="A731" s="1">
        <v>49893</v>
      </c>
      <c r="B731" s="1" t="s">
        <v>7</v>
      </c>
      <c r="C731" s="1" t="s">
        <v>709</v>
      </c>
      <c r="D731" s="1" t="s">
        <v>281</v>
      </c>
      <c r="E731" s="1" t="s">
        <v>282</v>
      </c>
      <c r="F731" s="1">
        <v>171071.641401798</v>
      </c>
    </row>
    <row r="732" spans="1:6" ht="14.25" customHeight="1" x14ac:dyDescent="0.3">
      <c r="A732" s="1">
        <v>49814</v>
      </c>
      <c r="B732" s="1" t="s">
        <v>7</v>
      </c>
      <c r="C732" s="1" t="s">
        <v>710</v>
      </c>
      <c r="D732" s="1" t="s">
        <v>86</v>
      </c>
      <c r="E732" s="1" t="s">
        <v>87</v>
      </c>
      <c r="F732" s="1">
        <v>143120.34462928399</v>
      </c>
    </row>
    <row r="733" spans="1:6" ht="14.25" customHeight="1" x14ac:dyDescent="0.3">
      <c r="A733" s="1">
        <v>48649</v>
      </c>
      <c r="B733" s="1" t="s">
        <v>7</v>
      </c>
      <c r="C733" s="1" t="s">
        <v>711</v>
      </c>
      <c r="D733" s="1" t="s">
        <v>78</v>
      </c>
      <c r="E733" s="1" t="s">
        <v>79</v>
      </c>
      <c r="F733" s="1">
        <v>133182.04671321501</v>
      </c>
    </row>
    <row r="734" spans="1:6" ht="14.25" customHeight="1" x14ac:dyDescent="0.3">
      <c r="A734" s="1">
        <v>48742</v>
      </c>
      <c r="B734" s="1" t="s">
        <v>7</v>
      </c>
      <c r="C734" s="1" t="s">
        <v>279</v>
      </c>
      <c r="E734" s="1" t="s">
        <v>638</v>
      </c>
      <c r="F734" s="1">
        <v>117069.428579995</v>
      </c>
    </row>
    <row r="735" spans="1:6" ht="14.25" customHeight="1" x14ac:dyDescent="0.3">
      <c r="A735" s="1">
        <v>48886</v>
      </c>
      <c r="B735" s="1" t="s">
        <v>7</v>
      </c>
      <c r="C735" s="1" t="s">
        <v>459</v>
      </c>
      <c r="D735" s="1" t="s">
        <v>32</v>
      </c>
      <c r="E735" s="1" t="s">
        <v>196</v>
      </c>
      <c r="F735" s="1">
        <v>120492.192989791</v>
      </c>
    </row>
    <row r="736" spans="1:6" ht="14.25" customHeight="1" x14ac:dyDescent="0.3">
      <c r="A736" s="1">
        <v>49436</v>
      </c>
      <c r="B736" s="1" t="s">
        <v>7</v>
      </c>
      <c r="C736" s="1" t="s">
        <v>712</v>
      </c>
      <c r="E736" s="1" t="s">
        <v>423</v>
      </c>
      <c r="F736" s="1">
        <v>235428.74971219801</v>
      </c>
    </row>
    <row r="737" spans="1:6" ht="14.25" customHeight="1" x14ac:dyDescent="0.3">
      <c r="A737" s="1">
        <v>48737</v>
      </c>
      <c r="B737" s="1" t="s">
        <v>7</v>
      </c>
      <c r="C737" s="1" t="s">
        <v>713</v>
      </c>
      <c r="E737" s="1" t="s">
        <v>638</v>
      </c>
      <c r="F737" s="1">
        <v>65865.286785073302</v>
      </c>
    </row>
    <row r="738" spans="1:6" ht="14.25" customHeight="1" x14ac:dyDescent="0.3">
      <c r="A738" s="1">
        <v>49895</v>
      </c>
      <c r="B738" s="1" t="s">
        <v>7</v>
      </c>
      <c r="C738" s="1" t="s">
        <v>714</v>
      </c>
      <c r="E738" s="1" t="s">
        <v>543</v>
      </c>
      <c r="F738" s="1">
        <v>166329.23610199601</v>
      </c>
    </row>
    <row r="739" spans="1:6" ht="14.25" customHeight="1" x14ac:dyDescent="0.3">
      <c r="A739" s="1">
        <v>48745</v>
      </c>
      <c r="B739" s="1" t="s">
        <v>7</v>
      </c>
      <c r="C739" s="1" t="s">
        <v>715</v>
      </c>
      <c r="E739" s="1" t="s">
        <v>638</v>
      </c>
      <c r="F739" s="1">
        <v>89256.082835580601</v>
      </c>
    </row>
    <row r="740" spans="1:6" ht="14.25" customHeight="1" x14ac:dyDescent="0.3">
      <c r="A740" s="1">
        <v>48701</v>
      </c>
      <c r="B740" s="1" t="s">
        <v>7</v>
      </c>
      <c r="C740" s="1" t="s">
        <v>716</v>
      </c>
      <c r="E740" s="1" t="s">
        <v>278</v>
      </c>
      <c r="F740" s="1">
        <v>90869.598734736705</v>
      </c>
    </row>
    <row r="741" spans="1:6" ht="14.25" customHeight="1" x14ac:dyDescent="0.3">
      <c r="A741" s="1">
        <v>48607</v>
      </c>
      <c r="B741" s="1" t="s">
        <v>7</v>
      </c>
      <c r="C741" s="1" t="s">
        <v>77</v>
      </c>
      <c r="D741" s="1" t="s">
        <v>78</v>
      </c>
      <c r="E741" s="1" t="s">
        <v>79</v>
      </c>
      <c r="F741" s="1">
        <v>28454.841788399801</v>
      </c>
    </row>
    <row r="742" spans="1:6" ht="14.25" customHeight="1" x14ac:dyDescent="0.3">
      <c r="A742" s="1">
        <v>49716</v>
      </c>
      <c r="B742" s="1" t="s">
        <v>7</v>
      </c>
      <c r="C742" s="1" t="s">
        <v>717</v>
      </c>
      <c r="E742" s="1" t="s">
        <v>213</v>
      </c>
      <c r="F742" s="1">
        <v>321512.721562894</v>
      </c>
    </row>
    <row r="743" spans="1:6" ht="14.25" customHeight="1" x14ac:dyDescent="0.3">
      <c r="A743" s="1">
        <v>49821</v>
      </c>
      <c r="B743" s="1" t="s">
        <v>7</v>
      </c>
      <c r="C743" s="1" t="s">
        <v>718</v>
      </c>
      <c r="D743" s="1" t="s">
        <v>281</v>
      </c>
      <c r="E743" s="1" t="s">
        <v>282</v>
      </c>
      <c r="F743" s="1">
        <v>149439.22721993699</v>
      </c>
    </row>
    <row r="744" spans="1:6" ht="14.25" customHeight="1" x14ac:dyDescent="0.3">
      <c r="A744" s="1">
        <v>49288</v>
      </c>
      <c r="B744" s="1" t="s">
        <v>7</v>
      </c>
      <c r="C744" s="1" t="s">
        <v>719</v>
      </c>
      <c r="D744" s="1" t="s">
        <v>238</v>
      </c>
      <c r="E744" s="1" t="s">
        <v>239</v>
      </c>
      <c r="F744" s="1">
        <v>118720.483156193</v>
      </c>
    </row>
    <row r="745" spans="1:6" ht="14.25" customHeight="1" x14ac:dyDescent="0.3">
      <c r="A745" s="1">
        <v>49969</v>
      </c>
      <c r="B745" s="1" t="s">
        <v>7</v>
      </c>
      <c r="C745" s="1" t="s">
        <v>720</v>
      </c>
      <c r="E745" s="1" t="s">
        <v>362</v>
      </c>
      <c r="F745" s="1">
        <v>201029.123421864</v>
      </c>
    </row>
    <row r="746" spans="1:6" ht="14.25" customHeight="1" x14ac:dyDescent="0.3">
      <c r="A746" s="1">
        <v>49616</v>
      </c>
      <c r="B746" s="1" t="s">
        <v>7</v>
      </c>
      <c r="C746" s="1" t="s">
        <v>721</v>
      </c>
      <c r="D746" s="1" t="s">
        <v>146</v>
      </c>
      <c r="E746" s="1" t="s">
        <v>541</v>
      </c>
      <c r="F746" s="1">
        <v>210429.99729427299</v>
      </c>
    </row>
    <row r="747" spans="1:6" ht="14.25" customHeight="1" x14ac:dyDescent="0.3">
      <c r="A747" s="1">
        <v>48466</v>
      </c>
      <c r="B747" s="1" t="s">
        <v>7</v>
      </c>
      <c r="C747" s="1" t="s">
        <v>722</v>
      </c>
      <c r="E747" s="1" t="s">
        <v>408</v>
      </c>
      <c r="F747" s="1">
        <v>122847.027172747</v>
      </c>
    </row>
    <row r="748" spans="1:6" ht="14.25" customHeight="1" x14ac:dyDescent="0.3">
      <c r="A748" s="1">
        <v>49029</v>
      </c>
      <c r="B748" s="1" t="s">
        <v>7</v>
      </c>
      <c r="C748" s="1" t="s">
        <v>723</v>
      </c>
      <c r="D748" s="1" t="s">
        <v>118</v>
      </c>
      <c r="E748" s="1" t="s">
        <v>119</v>
      </c>
      <c r="F748" s="1">
        <v>167774.45997907899</v>
      </c>
    </row>
    <row r="749" spans="1:6" ht="14.25" customHeight="1" x14ac:dyDescent="0.3">
      <c r="A749" s="1">
        <v>48770</v>
      </c>
      <c r="B749" s="1" t="s">
        <v>7</v>
      </c>
      <c r="C749" s="1" t="s">
        <v>724</v>
      </c>
      <c r="E749" s="1" t="s">
        <v>336</v>
      </c>
      <c r="F749" s="1">
        <v>93003.265968530497</v>
      </c>
    </row>
    <row r="750" spans="1:6" ht="14.25" customHeight="1" x14ac:dyDescent="0.3">
      <c r="A750" s="1">
        <v>49625</v>
      </c>
      <c r="B750" s="1" t="s">
        <v>7</v>
      </c>
      <c r="C750" s="1" t="s">
        <v>725</v>
      </c>
      <c r="E750" s="1" t="s">
        <v>245</v>
      </c>
      <c r="F750" s="1">
        <v>149486.720661019</v>
      </c>
    </row>
    <row r="751" spans="1:6" ht="14.25" customHeight="1" x14ac:dyDescent="0.3">
      <c r="A751" s="1">
        <v>49050</v>
      </c>
      <c r="B751" s="1" t="s">
        <v>7</v>
      </c>
      <c r="C751" s="1" t="s">
        <v>726</v>
      </c>
      <c r="E751" s="1" t="s">
        <v>192</v>
      </c>
      <c r="F751" s="1">
        <v>215636.13217373399</v>
      </c>
    </row>
    <row r="752" spans="1:6" ht="14.25" customHeight="1" x14ac:dyDescent="0.3">
      <c r="A752" s="1">
        <v>48445</v>
      </c>
      <c r="B752" s="1" t="s">
        <v>7</v>
      </c>
      <c r="C752" s="1" t="s">
        <v>727</v>
      </c>
      <c r="E752" s="1" t="s">
        <v>388</v>
      </c>
      <c r="F752" s="1">
        <v>89586.760007408302</v>
      </c>
    </row>
    <row r="753" spans="1:6" ht="14.25" customHeight="1" x14ac:dyDescent="0.3">
      <c r="A753" s="1">
        <v>48050</v>
      </c>
      <c r="B753" s="1" t="s">
        <v>7</v>
      </c>
      <c r="C753" s="1" t="s">
        <v>318</v>
      </c>
      <c r="D753" s="1" t="s">
        <v>12</v>
      </c>
      <c r="E753" s="1" t="s">
        <v>16</v>
      </c>
      <c r="F753" s="1">
        <v>300212.49479765998</v>
      </c>
    </row>
    <row r="754" spans="1:6" ht="14.25" customHeight="1" x14ac:dyDescent="0.3">
      <c r="A754" s="1">
        <v>49623</v>
      </c>
      <c r="B754" s="1" t="s">
        <v>7</v>
      </c>
      <c r="C754" s="1" t="s">
        <v>728</v>
      </c>
      <c r="E754" s="1" t="s">
        <v>528</v>
      </c>
      <c r="F754" s="1">
        <v>111907.841804083</v>
      </c>
    </row>
    <row r="755" spans="1:6" ht="14.25" customHeight="1" x14ac:dyDescent="0.3">
      <c r="A755" s="1">
        <v>48729</v>
      </c>
      <c r="B755" s="1" t="s">
        <v>7</v>
      </c>
      <c r="C755" s="1" t="s">
        <v>729</v>
      </c>
      <c r="E755" s="1" t="s">
        <v>278</v>
      </c>
      <c r="F755" s="1">
        <v>128229.373564892</v>
      </c>
    </row>
    <row r="756" spans="1:6" ht="14.25" customHeight="1" x14ac:dyDescent="0.3">
      <c r="A756" s="1">
        <v>49664</v>
      </c>
      <c r="B756" s="1" t="s">
        <v>7</v>
      </c>
      <c r="C756" s="1" t="s">
        <v>730</v>
      </c>
      <c r="D756" s="1" t="s">
        <v>146</v>
      </c>
      <c r="E756" s="1" t="s">
        <v>515</v>
      </c>
      <c r="F756" s="1">
        <v>426932.36587593699</v>
      </c>
    </row>
    <row r="757" spans="1:6" ht="14.25" customHeight="1" x14ac:dyDescent="0.3">
      <c r="A757" s="1">
        <v>49689</v>
      </c>
      <c r="B757" s="1" t="s">
        <v>7</v>
      </c>
      <c r="C757" s="1" t="s">
        <v>731</v>
      </c>
      <c r="E757" s="1" t="s">
        <v>245</v>
      </c>
      <c r="F757" s="1">
        <v>91661.906209671593</v>
      </c>
    </row>
    <row r="758" spans="1:6" ht="14.25" customHeight="1" x14ac:dyDescent="0.3">
      <c r="A758" s="1">
        <v>49347</v>
      </c>
      <c r="B758" s="1" t="s">
        <v>7</v>
      </c>
      <c r="C758" s="1" t="s">
        <v>732</v>
      </c>
      <c r="D758" s="1" t="s">
        <v>32</v>
      </c>
      <c r="E758" s="1" t="s">
        <v>196</v>
      </c>
      <c r="F758" s="1">
        <v>164425.282644805</v>
      </c>
    </row>
    <row r="759" spans="1:6" ht="14.25" customHeight="1" x14ac:dyDescent="0.3">
      <c r="A759" s="1">
        <v>48765</v>
      </c>
      <c r="B759" s="1" t="s">
        <v>7</v>
      </c>
      <c r="C759" s="1" t="s">
        <v>708</v>
      </c>
      <c r="E759" s="1" t="s">
        <v>336</v>
      </c>
      <c r="F759" s="1">
        <v>98202.223739094799</v>
      </c>
    </row>
    <row r="760" spans="1:6" ht="14.25" customHeight="1" x14ac:dyDescent="0.3">
      <c r="A760" s="1">
        <v>48614</v>
      </c>
      <c r="B760" s="1" t="s">
        <v>7</v>
      </c>
      <c r="C760" s="1" t="s">
        <v>733</v>
      </c>
      <c r="D760" s="1" t="s">
        <v>78</v>
      </c>
      <c r="E760" s="1" t="s">
        <v>79</v>
      </c>
      <c r="F760" s="1">
        <v>167672.07888805901</v>
      </c>
    </row>
    <row r="761" spans="1:6" ht="14.25" customHeight="1" x14ac:dyDescent="0.3">
      <c r="A761" s="1">
        <v>49612</v>
      </c>
      <c r="B761" s="1" t="s">
        <v>7</v>
      </c>
      <c r="C761" s="1" t="s">
        <v>734</v>
      </c>
      <c r="D761" s="1" t="s">
        <v>146</v>
      </c>
      <c r="E761" s="1" t="s">
        <v>365</v>
      </c>
      <c r="F761" s="1">
        <v>268824.87885029899</v>
      </c>
    </row>
    <row r="762" spans="1:6" ht="14.25" customHeight="1" x14ac:dyDescent="0.3">
      <c r="A762" s="1">
        <v>48635</v>
      </c>
      <c r="B762" s="1" t="s">
        <v>7</v>
      </c>
      <c r="C762" s="1" t="s">
        <v>735</v>
      </c>
      <c r="E762" s="1" t="s">
        <v>304</v>
      </c>
      <c r="F762" s="1">
        <v>133230.95594683199</v>
      </c>
    </row>
    <row r="763" spans="1:6" ht="14.25" customHeight="1" x14ac:dyDescent="0.3">
      <c r="A763" s="1">
        <v>49645</v>
      </c>
      <c r="B763" s="1" t="s">
        <v>7</v>
      </c>
      <c r="C763" s="1" t="s">
        <v>736</v>
      </c>
      <c r="E763" s="1" t="s">
        <v>245</v>
      </c>
      <c r="F763" s="1">
        <v>145317.87339792401</v>
      </c>
    </row>
    <row r="764" spans="1:6" ht="14.25" customHeight="1" x14ac:dyDescent="0.3">
      <c r="A764" s="1">
        <v>49653</v>
      </c>
      <c r="B764" s="1" t="s">
        <v>7</v>
      </c>
      <c r="C764" s="1" t="s">
        <v>737</v>
      </c>
      <c r="D764" s="1" t="s">
        <v>146</v>
      </c>
      <c r="E764" s="1" t="s">
        <v>515</v>
      </c>
      <c r="F764" s="1">
        <v>560553.694101047</v>
      </c>
    </row>
    <row r="765" spans="1:6" ht="14.25" customHeight="1" x14ac:dyDescent="0.3">
      <c r="A765" s="1">
        <v>48832</v>
      </c>
      <c r="B765" s="1" t="s">
        <v>7</v>
      </c>
      <c r="C765" s="1" t="s">
        <v>738</v>
      </c>
      <c r="D765" s="1" t="s">
        <v>264</v>
      </c>
      <c r="E765" s="1" t="s">
        <v>265</v>
      </c>
      <c r="F765" s="1">
        <v>134866.25205230099</v>
      </c>
    </row>
    <row r="766" spans="1:6" ht="14.25" customHeight="1" x14ac:dyDescent="0.3">
      <c r="A766" s="1">
        <v>49670</v>
      </c>
      <c r="B766" s="1" t="s">
        <v>7</v>
      </c>
      <c r="C766" s="1" t="s">
        <v>739</v>
      </c>
      <c r="D766" s="1" t="s">
        <v>146</v>
      </c>
      <c r="E766" s="1" t="s">
        <v>515</v>
      </c>
      <c r="F766" s="1">
        <v>537393.50216069201</v>
      </c>
    </row>
    <row r="767" spans="1:6" ht="14.25" customHeight="1" x14ac:dyDescent="0.3">
      <c r="A767" s="1">
        <v>48760</v>
      </c>
      <c r="B767" s="1" t="s">
        <v>7</v>
      </c>
      <c r="C767" s="1" t="s">
        <v>740</v>
      </c>
      <c r="D767" s="1" t="s">
        <v>12</v>
      </c>
      <c r="E767" s="1" t="s">
        <v>97</v>
      </c>
      <c r="F767" s="1">
        <v>52915.446103270398</v>
      </c>
    </row>
    <row r="768" spans="1:6" ht="14.25" customHeight="1" x14ac:dyDescent="0.3">
      <c r="A768" s="1">
        <v>49812</v>
      </c>
      <c r="B768" s="1" t="s">
        <v>7</v>
      </c>
      <c r="C768" s="1" t="s">
        <v>718</v>
      </c>
      <c r="D768" s="1" t="s">
        <v>281</v>
      </c>
      <c r="E768" s="1" t="s">
        <v>282</v>
      </c>
      <c r="F768" s="1">
        <v>159349.84411085001</v>
      </c>
    </row>
    <row r="769" spans="1:6" ht="14.25" customHeight="1" x14ac:dyDescent="0.3">
      <c r="A769" s="1">
        <v>48749</v>
      </c>
      <c r="B769" s="1" t="s">
        <v>7</v>
      </c>
      <c r="C769" s="1" t="s">
        <v>741</v>
      </c>
      <c r="E769" s="1" t="s">
        <v>451</v>
      </c>
      <c r="F769" s="1">
        <v>92446.470299744004</v>
      </c>
    </row>
    <row r="770" spans="1:6" ht="14.25" customHeight="1" x14ac:dyDescent="0.3">
      <c r="A770" s="1">
        <v>49440</v>
      </c>
      <c r="B770" s="1" t="s">
        <v>7</v>
      </c>
      <c r="C770" s="1" t="s">
        <v>42</v>
      </c>
      <c r="D770" s="1" t="s">
        <v>43</v>
      </c>
      <c r="E770" s="1" t="s">
        <v>44</v>
      </c>
      <c r="F770" s="1">
        <v>215325.79609986499</v>
      </c>
    </row>
    <row r="771" spans="1:6" ht="14.25" customHeight="1" x14ac:dyDescent="0.3">
      <c r="A771" s="1">
        <v>49126</v>
      </c>
      <c r="B771" s="1" t="s">
        <v>7</v>
      </c>
      <c r="C771" s="1" t="s">
        <v>742</v>
      </c>
      <c r="D771" s="1" t="s">
        <v>69</v>
      </c>
      <c r="E771" s="1" t="s">
        <v>70</v>
      </c>
      <c r="F771" s="1">
        <v>191901.12822748499</v>
      </c>
    </row>
    <row r="772" spans="1:6" ht="14.25" customHeight="1" x14ac:dyDescent="0.3">
      <c r="A772" s="1">
        <v>48885</v>
      </c>
      <c r="B772" s="1" t="s">
        <v>7</v>
      </c>
      <c r="C772" s="1" t="s">
        <v>743</v>
      </c>
      <c r="D772" s="1" t="s">
        <v>32</v>
      </c>
      <c r="E772" s="1" t="s">
        <v>196</v>
      </c>
      <c r="F772" s="1">
        <v>165385.35224239901</v>
      </c>
    </row>
    <row r="773" spans="1:6" ht="14.25" customHeight="1" x14ac:dyDescent="0.3">
      <c r="A773" s="1">
        <v>48747</v>
      </c>
      <c r="B773" s="1" t="s">
        <v>7</v>
      </c>
      <c r="D773" s="1" t="s">
        <v>62</v>
      </c>
      <c r="E773" s="1" t="s">
        <v>63</v>
      </c>
      <c r="F773" s="1">
        <v>161213.11775878299</v>
      </c>
    </row>
    <row r="774" spans="1:6" ht="14.25" customHeight="1" x14ac:dyDescent="0.3">
      <c r="A774" s="1">
        <v>48861</v>
      </c>
      <c r="B774" s="1" t="s">
        <v>7</v>
      </c>
      <c r="C774" s="1" t="s">
        <v>744</v>
      </c>
      <c r="D774" s="1" t="s">
        <v>19</v>
      </c>
      <c r="E774" s="1" t="s">
        <v>88</v>
      </c>
      <c r="F774" s="1">
        <v>186434.964893995</v>
      </c>
    </row>
    <row r="775" spans="1:6" ht="14.25" customHeight="1" x14ac:dyDescent="0.3">
      <c r="A775" s="1">
        <v>48889</v>
      </c>
      <c r="B775" s="1" t="s">
        <v>7</v>
      </c>
      <c r="C775" s="1" t="s">
        <v>745</v>
      </c>
      <c r="D775" s="1" t="s">
        <v>264</v>
      </c>
      <c r="E775" s="1" t="s">
        <v>265</v>
      </c>
      <c r="F775" s="1">
        <v>131848.452813151</v>
      </c>
    </row>
    <row r="776" spans="1:6" ht="14.25" customHeight="1" x14ac:dyDescent="0.3">
      <c r="A776" s="1">
        <v>49318</v>
      </c>
      <c r="B776" s="1" t="s">
        <v>7</v>
      </c>
      <c r="C776" s="1" t="s">
        <v>746</v>
      </c>
      <c r="D776" s="1" t="s">
        <v>43</v>
      </c>
      <c r="E776" s="1" t="s">
        <v>44</v>
      </c>
      <c r="F776" s="1">
        <v>248119.60226299701</v>
      </c>
    </row>
    <row r="777" spans="1:6" ht="14.25" customHeight="1" x14ac:dyDescent="0.3">
      <c r="A777" s="1">
        <v>49052</v>
      </c>
      <c r="B777" s="1" t="s">
        <v>7</v>
      </c>
      <c r="C777" s="1" t="s">
        <v>273</v>
      </c>
      <c r="D777" s="1" t="s">
        <v>46</v>
      </c>
      <c r="E777" s="1" t="s">
        <v>47</v>
      </c>
      <c r="F777" s="1">
        <v>171228.96462945899</v>
      </c>
    </row>
    <row r="778" spans="1:6" ht="14.25" customHeight="1" x14ac:dyDescent="0.3">
      <c r="A778" s="1">
        <v>49724</v>
      </c>
      <c r="B778" s="1" t="s">
        <v>7</v>
      </c>
      <c r="C778" s="1" t="s">
        <v>747</v>
      </c>
      <c r="D778" s="1" t="s">
        <v>200</v>
      </c>
      <c r="E778" s="1" t="s">
        <v>201</v>
      </c>
      <c r="F778" s="1">
        <v>159722.27277642899</v>
      </c>
    </row>
    <row r="779" spans="1:6" ht="14.25" customHeight="1" x14ac:dyDescent="0.3">
      <c r="A779" s="1">
        <v>48157</v>
      </c>
      <c r="B779" s="1" t="s">
        <v>7</v>
      </c>
      <c r="C779" s="1" t="s">
        <v>748</v>
      </c>
      <c r="D779" s="1" t="s">
        <v>114</v>
      </c>
      <c r="E779" s="1" t="s">
        <v>115</v>
      </c>
      <c r="F779" s="1">
        <v>151307.39229245199</v>
      </c>
    </row>
    <row r="780" spans="1:6" ht="14.25" customHeight="1" x14ac:dyDescent="0.3">
      <c r="A780" s="1">
        <v>48401</v>
      </c>
      <c r="B780" s="1" t="s">
        <v>7</v>
      </c>
      <c r="C780" s="1" t="s">
        <v>749</v>
      </c>
      <c r="E780" s="1" t="s">
        <v>408</v>
      </c>
      <c r="F780" s="1">
        <v>115779.73260054601</v>
      </c>
    </row>
    <row r="781" spans="1:6" ht="14.25" customHeight="1" x14ac:dyDescent="0.3">
      <c r="A781" s="1">
        <v>48762</v>
      </c>
      <c r="B781" s="1" t="s">
        <v>7</v>
      </c>
      <c r="C781" s="1" t="s">
        <v>750</v>
      </c>
      <c r="E781" s="1" t="s">
        <v>638</v>
      </c>
      <c r="F781" s="1">
        <v>137058.04682066801</v>
      </c>
    </row>
    <row r="782" spans="1:6" ht="14.25" customHeight="1" x14ac:dyDescent="0.3">
      <c r="A782" s="1">
        <v>48766</v>
      </c>
      <c r="B782" s="1" t="s">
        <v>7</v>
      </c>
      <c r="C782" s="1" t="s">
        <v>751</v>
      </c>
      <c r="E782" s="1" t="s">
        <v>451</v>
      </c>
      <c r="F782" s="1">
        <v>98526.464896011894</v>
      </c>
    </row>
    <row r="783" spans="1:6" ht="14.25" customHeight="1" x14ac:dyDescent="0.3">
      <c r="A783" s="1">
        <v>48621</v>
      </c>
      <c r="B783" s="1" t="s">
        <v>7</v>
      </c>
      <c r="C783" s="1" t="s">
        <v>752</v>
      </c>
      <c r="E783" s="1" t="s">
        <v>512</v>
      </c>
      <c r="F783" s="1">
        <v>116242.341609961</v>
      </c>
    </row>
    <row r="784" spans="1:6" ht="14.25" customHeight="1" x14ac:dyDescent="0.3">
      <c r="A784" s="1">
        <v>49831</v>
      </c>
      <c r="B784" s="1" t="s">
        <v>7</v>
      </c>
      <c r="D784" s="1" t="s">
        <v>291</v>
      </c>
      <c r="E784" s="1" t="s">
        <v>292</v>
      </c>
      <c r="F784" s="1">
        <v>126261.200581011</v>
      </c>
    </row>
    <row r="785" spans="1:6" ht="14.25" customHeight="1" x14ac:dyDescent="0.3">
      <c r="A785" s="1">
        <v>49262</v>
      </c>
      <c r="B785" s="1" t="s">
        <v>7</v>
      </c>
      <c r="C785" s="1" t="s">
        <v>237</v>
      </c>
      <c r="D785" s="1" t="s">
        <v>238</v>
      </c>
      <c r="E785" s="1" t="s">
        <v>239</v>
      </c>
      <c r="F785" s="1">
        <v>138765.114906389</v>
      </c>
    </row>
    <row r="786" spans="1:6" ht="14.25" customHeight="1" x14ac:dyDescent="0.3">
      <c r="A786" s="1">
        <v>48845</v>
      </c>
      <c r="B786" s="1" t="s">
        <v>7</v>
      </c>
      <c r="C786" s="1" t="s">
        <v>753</v>
      </c>
      <c r="D786" s="1" t="s">
        <v>32</v>
      </c>
      <c r="E786" s="1" t="s">
        <v>178</v>
      </c>
      <c r="F786" s="1">
        <v>127333.65252970099</v>
      </c>
    </row>
    <row r="787" spans="1:6" ht="14.25" customHeight="1" x14ac:dyDescent="0.3">
      <c r="A787" s="1">
        <v>49322</v>
      </c>
      <c r="B787" s="1" t="s">
        <v>7</v>
      </c>
      <c r="C787" s="1" t="s">
        <v>754</v>
      </c>
      <c r="D787" s="1" t="s">
        <v>32</v>
      </c>
      <c r="E787" s="1" t="s">
        <v>196</v>
      </c>
      <c r="F787" s="1">
        <v>166907.157401137</v>
      </c>
    </row>
    <row r="788" spans="1:6" ht="14.25" customHeight="1" x14ac:dyDescent="0.3">
      <c r="A788" s="1">
        <v>49268</v>
      </c>
      <c r="B788" s="1" t="s">
        <v>7</v>
      </c>
      <c r="C788" s="1" t="s">
        <v>755</v>
      </c>
      <c r="D788" s="1" t="s">
        <v>55</v>
      </c>
      <c r="E788" s="1" t="s">
        <v>56</v>
      </c>
      <c r="F788" s="1">
        <v>164103.898290201</v>
      </c>
    </row>
    <row r="789" spans="1:6" ht="14.25" customHeight="1" x14ac:dyDescent="0.3">
      <c r="A789" s="1">
        <v>49726</v>
      </c>
      <c r="B789" s="1" t="s">
        <v>7</v>
      </c>
      <c r="D789" s="1" t="s">
        <v>200</v>
      </c>
      <c r="E789" s="1" t="s">
        <v>201</v>
      </c>
      <c r="F789" s="1">
        <v>133225.2261989</v>
      </c>
    </row>
    <row r="790" spans="1:6" ht="14.25" customHeight="1" x14ac:dyDescent="0.3">
      <c r="A790" s="1">
        <v>49880</v>
      </c>
      <c r="B790" s="1" t="s">
        <v>7</v>
      </c>
      <c r="C790" s="1" t="s">
        <v>756</v>
      </c>
      <c r="D790" s="1" t="s">
        <v>223</v>
      </c>
      <c r="E790" s="1" t="s">
        <v>224</v>
      </c>
      <c r="F790" s="1">
        <v>116617.467352833</v>
      </c>
    </row>
    <row r="791" spans="1:6" ht="14.25" customHeight="1" x14ac:dyDescent="0.3">
      <c r="A791" s="1">
        <v>48613</v>
      </c>
      <c r="B791" s="1" t="s">
        <v>7</v>
      </c>
      <c r="C791" s="1" t="s">
        <v>757</v>
      </c>
      <c r="D791" s="1" t="s">
        <v>62</v>
      </c>
      <c r="E791" s="1" t="s">
        <v>63</v>
      </c>
      <c r="F791" s="1">
        <v>124263.580658354</v>
      </c>
    </row>
    <row r="792" spans="1:6" ht="14.25" customHeight="1" x14ac:dyDescent="0.3">
      <c r="A792" s="1">
        <v>49638</v>
      </c>
      <c r="B792" s="1" t="s">
        <v>7</v>
      </c>
      <c r="C792" s="1" t="s">
        <v>758</v>
      </c>
      <c r="D792" s="1" t="s">
        <v>152</v>
      </c>
      <c r="E792" s="1" t="s">
        <v>153</v>
      </c>
      <c r="F792" s="1">
        <v>104004.879358484</v>
      </c>
    </row>
    <row r="793" spans="1:6" ht="14.25" customHeight="1" x14ac:dyDescent="0.3">
      <c r="A793" s="1">
        <v>48856</v>
      </c>
      <c r="B793" s="1" t="s">
        <v>7</v>
      </c>
      <c r="C793" s="1" t="s">
        <v>759</v>
      </c>
      <c r="D793" s="1" t="s">
        <v>264</v>
      </c>
      <c r="E793" s="1" t="s">
        <v>265</v>
      </c>
      <c r="F793" s="1">
        <v>98526.710267843693</v>
      </c>
    </row>
    <row r="794" spans="1:6" ht="14.25" customHeight="1" x14ac:dyDescent="0.3">
      <c r="A794" s="1">
        <v>49958</v>
      </c>
      <c r="B794" s="1" t="s">
        <v>7</v>
      </c>
      <c r="C794" s="1" t="s">
        <v>760</v>
      </c>
      <c r="D794" s="1" t="s">
        <v>314</v>
      </c>
      <c r="E794" s="1" t="s">
        <v>315</v>
      </c>
      <c r="F794" s="1">
        <v>109470.66905102901</v>
      </c>
    </row>
    <row r="795" spans="1:6" ht="14.25" customHeight="1" x14ac:dyDescent="0.3">
      <c r="A795" s="1">
        <v>49279</v>
      </c>
      <c r="B795" s="1" t="s">
        <v>7</v>
      </c>
      <c r="D795" s="1" t="s">
        <v>55</v>
      </c>
      <c r="E795" s="1" t="s">
        <v>56</v>
      </c>
      <c r="F795" s="1">
        <v>188465.115140343</v>
      </c>
    </row>
    <row r="796" spans="1:6" ht="14.25" customHeight="1" x14ac:dyDescent="0.3">
      <c r="A796" s="1">
        <v>48761</v>
      </c>
      <c r="B796" s="1" t="s">
        <v>7</v>
      </c>
      <c r="C796" s="1" t="s">
        <v>761</v>
      </c>
      <c r="E796" s="1" t="s">
        <v>304</v>
      </c>
      <c r="F796" s="1">
        <v>76581.030370747205</v>
      </c>
    </row>
    <row r="797" spans="1:6" ht="14.25" customHeight="1" x14ac:dyDescent="0.3">
      <c r="A797" s="1">
        <v>49248</v>
      </c>
      <c r="B797" s="1" t="s">
        <v>7</v>
      </c>
      <c r="C797" s="1" t="s">
        <v>762</v>
      </c>
      <c r="D797" s="1" t="s">
        <v>55</v>
      </c>
      <c r="E797" s="1" t="s">
        <v>56</v>
      </c>
      <c r="F797" s="1">
        <v>151186.33260131101</v>
      </c>
    </row>
    <row r="798" spans="1:6" ht="14.25" customHeight="1" x14ac:dyDescent="0.3">
      <c r="A798" s="1">
        <v>49947</v>
      </c>
      <c r="B798" s="1" t="s">
        <v>7</v>
      </c>
      <c r="C798" s="1" t="s">
        <v>763</v>
      </c>
      <c r="E798" s="1" t="s">
        <v>568</v>
      </c>
      <c r="F798" s="1">
        <v>145133.86040123299</v>
      </c>
    </row>
    <row r="799" spans="1:6" ht="14.25" customHeight="1" x14ac:dyDescent="0.3">
      <c r="A799" s="1">
        <v>49675</v>
      </c>
      <c r="B799" s="1" t="s">
        <v>7</v>
      </c>
      <c r="C799" s="1" t="s">
        <v>764</v>
      </c>
      <c r="E799" s="1" t="s">
        <v>245</v>
      </c>
      <c r="F799" s="1">
        <v>277821.80265021301</v>
      </c>
    </row>
    <row r="800" spans="1:6" ht="14.25" customHeight="1" x14ac:dyDescent="0.3">
      <c r="A800" s="1">
        <v>49130</v>
      </c>
      <c r="B800" s="1" t="s">
        <v>7</v>
      </c>
      <c r="C800" s="1" t="s">
        <v>765</v>
      </c>
      <c r="D800" s="1" t="s">
        <v>242</v>
      </c>
      <c r="E800" s="1" t="s">
        <v>243</v>
      </c>
      <c r="F800" s="1">
        <v>292793.99991502799</v>
      </c>
    </row>
    <row r="801" spans="1:6" ht="14.25" customHeight="1" x14ac:dyDescent="0.3">
      <c r="A801" s="1">
        <v>48468</v>
      </c>
      <c r="B801" s="1" t="s">
        <v>7</v>
      </c>
      <c r="C801" s="1" t="s">
        <v>766</v>
      </c>
      <c r="E801" s="1" t="s">
        <v>388</v>
      </c>
      <c r="F801" s="1">
        <v>99910.959783599305</v>
      </c>
    </row>
    <row r="802" spans="1:6" ht="14.25" customHeight="1" x14ac:dyDescent="0.3">
      <c r="A802" s="1">
        <v>48454</v>
      </c>
      <c r="B802" s="1" t="s">
        <v>7</v>
      </c>
      <c r="C802" s="1" t="s">
        <v>767</v>
      </c>
      <c r="E802" s="1" t="s">
        <v>408</v>
      </c>
      <c r="F802" s="1">
        <v>169143.21956173499</v>
      </c>
    </row>
    <row r="803" spans="1:6" ht="14.25" customHeight="1" x14ac:dyDescent="0.3">
      <c r="A803" s="1">
        <v>49613</v>
      </c>
      <c r="B803" s="1" t="s">
        <v>7</v>
      </c>
      <c r="C803" s="1" t="s">
        <v>768</v>
      </c>
      <c r="E803" s="1" t="s">
        <v>245</v>
      </c>
      <c r="F803" s="1">
        <v>292700.30303184001</v>
      </c>
    </row>
    <row r="804" spans="1:6" ht="14.25" customHeight="1" x14ac:dyDescent="0.3">
      <c r="A804" s="1">
        <v>49757</v>
      </c>
      <c r="B804" s="1" t="s">
        <v>7</v>
      </c>
      <c r="C804" s="1" t="s">
        <v>769</v>
      </c>
      <c r="E804" s="1" t="s">
        <v>552</v>
      </c>
      <c r="F804" s="1">
        <v>328851.38884947402</v>
      </c>
    </row>
    <row r="805" spans="1:6" ht="14.25" customHeight="1" x14ac:dyDescent="0.3">
      <c r="A805" s="1">
        <v>49619</v>
      </c>
      <c r="B805" s="1" t="s">
        <v>7</v>
      </c>
      <c r="C805" s="1" t="s">
        <v>770</v>
      </c>
      <c r="E805" s="1" t="s">
        <v>245</v>
      </c>
      <c r="F805" s="1">
        <v>139257.90999824199</v>
      </c>
    </row>
    <row r="806" spans="1:6" ht="14.25" customHeight="1" x14ac:dyDescent="0.3">
      <c r="A806" s="1">
        <v>48426</v>
      </c>
      <c r="B806" s="1" t="s">
        <v>7</v>
      </c>
      <c r="C806" s="1" t="s">
        <v>771</v>
      </c>
      <c r="E806" s="1" t="s">
        <v>408</v>
      </c>
      <c r="F806" s="1">
        <v>125774.85878087999</v>
      </c>
    </row>
    <row r="807" spans="1:6" ht="14.25" customHeight="1" x14ac:dyDescent="0.3">
      <c r="A807" s="1">
        <v>49410</v>
      </c>
      <c r="B807" s="1" t="s">
        <v>7</v>
      </c>
      <c r="C807" s="1" t="s">
        <v>772</v>
      </c>
      <c r="D807" s="1" t="s">
        <v>205</v>
      </c>
      <c r="E807" s="1" t="s">
        <v>206</v>
      </c>
      <c r="F807" s="1">
        <v>109972.283744352</v>
      </c>
    </row>
    <row r="808" spans="1:6" ht="14.25" customHeight="1" x14ac:dyDescent="0.3">
      <c r="A808" s="1">
        <v>49632</v>
      </c>
      <c r="B808" s="1" t="s">
        <v>7</v>
      </c>
      <c r="C808" s="1" t="s">
        <v>773</v>
      </c>
      <c r="D808" s="1" t="s">
        <v>152</v>
      </c>
      <c r="E808" s="1" t="s">
        <v>372</v>
      </c>
      <c r="F808" s="1">
        <v>132503.57481166901</v>
      </c>
    </row>
    <row r="809" spans="1:6" ht="14.25" customHeight="1" x14ac:dyDescent="0.3">
      <c r="A809" s="1">
        <v>48727</v>
      </c>
      <c r="B809" s="1" t="s">
        <v>7</v>
      </c>
      <c r="C809" s="1" t="s">
        <v>774</v>
      </c>
      <c r="D809" s="1" t="s">
        <v>12</v>
      </c>
      <c r="E809" s="1" t="s">
        <v>97</v>
      </c>
      <c r="F809" s="1">
        <v>155826.54605606399</v>
      </c>
    </row>
    <row r="810" spans="1:6" ht="14.25" customHeight="1" x14ac:dyDescent="0.3">
      <c r="A810" s="1">
        <v>49630</v>
      </c>
      <c r="B810" s="1" t="s">
        <v>7</v>
      </c>
      <c r="C810" s="1" t="s">
        <v>775</v>
      </c>
      <c r="D810" s="1" t="s">
        <v>146</v>
      </c>
      <c r="E810" s="1" t="s">
        <v>515</v>
      </c>
      <c r="F810" s="1">
        <v>504497.00300995703</v>
      </c>
    </row>
    <row r="811" spans="1:6" ht="14.25" customHeight="1" x14ac:dyDescent="0.3">
      <c r="A811" s="1">
        <v>48738</v>
      </c>
      <c r="B811" s="1" t="s">
        <v>7</v>
      </c>
      <c r="C811" s="1" t="s">
        <v>776</v>
      </c>
      <c r="E811" s="1" t="s">
        <v>638</v>
      </c>
      <c r="F811" s="1">
        <v>123379.92156610799</v>
      </c>
    </row>
    <row r="812" spans="1:6" ht="14.25" customHeight="1" x14ac:dyDescent="0.3">
      <c r="A812" s="1">
        <v>48735</v>
      </c>
      <c r="B812" s="1" t="s">
        <v>7</v>
      </c>
      <c r="C812" s="1" t="s">
        <v>777</v>
      </c>
      <c r="E812" s="1" t="s">
        <v>278</v>
      </c>
      <c r="F812" s="1">
        <v>90947.967420633096</v>
      </c>
    </row>
    <row r="813" spans="1:6" ht="14.25" customHeight="1" x14ac:dyDescent="0.3">
      <c r="A813" s="1">
        <v>49760</v>
      </c>
      <c r="B813" s="1" t="s">
        <v>7</v>
      </c>
      <c r="C813" s="1" t="s">
        <v>778</v>
      </c>
      <c r="E813" s="1" t="s">
        <v>552</v>
      </c>
      <c r="F813" s="1">
        <v>141727.25980313399</v>
      </c>
    </row>
    <row r="814" spans="1:6" ht="14.25" customHeight="1" x14ac:dyDescent="0.3">
      <c r="A814" s="1">
        <v>49950</v>
      </c>
      <c r="B814" s="1" t="s">
        <v>7</v>
      </c>
      <c r="C814" s="1" t="s">
        <v>779</v>
      </c>
      <c r="D814" s="1" t="s">
        <v>314</v>
      </c>
      <c r="E814" s="1" t="s">
        <v>780</v>
      </c>
      <c r="F814" s="1">
        <v>170295.697887733</v>
      </c>
    </row>
    <row r="815" spans="1:6" ht="14.25" customHeight="1" x14ac:dyDescent="0.3">
      <c r="A815" s="1">
        <v>49227</v>
      </c>
      <c r="B815" s="1" t="s">
        <v>7</v>
      </c>
      <c r="C815" s="1" t="s">
        <v>781</v>
      </c>
      <c r="D815" s="1" t="s">
        <v>238</v>
      </c>
      <c r="E815" s="1" t="s">
        <v>239</v>
      </c>
      <c r="F815" s="1">
        <v>180859.66540094701</v>
      </c>
    </row>
    <row r="816" spans="1:6" ht="14.25" customHeight="1" x14ac:dyDescent="0.3">
      <c r="A816" s="1">
        <v>49743</v>
      </c>
      <c r="B816" s="1" t="s">
        <v>7</v>
      </c>
      <c r="C816" s="1" t="s">
        <v>782</v>
      </c>
      <c r="E816" s="1" t="s">
        <v>483</v>
      </c>
      <c r="F816" s="1">
        <v>132258.83410301799</v>
      </c>
    </row>
    <row r="817" spans="1:6" ht="14.25" customHeight="1" x14ac:dyDescent="0.3">
      <c r="A817" s="1">
        <v>48754</v>
      </c>
      <c r="B817" s="1" t="s">
        <v>7</v>
      </c>
      <c r="C817" s="1" t="s">
        <v>783</v>
      </c>
      <c r="E817" s="1" t="s">
        <v>388</v>
      </c>
      <c r="F817" s="1">
        <v>104662.460627404</v>
      </c>
    </row>
    <row r="818" spans="1:6" ht="14.25" customHeight="1" x14ac:dyDescent="0.3">
      <c r="A818" s="1">
        <v>49276</v>
      </c>
      <c r="B818" s="1" t="s">
        <v>7</v>
      </c>
      <c r="C818" s="1" t="s">
        <v>784</v>
      </c>
      <c r="D818" s="1" t="s">
        <v>55</v>
      </c>
      <c r="E818" s="1" t="s">
        <v>56</v>
      </c>
      <c r="F818" s="1">
        <v>213990.53390182799</v>
      </c>
    </row>
    <row r="819" spans="1:6" ht="14.25" customHeight="1" x14ac:dyDescent="0.3">
      <c r="A819" s="1">
        <v>49873</v>
      </c>
      <c r="B819" s="1" t="s">
        <v>7</v>
      </c>
      <c r="C819" s="1" t="s">
        <v>574</v>
      </c>
      <c r="D819" s="1" t="s">
        <v>281</v>
      </c>
      <c r="E819" s="1" t="s">
        <v>282</v>
      </c>
      <c r="F819" s="1">
        <v>114105.39229683</v>
      </c>
    </row>
    <row r="820" spans="1:6" ht="14.25" customHeight="1" x14ac:dyDescent="0.3">
      <c r="A820" s="1">
        <v>49805</v>
      </c>
      <c r="B820" s="1" t="s">
        <v>7</v>
      </c>
      <c r="C820" s="1" t="s">
        <v>785</v>
      </c>
      <c r="D820" s="1" t="s">
        <v>314</v>
      </c>
      <c r="E820" s="1" t="s">
        <v>780</v>
      </c>
      <c r="F820" s="1">
        <v>133967.07718365101</v>
      </c>
    </row>
    <row r="821" spans="1:6" ht="14.25" customHeight="1" x14ac:dyDescent="0.3">
      <c r="A821" s="1">
        <v>49879</v>
      </c>
      <c r="B821" s="1" t="s">
        <v>7</v>
      </c>
      <c r="C821" s="1" t="s">
        <v>786</v>
      </c>
      <c r="D821" s="1" t="s">
        <v>86</v>
      </c>
      <c r="E821" s="1" t="s">
        <v>87</v>
      </c>
      <c r="F821" s="1">
        <v>119411.923994672</v>
      </c>
    </row>
    <row r="822" spans="1:6" ht="14.25" customHeight="1" x14ac:dyDescent="0.3">
      <c r="A822" s="1">
        <v>49847</v>
      </c>
      <c r="B822" s="1" t="s">
        <v>7</v>
      </c>
      <c r="C822" s="1" t="s">
        <v>787</v>
      </c>
      <c r="D822" s="1" t="s">
        <v>281</v>
      </c>
      <c r="E822" s="1" t="s">
        <v>282</v>
      </c>
      <c r="F822" s="1">
        <v>114065.358854379</v>
      </c>
    </row>
    <row r="823" spans="1:6" ht="14.25" customHeight="1" x14ac:dyDescent="0.3">
      <c r="A823" s="1">
        <v>49303</v>
      </c>
      <c r="B823" s="1" t="s">
        <v>7</v>
      </c>
      <c r="C823" s="1" t="s">
        <v>788</v>
      </c>
      <c r="D823" s="1" t="s">
        <v>43</v>
      </c>
      <c r="E823" s="1" t="s">
        <v>44</v>
      </c>
      <c r="F823" s="1">
        <v>218165.826198414</v>
      </c>
    </row>
    <row r="824" spans="1:6" ht="14.25" customHeight="1" x14ac:dyDescent="0.3">
      <c r="A824" s="1">
        <v>48636</v>
      </c>
      <c r="B824" s="1" t="s">
        <v>7</v>
      </c>
      <c r="C824" s="1" t="s">
        <v>789</v>
      </c>
      <c r="E824" s="1" t="s">
        <v>512</v>
      </c>
      <c r="F824" s="1">
        <v>65773.912833079594</v>
      </c>
    </row>
    <row r="825" spans="1:6" ht="14.25" customHeight="1" x14ac:dyDescent="0.3">
      <c r="A825" s="1">
        <v>49618</v>
      </c>
      <c r="B825" s="1" t="s">
        <v>7</v>
      </c>
      <c r="C825" s="1" t="s">
        <v>790</v>
      </c>
      <c r="D825" s="1" t="s">
        <v>152</v>
      </c>
      <c r="E825" s="1" t="s">
        <v>153</v>
      </c>
      <c r="F825" s="1">
        <v>141246.95159725199</v>
      </c>
    </row>
    <row r="826" spans="1:6" ht="14.25" customHeight="1" x14ac:dyDescent="0.3">
      <c r="A826" s="1">
        <v>49838</v>
      </c>
      <c r="B826" s="1" t="s">
        <v>7</v>
      </c>
      <c r="C826" s="1" t="s">
        <v>791</v>
      </c>
      <c r="E826" s="1" t="s">
        <v>552</v>
      </c>
      <c r="F826" s="1">
        <v>127027.17025310099</v>
      </c>
    </row>
    <row r="827" spans="1:6" ht="14.25" customHeight="1" x14ac:dyDescent="0.3">
      <c r="A827" s="1">
        <v>48456</v>
      </c>
      <c r="B827" s="1" t="s">
        <v>7</v>
      </c>
      <c r="C827" s="1" t="s">
        <v>792</v>
      </c>
      <c r="E827" s="1" t="s">
        <v>408</v>
      </c>
      <c r="F827" s="1">
        <v>104673.012836729</v>
      </c>
    </row>
    <row r="828" spans="1:6" ht="14.25" customHeight="1" x14ac:dyDescent="0.3">
      <c r="A828" s="1">
        <v>49840</v>
      </c>
      <c r="B828" s="1" t="s">
        <v>7</v>
      </c>
      <c r="C828" s="1" t="s">
        <v>793</v>
      </c>
      <c r="E828" s="1" t="s">
        <v>437</v>
      </c>
      <c r="F828" s="1">
        <v>128231.042272419</v>
      </c>
    </row>
    <row r="829" spans="1:6" ht="14.25" customHeight="1" x14ac:dyDescent="0.3">
      <c r="A829" s="1">
        <v>49719</v>
      </c>
      <c r="B829" s="1" t="s">
        <v>7</v>
      </c>
      <c r="E829" s="1" t="s">
        <v>552</v>
      </c>
      <c r="F829" s="1">
        <v>184594.45638905701</v>
      </c>
    </row>
    <row r="830" spans="1:6" ht="14.25" customHeight="1" x14ac:dyDescent="0.3">
      <c r="A830" s="1">
        <v>48841</v>
      </c>
      <c r="B830" s="1" t="s">
        <v>7</v>
      </c>
      <c r="C830" s="1" t="s">
        <v>794</v>
      </c>
      <c r="D830" s="1" t="s">
        <v>19</v>
      </c>
      <c r="E830" s="1" t="s">
        <v>111</v>
      </c>
      <c r="F830" s="1">
        <v>124393.464511932</v>
      </c>
    </row>
    <row r="831" spans="1:6" ht="14.25" customHeight="1" x14ac:dyDescent="0.3">
      <c r="A831" s="1">
        <v>48720</v>
      </c>
      <c r="B831" s="1" t="s">
        <v>7</v>
      </c>
      <c r="C831" s="1" t="s">
        <v>582</v>
      </c>
      <c r="E831" s="1" t="s">
        <v>388</v>
      </c>
      <c r="F831" s="1">
        <v>88001.536944158797</v>
      </c>
    </row>
    <row r="832" spans="1:6" ht="14.25" customHeight="1" x14ac:dyDescent="0.3">
      <c r="A832" s="1">
        <v>48465</v>
      </c>
      <c r="B832" s="1" t="s">
        <v>7</v>
      </c>
      <c r="C832" s="1" t="s">
        <v>795</v>
      </c>
      <c r="E832" s="1" t="s">
        <v>408</v>
      </c>
      <c r="F832" s="1">
        <v>175352.36194806499</v>
      </c>
    </row>
    <row r="833" spans="1:6" ht="14.25" customHeight="1" x14ac:dyDescent="0.3">
      <c r="A833" s="1">
        <v>48807</v>
      </c>
      <c r="B833" s="1" t="s">
        <v>7</v>
      </c>
      <c r="C833" s="1" t="s">
        <v>796</v>
      </c>
      <c r="D833" s="1" t="s">
        <v>78</v>
      </c>
      <c r="E833" s="1" t="s">
        <v>79</v>
      </c>
      <c r="F833" s="1">
        <v>108352.11194488801</v>
      </c>
    </row>
    <row r="834" spans="1:6" ht="14.25" customHeight="1" x14ac:dyDescent="0.3">
      <c r="A834" s="1">
        <v>49836</v>
      </c>
      <c r="B834" s="1" t="s">
        <v>7</v>
      </c>
      <c r="C834" s="1" t="s">
        <v>797</v>
      </c>
      <c r="E834" s="1" t="s">
        <v>437</v>
      </c>
      <c r="F834" s="1">
        <v>134427.739822173</v>
      </c>
    </row>
    <row r="835" spans="1:6" ht="14.25" customHeight="1" x14ac:dyDescent="0.3">
      <c r="A835" s="1">
        <v>49736</v>
      </c>
      <c r="B835" s="1" t="s">
        <v>7</v>
      </c>
      <c r="C835" s="1" t="s">
        <v>798</v>
      </c>
      <c r="D835" s="1" t="s">
        <v>200</v>
      </c>
      <c r="E835" s="1" t="s">
        <v>201</v>
      </c>
      <c r="F835" s="1">
        <v>117397.34310681</v>
      </c>
    </row>
    <row r="836" spans="1:6" ht="14.25" customHeight="1" x14ac:dyDescent="0.3">
      <c r="A836" s="1">
        <v>48470</v>
      </c>
      <c r="B836" s="1" t="s">
        <v>7</v>
      </c>
      <c r="C836" s="1" t="s">
        <v>799</v>
      </c>
      <c r="E836" s="1" t="s">
        <v>388</v>
      </c>
      <c r="F836" s="1">
        <v>128610.353759499</v>
      </c>
    </row>
    <row r="837" spans="1:6" ht="14.25" customHeight="1" x14ac:dyDescent="0.3">
      <c r="A837" s="1">
        <v>48724</v>
      </c>
      <c r="B837" s="1" t="s">
        <v>7</v>
      </c>
      <c r="C837" s="1" t="s">
        <v>77</v>
      </c>
      <c r="D837" s="1" t="s">
        <v>78</v>
      </c>
      <c r="E837" s="1" t="s">
        <v>79</v>
      </c>
      <c r="F837" s="1">
        <v>63206.854863378903</v>
      </c>
    </row>
    <row r="838" spans="1:6" ht="14.25" customHeight="1" x14ac:dyDescent="0.3">
      <c r="A838" s="1">
        <v>49718</v>
      </c>
      <c r="B838" s="1" t="s">
        <v>7</v>
      </c>
      <c r="C838" s="1" t="s">
        <v>800</v>
      </c>
      <c r="E838" s="1" t="s">
        <v>213</v>
      </c>
      <c r="F838" s="1">
        <v>152349.248977323</v>
      </c>
    </row>
    <row r="839" spans="1:6" ht="14.25" customHeight="1" x14ac:dyDescent="0.3">
      <c r="A839" s="1">
        <v>48028</v>
      </c>
      <c r="B839" s="1" t="s">
        <v>7</v>
      </c>
      <c r="D839" s="1" t="s">
        <v>12</v>
      </c>
      <c r="E839" s="1" t="s">
        <v>60</v>
      </c>
      <c r="F839" s="1">
        <v>289365.97312864498</v>
      </c>
    </row>
    <row r="840" spans="1:6" ht="14.25" customHeight="1" x14ac:dyDescent="0.3">
      <c r="A840" s="1">
        <v>48619</v>
      </c>
      <c r="B840" s="1" t="s">
        <v>7</v>
      </c>
      <c r="C840" s="1" t="s">
        <v>801</v>
      </c>
      <c r="E840" s="1" t="s">
        <v>512</v>
      </c>
      <c r="F840" s="1">
        <v>100122.446550826</v>
      </c>
    </row>
    <row r="841" spans="1:6" ht="14.25" customHeight="1" x14ac:dyDescent="0.3">
      <c r="A841" s="1">
        <v>49066</v>
      </c>
      <c r="B841" s="1" t="s">
        <v>7</v>
      </c>
      <c r="C841" s="1" t="s">
        <v>802</v>
      </c>
      <c r="D841" s="1" t="s">
        <v>187</v>
      </c>
      <c r="E841" s="1" t="s">
        <v>188</v>
      </c>
      <c r="F841" s="1">
        <v>147204.02783059</v>
      </c>
    </row>
    <row r="842" spans="1:6" ht="14.25" customHeight="1" x14ac:dyDescent="0.3">
      <c r="A842" s="1">
        <v>49701</v>
      </c>
      <c r="B842" s="1" t="s">
        <v>7</v>
      </c>
      <c r="C842" s="1" t="s">
        <v>803</v>
      </c>
      <c r="E842" s="1" t="s">
        <v>213</v>
      </c>
      <c r="F842" s="1">
        <v>225569.156364858</v>
      </c>
    </row>
    <row r="843" spans="1:6" ht="14.25" customHeight="1" x14ac:dyDescent="0.3">
      <c r="A843" s="1">
        <v>49861</v>
      </c>
      <c r="B843" s="1" t="s">
        <v>7</v>
      </c>
      <c r="C843" s="1" t="s">
        <v>710</v>
      </c>
      <c r="D843" s="1" t="s">
        <v>86</v>
      </c>
      <c r="E843" s="1" t="s">
        <v>87</v>
      </c>
      <c r="F843" s="1">
        <v>158822.690326593</v>
      </c>
    </row>
    <row r="844" spans="1:6" ht="14.25" customHeight="1" x14ac:dyDescent="0.3">
      <c r="A844" s="1">
        <v>49762</v>
      </c>
      <c r="B844" s="1" t="s">
        <v>7</v>
      </c>
      <c r="C844" s="1" t="s">
        <v>804</v>
      </c>
      <c r="E844" s="1" t="s">
        <v>552</v>
      </c>
      <c r="F844" s="1">
        <v>113926.137027815</v>
      </c>
    </row>
    <row r="845" spans="1:6" ht="14.25" customHeight="1" x14ac:dyDescent="0.3">
      <c r="A845" s="1">
        <v>48469</v>
      </c>
      <c r="B845" s="1" t="s">
        <v>7</v>
      </c>
      <c r="C845" s="1" t="s">
        <v>805</v>
      </c>
      <c r="E845" s="1" t="s">
        <v>408</v>
      </c>
      <c r="F845" s="1">
        <v>204834.86761311401</v>
      </c>
    </row>
    <row r="846" spans="1:6" ht="14.25" customHeight="1" x14ac:dyDescent="0.3">
      <c r="A846" s="1">
        <v>49967</v>
      </c>
      <c r="B846" s="1" t="s">
        <v>7</v>
      </c>
      <c r="C846" s="1" t="s">
        <v>806</v>
      </c>
      <c r="D846" s="1" t="s">
        <v>314</v>
      </c>
      <c r="E846" s="1" t="s">
        <v>315</v>
      </c>
      <c r="F846" s="1">
        <v>95739.493593113904</v>
      </c>
    </row>
    <row r="847" spans="1:6" ht="14.25" customHeight="1" x14ac:dyDescent="0.3">
      <c r="A847" s="1">
        <v>49115</v>
      </c>
      <c r="B847" s="1" t="s">
        <v>7</v>
      </c>
      <c r="C847" s="1" t="s">
        <v>807</v>
      </c>
      <c r="D847" s="1" t="s">
        <v>69</v>
      </c>
      <c r="E847" s="1" t="s">
        <v>70</v>
      </c>
      <c r="F847" s="1">
        <v>581062.34090909001</v>
      </c>
    </row>
    <row r="848" spans="1:6" ht="14.25" customHeight="1" x14ac:dyDescent="0.3">
      <c r="A848" s="1">
        <v>49934</v>
      </c>
      <c r="B848" s="1" t="s">
        <v>7</v>
      </c>
      <c r="C848" s="1" t="s">
        <v>808</v>
      </c>
      <c r="D848" s="1" t="s">
        <v>314</v>
      </c>
      <c r="E848" s="1" t="s">
        <v>315</v>
      </c>
      <c r="F848" s="1">
        <v>64738.105927308403</v>
      </c>
    </row>
    <row r="849" spans="1:6" ht="14.25" customHeight="1" x14ac:dyDescent="0.3">
      <c r="A849" s="1">
        <v>48728</v>
      </c>
      <c r="B849" s="1" t="s">
        <v>7</v>
      </c>
      <c r="C849" s="1" t="s">
        <v>809</v>
      </c>
      <c r="E849" s="1" t="s">
        <v>638</v>
      </c>
      <c r="F849" s="1">
        <v>113581.79682375499</v>
      </c>
    </row>
    <row r="850" spans="1:6" ht="14.25" customHeight="1" x14ac:dyDescent="0.3">
      <c r="A850" s="1">
        <v>49406</v>
      </c>
      <c r="B850" s="1" t="s">
        <v>7</v>
      </c>
      <c r="C850" s="1" t="s">
        <v>810</v>
      </c>
      <c r="D850" s="1" t="s">
        <v>184</v>
      </c>
      <c r="E850" s="1" t="s">
        <v>185</v>
      </c>
      <c r="F850" s="1">
        <v>554018.93274901703</v>
      </c>
    </row>
    <row r="851" spans="1:6" ht="14.25" customHeight="1" x14ac:dyDescent="0.3">
      <c r="A851" s="1">
        <v>49725</v>
      </c>
      <c r="B851" s="1" t="s">
        <v>7</v>
      </c>
      <c r="D851" s="1" t="s">
        <v>200</v>
      </c>
      <c r="E851" s="1" t="s">
        <v>201</v>
      </c>
      <c r="F851" s="1">
        <v>149515.41787247901</v>
      </c>
    </row>
    <row r="852" spans="1:6" ht="14.25" customHeight="1" x14ac:dyDescent="0.3">
      <c r="A852" s="1">
        <v>49745</v>
      </c>
      <c r="B852" s="1" t="s">
        <v>7</v>
      </c>
      <c r="C852" s="1" t="s">
        <v>811</v>
      </c>
      <c r="E852" s="1" t="s">
        <v>552</v>
      </c>
      <c r="F852" s="1">
        <v>142546.32462944</v>
      </c>
    </row>
    <row r="853" spans="1:6" ht="14.25" customHeight="1" x14ac:dyDescent="0.3">
      <c r="A853" s="1">
        <v>48705</v>
      </c>
      <c r="B853" s="1" t="s">
        <v>7</v>
      </c>
      <c r="C853" s="1" t="s">
        <v>812</v>
      </c>
      <c r="E853" s="1" t="s">
        <v>638</v>
      </c>
      <c r="F853" s="1">
        <v>91349.220221003794</v>
      </c>
    </row>
    <row r="854" spans="1:6" ht="14.25" customHeight="1" x14ac:dyDescent="0.3">
      <c r="A854" s="1">
        <v>49874</v>
      </c>
      <c r="B854" s="1" t="s">
        <v>7</v>
      </c>
      <c r="C854" s="1" t="s">
        <v>813</v>
      </c>
      <c r="D854" s="1" t="s">
        <v>281</v>
      </c>
      <c r="E854" s="1" t="s">
        <v>282</v>
      </c>
      <c r="F854" s="1">
        <v>132866.36671460801</v>
      </c>
    </row>
    <row r="855" spans="1:6" ht="14.25" customHeight="1" x14ac:dyDescent="0.3">
      <c r="A855" s="1">
        <v>49853</v>
      </c>
      <c r="B855" s="1" t="s">
        <v>7</v>
      </c>
      <c r="C855" s="1" t="s">
        <v>814</v>
      </c>
      <c r="E855" s="1" t="s">
        <v>433</v>
      </c>
      <c r="F855" s="1">
        <v>94645.406464698201</v>
      </c>
    </row>
    <row r="856" spans="1:6" ht="14.25" customHeight="1" x14ac:dyDescent="0.3">
      <c r="A856" s="1">
        <v>48721</v>
      </c>
      <c r="B856" s="1" t="s">
        <v>7</v>
      </c>
      <c r="C856" s="1" t="s">
        <v>815</v>
      </c>
      <c r="E856" s="1" t="s">
        <v>638</v>
      </c>
      <c r="F856" s="1">
        <v>125676.453151261</v>
      </c>
    </row>
    <row r="857" spans="1:6" ht="14.25" customHeight="1" x14ac:dyDescent="0.3">
      <c r="A857" s="1">
        <v>49710</v>
      </c>
      <c r="B857" s="1" t="s">
        <v>7</v>
      </c>
      <c r="C857" s="1" t="s">
        <v>816</v>
      </c>
      <c r="D857" s="1" t="s">
        <v>200</v>
      </c>
      <c r="E857" s="1" t="s">
        <v>201</v>
      </c>
      <c r="F857" s="1">
        <v>138670.04951092901</v>
      </c>
    </row>
    <row r="858" spans="1:6" ht="14.25" customHeight="1" x14ac:dyDescent="0.3">
      <c r="A858" s="1">
        <v>49827</v>
      </c>
      <c r="B858" s="1" t="s">
        <v>7</v>
      </c>
      <c r="C858" s="1" t="s">
        <v>817</v>
      </c>
      <c r="E858" s="1" t="s">
        <v>552</v>
      </c>
      <c r="F858" s="1">
        <v>106671.320614301</v>
      </c>
    </row>
    <row r="859" spans="1:6" ht="14.25" customHeight="1" x14ac:dyDescent="0.3">
      <c r="A859" s="1">
        <v>49806</v>
      </c>
      <c r="B859" s="1" t="s">
        <v>7</v>
      </c>
      <c r="C859" s="1" t="s">
        <v>818</v>
      </c>
      <c r="E859" s="1" t="s">
        <v>543</v>
      </c>
      <c r="F859" s="1">
        <v>202797.53503874701</v>
      </c>
    </row>
    <row r="860" spans="1:6" ht="14.25" customHeight="1" x14ac:dyDescent="0.3">
      <c r="A860" s="1">
        <v>49817</v>
      </c>
      <c r="B860" s="1" t="s">
        <v>7</v>
      </c>
      <c r="C860" s="1" t="s">
        <v>572</v>
      </c>
      <c r="E860" s="1" t="s">
        <v>437</v>
      </c>
      <c r="F860" s="1">
        <v>129440.39465643</v>
      </c>
    </row>
    <row r="861" spans="1:6" ht="14.25" customHeight="1" x14ac:dyDescent="0.3">
      <c r="A861" s="1">
        <v>49915</v>
      </c>
      <c r="B861" s="1" t="s">
        <v>7</v>
      </c>
      <c r="E861" s="1" t="s">
        <v>419</v>
      </c>
      <c r="F861" s="1">
        <v>46714.579369159503</v>
      </c>
    </row>
    <row r="862" spans="1:6" ht="14.25" customHeight="1" x14ac:dyDescent="0.3">
      <c r="A862" s="1">
        <v>48432</v>
      </c>
      <c r="B862" s="1" t="s">
        <v>7</v>
      </c>
      <c r="C862" s="1" t="s">
        <v>819</v>
      </c>
      <c r="E862" s="1" t="s">
        <v>388</v>
      </c>
      <c r="F862" s="1">
        <v>118952.954849798</v>
      </c>
    </row>
    <row r="863" spans="1:6" ht="14.25" customHeight="1" x14ac:dyDescent="0.3">
      <c r="A863" s="1">
        <v>49971</v>
      </c>
      <c r="B863" s="1" t="s">
        <v>7</v>
      </c>
      <c r="C863" s="1" t="s">
        <v>567</v>
      </c>
      <c r="E863" s="1" t="s">
        <v>568</v>
      </c>
      <c r="F863" s="1">
        <v>44760.813480009099</v>
      </c>
    </row>
    <row r="864" spans="1:6" ht="14.25" customHeight="1" x14ac:dyDescent="0.3">
      <c r="A864" s="1">
        <v>48190</v>
      </c>
      <c r="B864" s="1" t="s">
        <v>7</v>
      </c>
      <c r="C864" s="1" t="s">
        <v>531</v>
      </c>
      <c r="D864" s="1" t="s">
        <v>9</v>
      </c>
      <c r="E864" s="1" t="s">
        <v>10</v>
      </c>
      <c r="F864" s="1">
        <v>215386.723000939</v>
      </c>
    </row>
    <row r="865" spans="1:6" ht="14.25" customHeight="1" x14ac:dyDescent="0.3">
      <c r="A865" s="1">
        <v>49820</v>
      </c>
      <c r="B865" s="1" t="s">
        <v>7</v>
      </c>
      <c r="C865" s="1" t="s">
        <v>820</v>
      </c>
      <c r="E865" s="1" t="s">
        <v>552</v>
      </c>
      <c r="F865" s="1">
        <v>125883.406568194</v>
      </c>
    </row>
    <row r="866" spans="1:6" ht="14.25" customHeight="1" x14ac:dyDescent="0.3">
      <c r="A866" s="1">
        <v>48437</v>
      </c>
      <c r="B866" s="1" t="s">
        <v>7</v>
      </c>
      <c r="C866" s="1" t="s">
        <v>821</v>
      </c>
      <c r="D866" s="1" t="s">
        <v>35</v>
      </c>
      <c r="E866" s="1" t="s">
        <v>36</v>
      </c>
      <c r="F866" s="1">
        <v>127655.451833759</v>
      </c>
    </row>
    <row r="867" spans="1:6" ht="14.25" customHeight="1" x14ac:dyDescent="0.3">
      <c r="A867" s="1">
        <v>49793</v>
      </c>
      <c r="B867" s="1" t="s">
        <v>7</v>
      </c>
      <c r="C867" s="1" t="s">
        <v>822</v>
      </c>
      <c r="D867" s="1" t="s">
        <v>200</v>
      </c>
      <c r="E867" s="1" t="s">
        <v>201</v>
      </c>
      <c r="F867" s="1">
        <v>122003.73261111201</v>
      </c>
    </row>
    <row r="868" spans="1:6" ht="14.25" customHeight="1" x14ac:dyDescent="0.3">
      <c r="A868" s="1">
        <v>49768</v>
      </c>
      <c r="B868" s="1" t="s">
        <v>7</v>
      </c>
      <c r="C868" s="1" t="s">
        <v>823</v>
      </c>
      <c r="D868" s="1" t="s">
        <v>200</v>
      </c>
      <c r="E868" s="1" t="s">
        <v>201</v>
      </c>
      <c r="F868" s="1">
        <v>142381.636845406</v>
      </c>
    </row>
    <row r="869" spans="1:6" ht="14.25" customHeight="1" x14ac:dyDescent="0.3">
      <c r="A869" s="1">
        <v>49927</v>
      </c>
      <c r="B869" s="1" t="s">
        <v>7</v>
      </c>
      <c r="C869" s="1" t="s">
        <v>824</v>
      </c>
      <c r="E869" s="1" t="s">
        <v>419</v>
      </c>
      <c r="F869" s="1">
        <v>55778.160119690903</v>
      </c>
    </row>
    <row r="870" spans="1:6" ht="14.25" customHeight="1" x14ac:dyDescent="0.3">
      <c r="A870" s="1">
        <v>49654</v>
      </c>
      <c r="B870" s="1" t="s">
        <v>7</v>
      </c>
      <c r="C870" s="1" t="s">
        <v>730</v>
      </c>
      <c r="D870" s="1" t="s">
        <v>146</v>
      </c>
      <c r="E870" s="1" t="s">
        <v>515</v>
      </c>
      <c r="F870" s="1">
        <v>1003464.76821542</v>
      </c>
    </row>
    <row r="871" spans="1:6" ht="14.25" customHeight="1" x14ac:dyDescent="0.3">
      <c r="A871" s="1">
        <v>49129</v>
      </c>
      <c r="B871" s="1" t="s">
        <v>7</v>
      </c>
      <c r="C871" s="1" t="s">
        <v>825</v>
      </c>
      <c r="D871" s="1" t="s">
        <v>69</v>
      </c>
      <c r="E871" s="1" t="s">
        <v>70</v>
      </c>
      <c r="F871" s="1">
        <v>613444.57609340595</v>
      </c>
    </row>
    <row r="872" spans="1:6" ht="14.25" customHeight="1" x14ac:dyDescent="0.3">
      <c r="A872" s="1">
        <v>49903</v>
      </c>
      <c r="B872" s="1" t="s">
        <v>7</v>
      </c>
      <c r="C872" s="1" t="s">
        <v>495</v>
      </c>
      <c r="E872" s="1" t="s">
        <v>419</v>
      </c>
      <c r="F872" s="1">
        <v>71306.395568007094</v>
      </c>
    </row>
    <row r="873" spans="1:6" ht="14.25" customHeight="1" x14ac:dyDescent="0.3">
      <c r="A873" s="1">
        <v>49835</v>
      </c>
      <c r="B873" s="1" t="s">
        <v>7</v>
      </c>
      <c r="C873" s="1" t="s">
        <v>826</v>
      </c>
      <c r="D873" s="1" t="s">
        <v>223</v>
      </c>
      <c r="E873" s="1" t="s">
        <v>224</v>
      </c>
      <c r="F873" s="1">
        <v>129535.625042074</v>
      </c>
    </row>
    <row r="874" spans="1:6" ht="14.25" customHeight="1" x14ac:dyDescent="0.3">
      <c r="A874" s="1">
        <v>49116</v>
      </c>
      <c r="B874" s="1" t="s">
        <v>7</v>
      </c>
      <c r="C874" s="1" t="s">
        <v>827</v>
      </c>
      <c r="D874" s="1" t="s">
        <v>69</v>
      </c>
      <c r="E874" s="1" t="s">
        <v>70</v>
      </c>
      <c r="F874" s="1">
        <v>784916.60686037398</v>
      </c>
    </row>
    <row r="875" spans="1:6" ht="14.25" customHeight="1" x14ac:dyDescent="0.3">
      <c r="A875" s="1">
        <v>49839</v>
      </c>
      <c r="B875" s="1" t="s">
        <v>7</v>
      </c>
      <c r="E875" s="1" t="s">
        <v>543</v>
      </c>
      <c r="F875" s="1">
        <v>164982.00730906101</v>
      </c>
    </row>
    <row r="876" spans="1:6" ht="14.25" customHeight="1" x14ac:dyDescent="0.3">
      <c r="A876" s="1">
        <v>49312</v>
      </c>
      <c r="B876" s="1" t="s">
        <v>7</v>
      </c>
      <c r="C876" s="1" t="s">
        <v>828</v>
      </c>
      <c r="E876" s="1" t="s">
        <v>268</v>
      </c>
      <c r="F876" s="1">
        <v>97927.296686859598</v>
      </c>
    </row>
    <row r="877" spans="1:6" ht="14.25" customHeight="1" x14ac:dyDescent="0.3">
      <c r="A877" s="1">
        <v>49636</v>
      </c>
      <c r="B877" s="1" t="s">
        <v>7</v>
      </c>
      <c r="C877" s="1" t="s">
        <v>775</v>
      </c>
      <c r="D877" s="1" t="s">
        <v>146</v>
      </c>
      <c r="E877" s="1" t="s">
        <v>515</v>
      </c>
      <c r="F877" s="1">
        <v>852345.10313722095</v>
      </c>
    </row>
    <row r="878" spans="1:6" ht="14.25" customHeight="1" x14ac:dyDescent="0.3">
      <c r="A878" s="1">
        <v>49434</v>
      </c>
      <c r="B878" s="1" t="s">
        <v>7</v>
      </c>
      <c r="C878" s="1" t="s">
        <v>31</v>
      </c>
      <c r="D878" s="1" t="s">
        <v>32</v>
      </c>
      <c r="E878" s="1" t="s">
        <v>33</v>
      </c>
      <c r="F878" s="1">
        <v>1023642.59012551</v>
      </c>
    </row>
    <row r="879" spans="1:6" ht="14.25" customHeight="1" x14ac:dyDescent="0.3">
      <c r="A879" s="1">
        <v>49775</v>
      </c>
      <c r="B879" s="1" t="s">
        <v>7</v>
      </c>
      <c r="C879" s="1" t="s">
        <v>829</v>
      </c>
      <c r="E879" s="1" t="s">
        <v>552</v>
      </c>
      <c r="F879" s="1">
        <v>47016.434541919203</v>
      </c>
    </row>
    <row r="880" spans="1:6" ht="14.25" customHeight="1" x14ac:dyDescent="0.3">
      <c r="A880" s="1">
        <v>48440</v>
      </c>
      <c r="B880" s="1" t="s">
        <v>7</v>
      </c>
      <c r="C880" s="1" t="s">
        <v>354</v>
      </c>
      <c r="D880" s="1" t="s">
        <v>12</v>
      </c>
      <c r="E880" s="1" t="s">
        <v>97</v>
      </c>
      <c r="F880" s="1">
        <v>190573.04429650601</v>
      </c>
    </row>
    <row r="881" spans="1:6" ht="14.25" customHeight="1" x14ac:dyDescent="0.3">
      <c r="A881" s="1">
        <v>49782</v>
      </c>
      <c r="B881" s="1" t="s">
        <v>7</v>
      </c>
      <c r="C881" s="1" t="s">
        <v>830</v>
      </c>
      <c r="E881" s="1" t="s">
        <v>332</v>
      </c>
      <c r="F881" s="1">
        <v>231670.29794645801</v>
      </c>
    </row>
    <row r="882" spans="1:6" ht="14.25" customHeight="1" x14ac:dyDescent="0.3">
      <c r="A882" s="1">
        <v>48476</v>
      </c>
      <c r="B882" s="1" t="s">
        <v>7</v>
      </c>
      <c r="C882" s="1" t="s">
        <v>831</v>
      </c>
      <c r="D882" s="1" t="s">
        <v>19</v>
      </c>
      <c r="E882" s="1" t="s">
        <v>111</v>
      </c>
      <c r="F882" s="1">
        <v>126360.620259441</v>
      </c>
    </row>
    <row r="883" spans="1:6" ht="14.25" customHeight="1" x14ac:dyDescent="0.3">
      <c r="A883" s="1">
        <v>49963</v>
      </c>
      <c r="B883" s="1" t="s">
        <v>7</v>
      </c>
      <c r="C883" s="1" t="s">
        <v>832</v>
      </c>
      <c r="D883" s="1" t="s">
        <v>314</v>
      </c>
      <c r="E883" s="1" t="s">
        <v>315</v>
      </c>
      <c r="F883" s="1">
        <v>83999.262678836094</v>
      </c>
    </row>
    <row r="884" spans="1:6" ht="14.25" customHeight="1" x14ac:dyDescent="0.3">
      <c r="A884" s="1">
        <v>49833</v>
      </c>
      <c r="B884" s="1" t="s">
        <v>7</v>
      </c>
      <c r="C884" s="1" t="s">
        <v>672</v>
      </c>
      <c r="D884" s="1" t="s">
        <v>86</v>
      </c>
      <c r="E884" s="1" t="s">
        <v>87</v>
      </c>
      <c r="F884" s="1">
        <v>133815.07692307601</v>
      </c>
    </row>
    <row r="885" spans="1:6" ht="14.25" customHeight="1" x14ac:dyDescent="0.3">
      <c r="A885" s="1">
        <v>49918</v>
      </c>
      <c r="B885" s="1" t="s">
        <v>7</v>
      </c>
      <c r="C885" s="1" t="s">
        <v>833</v>
      </c>
      <c r="D885" s="1" t="s">
        <v>314</v>
      </c>
      <c r="E885" s="1" t="s">
        <v>780</v>
      </c>
      <c r="F885" s="1">
        <v>186568.294940964</v>
      </c>
    </row>
    <row r="886" spans="1:6" ht="14.25" customHeight="1" x14ac:dyDescent="0.3">
      <c r="A886" s="1">
        <v>49922</v>
      </c>
      <c r="B886" s="1" t="s">
        <v>7</v>
      </c>
      <c r="C886" s="1" t="s">
        <v>834</v>
      </c>
      <c r="D886" s="1" t="s">
        <v>314</v>
      </c>
      <c r="E886" s="1" t="s">
        <v>315</v>
      </c>
      <c r="F886" s="1">
        <v>115613.01671130001</v>
      </c>
    </row>
    <row r="887" spans="1:6" ht="14.25" customHeight="1" x14ac:dyDescent="0.3">
      <c r="A887" s="1">
        <v>49902</v>
      </c>
      <c r="B887" s="1" t="s">
        <v>7</v>
      </c>
      <c r="C887" s="1" t="s">
        <v>835</v>
      </c>
      <c r="E887" s="1" t="s">
        <v>419</v>
      </c>
      <c r="F887" s="1">
        <v>35013.956614997704</v>
      </c>
    </row>
    <row r="888" spans="1:6" ht="14.25" customHeight="1" x14ac:dyDescent="0.3">
      <c r="A888" s="1">
        <v>49910</v>
      </c>
      <c r="B888" s="1" t="s">
        <v>7</v>
      </c>
      <c r="C888" s="1" t="s">
        <v>836</v>
      </c>
      <c r="E888" s="1" t="s">
        <v>568</v>
      </c>
      <c r="F888" s="1">
        <v>119810.187576026</v>
      </c>
    </row>
    <row r="889" spans="1:6" ht="14.25" customHeight="1" x14ac:dyDescent="0.3">
      <c r="A889" s="1">
        <v>49871</v>
      </c>
      <c r="B889" s="1" t="s">
        <v>7</v>
      </c>
      <c r="C889" s="1" t="s">
        <v>837</v>
      </c>
      <c r="D889" s="1" t="s">
        <v>86</v>
      </c>
      <c r="E889" s="1" t="s">
        <v>87</v>
      </c>
      <c r="F889" s="1">
        <v>73744.603773584895</v>
      </c>
    </row>
    <row r="890" spans="1:6" ht="14.25" customHeight="1" x14ac:dyDescent="0.3">
      <c r="A890" s="1">
        <v>48853</v>
      </c>
      <c r="B890" s="1" t="s">
        <v>7</v>
      </c>
      <c r="C890" s="1" t="s">
        <v>189</v>
      </c>
      <c r="D890" s="1" t="s">
        <v>19</v>
      </c>
      <c r="E890" s="1" t="s">
        <v>190</v>
      </c>
      <c r="F890" s="1">
        <v>128435.460497312</v>
      </c>
    </row>
    <row r="891" spans="1:6" ht="14.25" customHeight="1" x14ac:dyDescent="0.3">
      <c r="A891" s="1">
        <v>49886</v>
      </c>
      <c r="B891" s="1" t="s">
        <v>7</v>
      </c>
      <c r="C891" s="1" t="s">
        <v>813</v>
      </c>
      <c r="D891" s="1" t="s">
        <v>281</v>
      </c>
      <c r="E891" s="1" t="s">
        <v>282</v>
      </c>
      <c r="F891" s="1">
        <v>110271.803399677</v>
      </c>
    </row>
    <row r="892" spans="1:6" ht="14.25" customHeight="1" x14ac:dyDescent="0.3">
      <c r="A892" s="1">
        <v>48627</v>
      </c>
      <c r="B892" s="1" t="s">
        <v>7</v>
      </c>
      <c r="C892" s="1" t="s">
        <v>326</v>
      </c>
      <c r="E892" s="1" t="s">
        <v>327</v>
      </c>
      <c r="F892" s="1">
        <v>297135.49835353502</v>
      </c>
    </row>
    <row r="893" spans="1:6" ht="14.25" customHeight="1" x14ac:dyDescent="0.3">
      <c r="A893" s="1">
        <v>49796</v>
      </c>
      <c r="B893" s="1" t="s">
        <v>7</v>
      </c>
      <c r="C893" s="1" t="s">
        <v>609</v>
      </c>
      <c r="E893" s="1" t="s">
        <v>332</v>
      </c>
      <c r="F893" s="1">
        <v>568586.55134658399</v>
      </c>
    </row>
    <row r="894" spans="1:6" ht="14.25" customHeight="1" x14ac:dyDescent="0.3">
      <c r="A894" s="1">
        <v>49674</v>
      </c>
      <c r="B894" s="1" t="s">
        <v>7</v>
      </c>
      <c r="D894" s="1" t="s">
        <v>146</v>
      </c>
      <c r="E894" s="1" t="s">
        <v>515</v>
      </c>
      <c r="F894" s="1">
        <v>665522.767967119</v>
      </c>
    </row>
    <row r="895" spans="1:6" ht="14.25" customHeight="1" x14ac:dyDescent="0.3">
      <c r="A895" s="1">
        <v>49791</v>
      </c>
      <c r="B895" s="1" t="s">
        <v>7</v>
      </c>
      <c r="C895" s="1" t="s">
        <v>248</v>
      </c>
      <c r="E895" s="1" t="s">
        <v>249</v>
      </c>
      <c r="F895" s="1">
        <v>173526.55817857501</v>
      </c>
    </row>
    <row r="896" spans="1:6" ht="14.25" customHeight="1" x14ac:dyDescent="0.3">
      <c r="A896" s="1">
        <v>49320</v>
      </c>
      <c r="B896" s="1" t="s">
        <v>7</v>
      </c>
      <c r="C896" s="1" t="s">
        <v>838</v>
      </c>
      <c r="D896" s="1" t="s">
        <v>173</v>
      </c>
      <c r="E896" s="1" t="s">
        <v>174</v>
      </c>
      <c r="F896" s="1">
        <v>149436.42753031701</v>
      </c>
    </row>
    <row r="897" spans="1:6" ht="14.25" customHeight="1" x14ac:dyDescent="0.3">
      <c r="A897" s="1">
        <v>48434</v>
      </c>
      <c r="B897" s="1" t="s">
        <v>7</v>
      </c>
      <c r="C897" s="1" t="s">
        <v>839</v>
      </c>
      <c r="E897" s="1" t="s">
        <v>408</v>
      </c>
      <c r="F897" s="1">
        <v>106138.94886715</v>
      </c>
    </row>
    <row r="898" spans="1:6" ht="14.25" customHeight="1" x14ac:dyDescent="0.3"/>
    <row r="899" spans="1:6" ht="14.25" customHeight="1" x14ac:dyDescent="0.3"/>
    <row r="900" spans="1:6" ht="14.25" customHeight="1" x14ac:dyDescent="0.3"/>
    <row r="901" spans="1:6" ht="14.25" customHeight="1" x14ac:dyDescent="0.3"/>
    <row r="902" spans="1:6" ht="14.25" customHeight="1" x14ac:dyDescent="0.3"/>
    <row r="903" spans="1:6" ht="14.25" customHeight="1" x14ac:dyDescent="0.3"/>
    <row r="904" spans="1:6" ht="14.25" customHeight="1" x14ac:dyDescent="0.3"/>
    <row r="905" spans="1:6" ht="14.25" customHeight="1" x14ac:dyDescent="0.3"/>
    <row r="906" spans="1:6" ht="14.25" customHeight="1" x14ac:dyDescent="0.3"/>
    <row r="907" spans="1:6" ht="14.25" customHeight="1" x14ac:dyDescent="0.3"/>
    <row r="908" spans="1:6" ht="14.25" customHeight="1" x14ac:dyDescent="0.3"/>
    <row r="909" spans="1:6" ht="14.25" customHeight="1" x14ac:dyDescent="0.3"/>
    <row r="910" spans="1:6" ht="14.25" customHeight="1" x14ac:dyDescent="0.3"/>
    <row r="911" spans="1:6" ht="14.25" customHeight="1" x14ac:dyDescent="0.3"/>
    <row r="912" spans="1:6"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howUserForm">
                <anchor moveWithCells="1" sizeWithCells="1">
                  <from>
                    <xdr:col>14</xdr:col>
                    <xdr:colOff>266700</xdr:colOff>
                    <xdr:row>2</xdr:row>
                    <xdr:rowOff>30480</xdr:rowOff>
                  </from>
                  <to>
                    <xdr:col>16</xdr:col>
                    <xdr:colOff>137160</xdr:colOff>
                    <xdr:row>4</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000"/>
  <sheetViews>
    <sheetView workbookViewId="0">
      <selection activeCell="L15" sqref="L15"/>
    </sheetView>
  </sheetViews>
  <sheetFormatPr defaultColWidth="14.44140625" defaultRowHeight="15" customHeight="1" x14ac:dyDescent="0.3"/>
  <cols>
    <col min="1" max="2" width="8.77734375" customWidth="1"/>
    <col min="3" max="3" width="17" customWidth="1"/>
    <col min="4" max="4" width="26.21875" customWidth="1"/>
    <col min="5" max="5" width="17.5546875" customWidth="1"/>
    <col min="6" max="6" width="11.77734375" customWidth="1"/>
    <col min="7" max="26" width="8.77734375" customWidth="1"/>
  </cols>
  <sheetData>
    <row r="1" spans="1:6" ht="14.25" customHeight="1" x14ac:dyDescent="0.3">
      <c r="A1" s="1" t="s">
        <v>0</v>
      </c>
      <c r="B1" s="1" t="s">
        <v>1</v>
      </c>
      <c r="C1" s="1" t="s">
        <v>2</v>
      </c>
      <c r="D1" s="1" t="s">
        <v>3</v>
      </c>
      <c r="E1" s="1" t="s">
        <v>4</v>
      </c>
      <c r="F1" s="2" t="s">
        <v>886</v>
      </c>
    </row>
    <row r="2" spans="1:6" ht="14.25" customHeight="1" x14ac:dyDescent="0.3">
      <c r="A2" s="1">
        <v>48197</v>
      </c>
      <c r="B2" s="1" t="s">
        <v>7</v>
      </c>
      <c r="C2" s="1" t="s">
        <v>8</v>
      </c>
      <c r="D2" s="1" t="s">
        <v>9</v>
      </c>
      <c r="E2" s="1" t="s">
        <v>10</v>
      </c>
      <c r="F2" s="1">
        <v>1294.1584250000001</v>
      </c>
    </row>
    <row r="3" spans="1:6" ht="14.25" customHeight="1" x14ac:dyDescent="0.3">
      <c r="A3" s="1">
        <v>48180</v>
      </c>
      <c r="B3" s="1" t="s">
        <v>7</v>
      </c>
      <c r="C3" s="1" t="s">
        <v>11</v>
      </c>
      <c r="D3" s="1" t="s">
        <v>12</v>
      </c>
      <c r="E3" s="1" t="s">
        <v>13</v>
      </c>
      <c r="F3" s="1">
        <v>1292.5</v>
      </c>
    </row>
    <row r="4" spans="1:6" ht="14.25" customHeight="1" x14ac:dyDescent="0.3">
      <c r="A4" s="1">
        <v>48228</v>
      </c>
      <c r="B4" s="1" t="s">
        <v>7</v>
      </c>
      <c r="C4" s="1" t="s">
        <v>14</v>
      </c>
      <c r="D4" s="1" t="s">
        <v>12</v>
      </c>
      <c r="E4" s="1" t="s">
        <v>13</v>
      </c>
      <c r="F4" s="1">
        <v>1003.965368</v>
      </c>
    </row>
    <row r="5" spans="1:6" ht="14.25" customHeight="1" x14ac:dyDescent="0.3">
      <c r="A5" s="1">
        <v>48103</v>
      </c>
      <c r="B5" s="1" t="s">
        <v>7</v>
      </c>
      <c r="C5" s="1" t="s">
        <v>17</v>
      </c>
      <c r="D5" s="1" t="s">
        <v>9</v>
      </c>
      <c r="E5" s="1" t="s">
        <v>10</v>
      </c>
      <c r="F5" s="1">
        <v>2139.9523810000001</v>
      </c>
    </row>
    <row r="6" spans="1:6" ht="14.25" customHeight="1" x14ac:dyDescent="0.3">
      <c r="A6" s="1">
        <v>48823</v>
      </c>
      <c r="B6" s="1" t="s">
        <v>7</v>
      </c>
      <c r="C6" s="1" t="s">
        <v>18</v>
      </c>
      <c r="D6" s="1" t="s">
        <v>19</v>
      </c>
      <c r="E6" s="1" t="s">
        <v>20</v>
      </c>
      <c r="F6" s="1">
        <v>1423.583333</v>
      </c>
    </row>
    <row r="7" spans="1:6" ht="14.25" customHeight="1" x14ac:dyDescent="0.3">
      <c r="A7" s="1">
        <v>48187</v>
      </c>
      <c r="B7" s="1" t="s">
        <v>7</v>
      </c>
      <c r="C7" s="1" t="s">
        <v>21</v>
      </c>
      <c r="D7" s="1" t="s">
        <v>12</v>
      </c>
      <c r="E7" s="1" t="s">
        <v>13</v>
      </c>
      <c r="F7" s="1">
        <v>1587.333333</v>
      </c>
    </row>
    <row r="8" spans="1:6" ht="14.25" customHeight="1" x14ac:dyDescent="0.3">
      <c r="A8" s="1">
        <v>48126</v>
      </c>
      <c r="B8" s="1" t="s">
        <v>7</v>
      </c>
      <c r="C8" s="1" t="s">
        <v>22</v>
      </c>
      <c r="D8" s="1" t="s">
        <v>12</v>
      </c>
      <c r="E8" s="1" t="s">
        <v>13</v>
      </c>
      <c r="F8" s="1">
        <v>1777.555556</v>
      </c>
    </row>
    <row r="9" spans="1:6" ht="14.25" customHeight="1" x14ac:dyDescent="0.3">
      <c r="A9" s="1">
        <v>49201</v>
      </c>
      <c r="B9" s="1" t="s">
        <v>7</v>
      </c>
      <c r="C9" s="1" t="s">
        <v>26</v>
      </c>
      <c r="D9" s="1" t="s">
        <v>27</v>
      </c>
      <c r="E9" s="1" t="s">
        <v>28</v>
      </c>
    </row>
    <row r="10" spans="1:6" ht="14.25" customHeight="1" x14ac:dyDescent="0.3">
      <c r="A10" s="1">
        <v>48185</v>
      </c>
      <c r="B10" s="1" t="s">
        <v>7</v>
      </c>
      <c r="C10" s="1" t="s">
        <v>29</v>
      </c>
      <c r="D10" s="1" t="s">
        <v>12</v>
      </c>
      <c r="E10" s="1" t="s">
        <v>13</v>
      </c>
      <c r="F10" s="1">
        <v>1159.5888890000001</v>
      </c>
    </row>
    <row r="11" spans="1:6" ht="14.25" customHeight="1" x14ac:dyDescent="0.3">
      <c r="A11" s="1">
        <v>48219</v>
      </c>
      <c r="B11" s="1" t="s">
        <v>7</v>
      </c>
      <c r="C11" s="1" t="s">
        <v>14</v>
      </c>
      <c r="D11" s="1" t="s">
        <v>12</v>
      </c>
      <c r="E11" s="1" t="s">
        <v>13</v>
      </c>
      <c r="F11" s="1">
        <v>1087.5</v>
      </c>
    </row>
    <row r="12" spans="1:6" ht="14.25" customHeight="1" x14ac:dyDescent="0.3">
      <c r="A12" s="1">
        <v>48066</v>
      </c>
      <c r="B12" s="1" t="s">
        <v>7</v>
      </c>
      <c r="C12" s="1" t="s">
        <v>30</v>
      </c>
      <c r="D12" s="1" t="s">
        <v>12</v>
      </c>
      <c r="E12" s="1" t="s">
        <v>16</v>
      </c>
      <c r="F12" s="1">
        <v>1348.119048</v>
      </c>
    </row>
    <row r="13" spans="1:6" ht="14.25" customHeight="1" x14ac:dyDescent="0.3">
      <c r="A13" s="1">
        <v>48235</v>
      </c>
      <c r="B13" s="1" t="s">
        <v>7</v>
      </c>
      <c r="C13" s="1" t="s">
        <v>14</v>
      </c>
      <c r="D13" s="1" t="s">
        <v>12</v>
      </c>
      <c r="E13" s="1" t="s">
        <v>13</v>
      </c>
      <c r="F13" s="1">
        <v>1215.2777779999999</v>
      </c>
    </row>
    <row r="14" spans="1:6" ht="14.25" customHeight="1" x14ac:dyDescent="0.3">
      <c r="A14" s="1">
        <v>49424</v>
      </c>
      <c r="B14" s="1" t="s">
        <v>7</v>
      </c>
      <c r="C14" s="1" t="s">
        <v>31</v>
      </c>
      <c r="D14" s="1" t="s">
        <v>32</v>
      </c>
      <c r="E14" s="1" t="s">
        <v>33</v>
      </c>
      <c r="F14" s="1">
        <v>1461</v>
      </c>
    </row>
    <row r="15" spans="1:6" ht="14.25" customHeight="1" x14ac:dyDescent="0.3">
      <c r="A15" s="1">
        <v>48439</v>
      </c>
      <c r="B15" s="1" t="s">
        <v>7</v>
      </c>
      <c r="C15" s="1" t="s">
        <v>34</v>
      </c>
      <c r="D15" s="1" t="s">
        <v>35</v>
      </c>
      <c r="E15" s="1" t="s">
        <v>36</v>
      </c>
      <c r="F15" s="1">
        <v>1917.833333</v>
      </c>
    </row>
    <row r="16" spans="1:6" ht="14.25" customHeight="1" x14ac:dyDescent="0.3">
      <c r="A16" s="1">
        <v>49423</v>
      </c>
      <c r="B16" s="1" t="s">
        <v>7</v>
      </c>
      <c r="C16" s="1" t="s">
        <v>31</v>
      </c>
      <c r="D16" s="1" t="s">
        <v>32</v>
      </c>
      <c r="E16" s="1" t="s">
        <v>33</v>
      </c>
      <c r="F16" s="1">
        <v>1078.75</v>
      </c>
    </row>
    <row r="17" spans="1:6" ht="14.25" customHeight="1" x14ac:dyDescent="0.3">
      <c r="A17" s="1">
        <v>48104</v>
      </c>
      <c r="B17" s="1" t="s">
        <v>7</v>
      </c>
      <c r="C17" s="1" t="s">
        <v>17</v>
      </c>
      <c r="D17" s="1" t="s">
        <v>9</v>
      </c>
      <c r="E17" s="1" t="s">
        <v>10</v>
      </c>
      <c r="F17" s="1">
        <v>3481.1957069999999</v>
      </c>
    </row>
    <row r="18" spans="1:6" ht="14.25" customHeight="1" x14ac:dyDescent="0.3">
      <c r="A18" s="1">
        <v>48843</v>
      </c>
      <c r="B18" s="1" t="s">
        <v>7</v>
      </c>
      <c r="C18" s="1" t="s">
        <v>37</v>
      </c>
      <c r="D18" s="1" t="s">
        <v>12</v>
      </c>
      <c r="E18" s="1" t="s">
        <v>38</v>
      </c>
      <c r="F18" s="1">
        <v>1950.75</v>
      </c>
    </row>
    <row r="19" spans="1:6" ht="14.25" customHeight="1" x14ac:dyDescent="0.3">
      <c r="A19" s="1">
        <v>48307</v>
      </c>
      <c r="B19" s="1" t="s">
        <v>7</v>
      </c>
      <c r="C19" s="1" t="s">
        <v>39</v>
      </c>
      <c r="D19" s="1" t="s">
        <v>12</v>
      </c>
      <c r="E19" s="1" t="s">
        <v>40</v>
      </c>
      <c r="F19" s="1">
        <v>1686.3888890000001</v>
      </c>
    </row>
    <row r="20" spans="1:6" ht="14.25" customHeight="1" x14ac:dyDescent="0.3">
      <c r="A20" s="1">
        <v>48310</v>
      </c>
      <c r="B20" s="1" t="s">
        <v>7</v>
      </c>
      <c r="C20" s="1" t="s">
        <v>41</v>
      </c>
      <c r="D20" s="1" t="s">
        <v>12</v>
      </c>
      <c r="E20" s="1" t="s">
        <v>16</v>
      </c>
      <c r="F20" s="1">
        <v>1787.333333</v>
      </c>
    </row>
    <row r="21" spans="1:6" ht="14.25" customHeight="1" x14ac:dyDescent="0.3">
      <c r="A21" s="1">
        <v>49442</v>
      </c>
      <c r="B21" s="1" t="s">
        <v>7</v>
      </c>
      <c r="C21" s="1" t="s">
        <v>42</v>
      </c>
      <c r="D21" s="1" t="s">
        <v>43</v>
      </c>
      <c r="E21" s="1" t="s">
        <v>44</v>
      </c>
      <c r="F21" s="1">
        <v>1110.5</v>
      </c>
    </row>
    <row r="22" spans="1:6" ht="14.25" customHeight="1" x14ac:dyDescent="0.3">
      <c r="A22" s="1">
        <v>49009</v>
      </c>
      <c r="B22" s="1" t="s">
        <v>7</v>
      </c>
      <c r="C22" s="1" t="s">
        <v>45</v>
      </c>
      <c r="D22" s="1" t="s">
        <v>46</v>
      </c>
      <c r="E22" s="1" t="s">
        <v>47</v>
      </c>
      <c r="F22" s="1">
        <v>1171.3499999999999</v>
      </c>
    </row>
    <row r="23" spans="1:6" ht="14.25" customHeight="1" x14ac:dyDescent="0.3">
      <c r="A23" s="1">
        <v>48224</v>
      </c>
      <c r="B23" s="1" t="s">
        <v>7</v>
      </c>
      <c r="C23" s="1" t="s">
        <v>14</v>
      </c>
      <c r="D23" s="1" t="s">
        <v>12</v>
      </c>
      <c r="E23" s="1" t="s">
        <v>13</v>
      </c>
      <c r="F23" s="1">
        <v>1131.7316020000001</v>
      </c>
    </row>
    <row r="24" spans="1:6" ht="14.25" customHeight="1" x14ac:dyDescent="0.3">
      <c r="A24" s="1">
        <v>48188</v>
      </c>
      <c r="B24" s="1" t="s">
        <v>7</v>
      </c>
      <c r="C24" s="1" t="s">
        <v>21</v>
      </c>
      <c r="D24" s="1" t="s">
        <v>12</v>
      </c>
      <c r="E24" s="1" t="s">
        <v>13</v>
      </c>
      <c r="F24" s="1">
        <v>1800.7944440000001</v>
      </c>
    </row>
    <row r="25" spans="1:6" ht="14.25" customHeight="1" x14ac:dyDescent="0.3">
      <c r="A25" s="1">
        <v>48183</v>
      </c>
      <c r="B25" s="1" t="s">
        <v>7</v>
      </c>
      <c r="C25" s="1" t="s">
        <v>48</v>
      </c>
      <c r="D25" s="1" t="s">
        <v>12</v>
      </c>
      <c r="E25" s="1" t="s">
        <v>13</v>
      </c>
      <c r="F25" s="1">
        <v>1598.1111109999999</v>
      </c>
    </row>
    <row r="26" spans="1:6" ht="14.25" customHeight="1" x14ac:dyDescent="0.3">
      <c r="A26" s="1">
        <v>48038</v>
      </c>
      <c r="B26" s="1" t="s">
        <v>7</v>
      </c>
      <c r="C26" s="1" t="s">
        <v>49</v>
      </c>
      <c r="D26" s="1" t="s">
        <v>12</v>
      </c>
      <c r="E26" s="1" t="s">
        <v>16</v>
      </c>
      <c r="F26" s="1">
        <v>1301.75</v>
      </c>
    </row>
    <row r="27" spans="1:6" ht="14.25" customHeight="1" x14ac:dyDescent="0.3">
      <c r="A27" s="1">
        <v>48111</v>
      </c>
      <c r="B27" s="1" t="s">
        <v>7</v>
      </c>
      <c r="C27" s="1" t="s">
        <v>50</v>
      </c>
      <c r="D27" s="1" t="s">
        <v>12</v>
      </c>
      <c r="E27" s="1" t="s">
        <v>13</v>
      </c>
      <c r="F27" s="1">
        <v>1221.1111109999999</v>
      </c>
    </row>
    <row r="28" spans="1:6" ht="14.25" customHeight="1" x14ac:dyDescent="0.3">
      <c r="A28" s="1">
        <v>48227</v>
      </c>
      <c r="B28" s="1" t="s">
        <v>7</v>
      </c>
      <c r="C28" s="1" t="s">
        <v>14</v>
      </c>
      <c r="D28" s="1" t="s">
        <v>12</v>
      </c>
      <c r="E28" s="1" t="s">
        <v>13</v>
      </c>
      <c r="F28" s="1">
        <v>1106.5740740000001</v>
      </c>
    </row>
    <row r="29" spans="1:6" ht="14.25" customHeight="1" x14ac:dyDescent="0.3">
      <c r="A29" s="1">
        <v>48221</v>
      </c>
      <c r="B29" s="1" t="s">
        <v>7</v>
      </c>
      <c r="C29" s="1" t="s">
        <v>14</v>
      </c>
      <c r="D29" s="1" t="s">
        <v>12</v>
      </c>
      <c r="E29" s="1" t="s">
        <v>13</v>
      </c>
      <c r="F29" s="1">
        <v>1318.666667</v>
      </c>
    </row>
    <row r="30" spans="1:6" ht="14.25" customHeight="1" x14ac:dyDescent="0.3">
      <c r="A30" s="1">
        <v>48911</v>
      </c>
      <c r="B30" s="1" t="s">
        <v>7</v>
      </c>
      <c r="C30" s="1" t="s">
        <v>53</v>
      </c>
      <c r="D30" s="1" t="s">
        <v>19</v>
      </c>
      <c r="E30" s="1" t="s">
        <v>20</v>
      </c>
      <c r="F30" s="1">
        <v>1142.333333</v>
      </c>
    </row>
    <row r="31" spans="1:6" ht="14.25" customHeight="1" x14ac:dyDescent="0.3">
      <c r="A31" s="1">
        <v>48170</v>
      </c>
      <c r="B31" s="1" t="s">
        <v>7</v>
      </c>
      <c r="C31" s="1" t="s">
        <v>57</v>
      </c>
      <c r="D31" s="1" t="s">
        <v>12</v>
      </c>
      <c r="E31" s="1" t="s">
        <v>13</v>
      </c>
      <c r="F31" s="1">
        <v>1563</v>
      </c>
    </row>
    <row r="32" spans="1:6" ht="14.25" customHeight="1" x14ac:dyDescent="0.3">
      <c r="A32" s="1">
        <v>49504</v>
      </c>
      <c r="B32" s="1" t="s">
        <v>7</v>
      </c>
      <c r="C32" s="1" t="s">
        <v>64</v>
      </c>
      <c r="D32" s="1" t="s">
        <v>32</v>
      </c>
      <c r="E32" s="1" t="s">
        <v>52</v>
      </c>
      <c r="F32" s="1">
        <v>1497.487179</v>
      </c>
    </row>
    <row r="33" spans="1:6" ht="14.25" customHeight="1" x14ac:dyDescent="0.3">
      <c r="A33" s="1">
        <v>48198</v>
      </c>
      <c r="B33" s="1" t="s">
        <v>7</v>
      </c>
      <c r="D33" s="1" t="s">
        <v>9</v>
      </c>
      <c r="E33" s="1" t="s">
        <v>10</v>
      </c>
      <c r="F33" s="1">
        <v>1242.555556</v>
      </c>
    </row>
    <row r="34" spans="1:6" ht="14.25" customHeight="1" x14ac:dyDescent="0.3">
      <c r="A34" s="1">
        <v>48105</v>
      </c>
      <c r="B34" s="1" t="s">
        <v>7</v>
      </c>
      <c r="C34" s="1" t="s">
        <v>17</v>
      </c>
      <c r="D34" s="1" t="s">
        <v>9</v>
      </c>
      <c r="E34" s="1" t="s">
        <v>10</v>
      </c>
      <c r="F34" s="1">
        <v>2004.866667</v>
      </c>
    </row>
    <row r="35" spans="1:6" ht="14.25" customHeight="1" x14ac:dyDescent="0.3">
      <c r="A35" s="1">
        <v>49507</v>
      </c>
      <c r="B35" s="1" t="s">
        <v>7</v>
      </c>
      <c r="C35" s="1" t="s">
        <v>64</v>
      </c>
      <c r="D35" s="1" t="s">
        <v>32</v>
      </c>
      <c r="E35" s="1" t="s">
        <v>52</v>
      </c>
      <c r="F35" s="1">
        <v>1471.1785709999999</v>
      </c>
    </row>
    <row r="36" spans="1:6" ht="14.25" customHeight="1" x14ac:dyDescent="0.3">
      <c r="A36" s="1">
        <v>48430</v>
      </c>
      <c r="B36" s="1" t="s">
        <v>7</v>
      </c>
      <c r="C36" s="1" t="s">
        <v>65</v>
      </c>
      <c r="D36" s="1" t="s">
        <v>35</v>
      </c>
      <c r="E36" s="1" t="s">
        <v>36</v>
      </c>
      <c r="F36" s="1">
        <v>1477.25</v>
      </c>
    </row>
    <row r="37" spans="1:6" ht="14.25" customHeight="1" x14ac:dyDescent="0.3">
      <c r="A37" s="1">
        <v>48212</v>
      </c>
      <c r="B37" s="1" t="s">
        <v>7</v>
      </c>
      <c r="C37" s="1" t="s">
        <v>66</v>
      </c>
      <c r="D37" s="1" t="s">
        <v>12</v>
      </c>
      <c r="E37" s="1" t="s">
        <v>13</v>
      </c>
      <c r="F37" s="1">
        <v>1040.166667</v>
      </c>
    </row>
    <row r="38" spans="1:6" ht="14.25" customHeight="1" x14ac:dyDescent="0.3">
      <c r="A38" s="1">
        <v>49503</v>
      </c>
      <c r="B38" s="1" t="s">
        <v>7</v>
      </c>
      <c r="C38" s="1" t="s">
        <v>64</v>
      </c>
      <c r="D38" s="1" t="s">
        <v>32</v>
      </c>
      <c r="E38" s="1" t="s">
        <v>52</v>
      </c>
      <c r="F38" s="1">
        <v>1430.7326009999999</v>
      </c>
    </row>
    <row r="39" spans="1:6" ht="14.25" customHeight="1" x14ac:dyDescent="0.3">
      <c r="A39" s="1">
        <v>48146</v>
      </c>
      <c r="B39" s="1" t="s">
        <v>7</v>
      </c>
      <c r="C39" s="1" t="s">
        <v>67</v>
      </c>
      <c r="D39" s="1" t="s">
        <v>12</v>
      </c>
      <c r="E39" s="1" t="s">
        <v>13</v>
      </c>
      <c r="F39" s="1">
        <v>1210</v>
      </c>
    </row>
    <row r="40" spans="1:6" ht="14.25" customHeight="1" x14ac:dyDescent="0.3">
      <c r="A40" s="1">
        <v>48127</v>
      </c>
      <c r="B40" s="1" t="s">
        <v>7</v>
      </c>
      <c r="C40" s="1" t="s">
        <v>73</v>
      </c>
      <c r="D40" s="1" t="s">
        <v>12</v>
      </c>
      <c r="E40" s="1" t="s">
        <v>13</v>
      </c>
      <c r="F40" s="1">
        <v>1564.916667</v>
      </c>
    </row>
    <row r="41" spans="1:6" ht="14.25" customHeight="1" x14ac:dyDescent="0.3">
      <c r="A41" s="1">
        <v>48035</v>
      </c>
      <c r="B41" s="1" t="s">
        <v>7</v>
      </c>
      <c r="C41" s="1" t="s">
        <v>49</v>
      </c>
      <c r="D41" s="1" t="s">
        <v>12</v>
      </c>
      <c r="E41" s="1" t="s">
        <v>16</v>
      </c>
      <c r="F41" s="1">
        <v>1174.166667</v>
      </c>
    </row>
    <row r="42" spans="1:6" ht="14.25" customHeight="1" x14ac:dyDescent="0.3">
      <c r="A42" s="1">
        <v>48910</v>
      </c>
      <c r="B42" s="1" t="s">
        <v>7</v>
      </c>
      <c r="C42" s="1" t="s">
        <v>53</v>
      </c>
      <c r="D42" s="1" t="s">
        <v>19</v>
      </c>
      <c r="E42" s="1" t="s">
        <v>20</v>
      </c>
      <c r="F42" s="1">
        <v>1038.333333</v>
      </c>
    </row>
    <row r="43" spans="1:6" ht="14.25" customHeight="1" x14ac:dyDescent="0.3">
      <c r="A43" s="1">
        <v>49203</v>
      </c>
      <c r="B43" s="1" t="s">
        <v>7</v>
      </c>
      <c r="C43" s="1" t="s">
        <v>26</v>
      </c>
      <c r="D43" s="1" t="s">
        <v>27</v>
      </c>
      <c r="E43" s="1" t="s">
        <v>28</v>
      </c>
      <c r="F43" s="1">
        <v>1068.125</v>
      </c>
    </row>
    <row r="44" spans="1:6" ht="14.25" customHeight="1" x14ac:dyDescent="0.3">
      <c r="A44" s="1">
        <v>49441</v>
      </c>
      <c r="B44" s="1" t="s">
        <v>7</v>
      </c>
      <c r="C44" s="1" t="s">
        <v>76</v>
      </c>
      <c r="D44" s="1" t="s">
        <v>43</v>
      </c>
      <c r="E44" s="1" t="s">
        <v>44</v>
      </c>
      <c r="F44" s="1">
        <v>1104.166667</v>
      </c>
    </row>
    <row r="45" spans="1:6" ht="14.25" customHeight="1" x14ac:dyDescent="0.3">
      <c r="A45" s="1">
        <v>48239</v>
      </c>
      <c r="B45" s="1" t="s">
        <v>7</v>
      </c>
      <c r="C45" s="1" t="s">
        <v>80</v>
      </c>
      <c r="D45" s="1" t="s">
        <v>12</v>
      </c>
      <c r="E45" s="1" t="s">
        <v>13</v>
      </c>
      <c r="F45" s="1">
        <v>1358.333333</v>
      </c>
    </row>
    <row r="46" spans="1:6" ht="14.25" customHeight="1" x14ac:dyDescent="0.3">
      <c r="A46" s="1">
        <v>48312</v>
      </c>
      <c r="B46" s="1" t="s">
        <v>7</v>
      </c>
      <c r="C46" s="1" t="s">
        <v>41</v>
      </c>
      <c r="D46" s="1" t="s">
        <v>12</v>
      </c>
      <c r="E46" s="1" t="s">
        <v>16</v>
      </c>
      <c r="F46" s="1">
        <v>1516.1111109999999</v>
      </c>
    </row>
    <row r="47" spans="1:6" ht="14.25" customHeight="1" x14ac:dyDescent="0.3">
      <c r="A47" s="1">
        <v>49506</v>
      </c>
      <c r="B47" s="1" t="s">
        <v>7</v>
      </c>
      <c r="C47" s="1" t="s">
        <v>81</v>
      </c>
      <c r="D47" s="1" t="s">
        <v>32</v>
      </c>
      <c r="E47" s="1" t="s">
        <v>52</v>
      </c>
      <c r="F47" s="1">
        <v>1700.083333</v>
      </c>
    </row>
    <row r="48" spans="1:6" ht="14.25" customHeight="1" x14ac:dyDescent="0.3">
      <c r="A48" s="1">
        <v>48205</v>
      </c>
      <c r="B48" s="1" t="s">
        <v>7</v>
      </c>
      <c r="C48" s="1" t="s">
        <v>14</v>
      </c>
      <c r="D48" s="1" t="s">
        <v>12</v>
      </c>
      <c r="E48" s="1" t="s">
        <v>13</v>
      </c>
      <c r="F48" s="1">
        <v>1181.746032</v>
      </c>
    </row>
    <row r="49" spans="1:6" ht="14.25" customHeight="1" x14ac:dyDescent="0.3">
      <c r="A49" s="1">
        <v>48073</v>
      </c>
      <c r="B49" s="1" t="s">
        <v>7</v>
      </c>
      <c r="C49" s="1" t="s">
        <v>82</v>
      </c>
      <c r="D49" s="1" t="s">
        <v>12</v>
      </c>
      <c r="E49" s="1" t="s">
        <v>40</v>
      </c>
      <c r="F49" s="1">
        <v>1935.9126980000001</v>
      </c>
    </row>
    <row r="50" spans="1:6" ht="14.25" customHeight="1" x14ac:dyDescent="0.3">
      <c r="A50" s="1">
        <v>48186</v>
      </c>
      <c r="B50" s="1" t="s">
        <v>7</v>
      </c>
      <c r="C50" s="1" t="s">
        <v>29</v>
      </c>
      <c r="D50" s="1" t="s">
        <v>12</v>
      </c>
      <c r="E50" s="1" t="s">
        <v>13</v>
      </c>
      <c r="F50" s="1">
        <v>1137.25</v>
      </c>
    </row>
    <row r="51" spans="1:6" ht="14.25" customHeight="1" x14ac:dyDescent="0.3">
      <c r="A51" s="1">
        <v>48234</v>
      </c>
      <c r="B51" s="1" t="s">
        <v>7</v>
      </c>
      <c r="C51" s="1" t="s">
        <v>14</v>
      </c>
      <c r="D51" s="1" t="s">
        <v>12</v>
      </c>
      <c r="E51" s="1" t="s">
        <v>13</v>
      </c>
      <c r="F51" s="1">
        <v>1173.6111109999999</v>
      </c>
    </row>
    <row r="52" spans="1:6" ht="14.25" customHeight="1" x14ac:dyDescent="0.3">
      <c r="A52" s="1">
        <v>49505</v>
      </c>
      <c r="B52" s="1" t="s">
        <v>7</v>
      </c>
      <c r="C52" s="1" t="s">
        <v>64</v>
      </c>
      <c r="D52" s="1" t="s">
        <v>32</v>
      </c>
      <c r="E52" s="1" t="s">
        <v>52</v>
      </c>
      <c r="F52" s="1">
        <v>1698.74359</v>
      </c>
    </row>
    <row r="53" spans="1:6" ht="14.25" customHeight="1" x14ac:dyDescent="0.3">
      <c r="A53" s="1">
        <v>48021</v>
      </c>
      <c r="B53" s="1" t="s">
        <v>7</v>
      </c>
      <c r="C53" s="1" t="s">
        <v>83</v>
      </c>
      <c r="D53" s="1" t="s">
        <v>12</v>
      </c>
      <c r="E53" s="1" t="s">
        <v>16</v>
      </c>
      <c r="F53" s="1">
        <v>1286.857143</v>
      </c>
    </row>
    <row r="54" spans="1:6" ht="14.25" customHeight="1" x14ac:dyDescent="0.3">
      <c r="A54" s="1">
        <v>48322</v>
      </c>
      <c r="B54" s="1" t="s">
        <v>7</v>
      </c>
      <c r="C54" s="1" t="s">
        <v>84</v>
      </c>
      <c r="D54" s="1" t="s">
        <v>12</v>
      </c>
      <c r="E54" s="1" t="s">
        <v>40</v>
      </c>
      <c r="F54" s="1">
        <v>2312.666667</v>
      </c>
    </row>
    <row r="55" spans="1:6" ht="14.25" customHeight="1" x14ac:dyDescent="0.3">
      <c r="A55" s="1">
        <v>48917</v>
      </c>
      <c r="B55" s="1" t="s">
        <v>7</v>
      </c>
      <c r="C55" s="1" t="s">
        <v>53</v>
      </c>
      <c r="D55" s="1" t="s">
        <v>19</v>
      </c>
      <c r="E55" s="1" t="s">
        <v>88</v>
      </c>
      <c r="F55" s="1">
        <v>1499.4666669999999</v>
      </c>
    </row>
    <row r="56" spans="1:6" ht="14.25" customHeight="1" x14ac:dyDescent="0.3">
      <c r="A56" s="1">
        <v>49417</v>
      </c>
      <c r="B56" s="1" t="s">
        <v>7</v>
      </c>
      <c r="C56" s="1" t="s">
        <v>94</v>
      </c>
      <c r="D56" s="1" t="s">
        <v>32</v>
      </c>
      <c r="E56" s="1" t="s">
        <v>33</v>
      </c>
      <c r="F56" s="1">
        <v>1341.833333</v>
      </c>
    </row>
    <row r="57" spans="1:6" ht="14.25" customHeight="1" x14ac:dyDescent="0.3">
      <c r="A57" s="1">
        <v>48089</v>
      </c>
      <c r="B57" s="1" t="s">
        <v>7</v>
      </c>
      <c r="C57" s="1" t="s">
        <v>95</v>
      </c>
      <c r="D57" s="1" t="s">
        <v>12</v>
      </c>
      <c r="E57" s="1" t="s">
        <v>16</v>
      </c>
      <c r="F57" s="1">
        <v>1286.9882150000001</v>
      </c>
    </row>
    <row r="58" spans="1:6" ht="14.25" customHeight="1" x14ac:dyDescent="0.3">
      <c r="A58" s="1">
        <v>48642</v>
      </c>
      <c r="B58" s="1" t="s">
        <v>7</v>
      </c>
      <c r="C58" s="1" t="s">
        <v>91</v>
      </c>
      <c r="D58" s="1" t="s">
        <v>92</v>
      </c>
      <c r="E58" s="1" t="s">
        <v>93</v>
      </c>
      <c r="F58" s="1">
        <v>1640.333333</v>
      </c>
    </row>
    <row r="59" spans="1:6" ht="14.25" customHeight="1" x14ac:dyDescent="0.3">
      <c r="A59" s="1">
        <v>48507</v>
      </c>
      <c r="B59" s="1" t="s">
        <v>7</v>
      </c>
      <c r="C59" s="1" t="s">
        <v>99</v>
      </c>
      <c r="D59" s="1" t="s">
        <v>35</v>
      </c>
      <c r="E59" s="1" t="s">
        <v>36</v>
      </c>
      <c r="F59" s="1">
        <v>814.72222220000003</v>
      </c>
    </row>
    <row r="60" spans="1:6" ht="14.25" customHeight="1" x14ac:dyDescent="0.3">
      <c r="A60" s="1">
        <v>48071</v>
      </c>
      <c r="B60" s="1" t="s">
        <v>7</v>
      </c>
      <c r="C60" s="1" t="s">
        <v>100</v>
      </c>
      <c r="D60" s="1" t="s">
        <v>12</v>
      </c>
      <c r="E60" s="1" t="s">
        <v>40</v>
      </c>
      <c r="F60" s="1">
        <v>1394.166667</v>
      </c>
    </row>
    <row r="61" spans="1:6" ht="14.25" customHeight="1" x14ac:dyDescent="0.3">
      <c r="A61" s="1">
        <v>48091</v>
      </c>
      <c r="B61" s="1" t="s">
        <v>7</v>
      </c>
      <c r="C61" s="1" t="s">
        <v>95</v>
      </c>
      <c r="D61" s="1" t="s">
        <v>12</v>
      </c>
      <c r="E61" s="1" t="s">
        <v>16</v>
      </c>
      <c r="F61" s="1">
        <v>1282.9761900000001</v>
      </c>
    </row>
    <row r="62" spans="1:6" ht="14.25" customHeight="1" x14ac:dyDescent="0.3">
      <c r="A62" s="1">
        <v>49525</v>
      </c>
      <c r="B62" s="1" t="s">
        <v>7</v>
      </c>
      <c r="C62" s="1" t="s">
        <v>64</v>
      </c>
      <c r="D62" s="1" t="s">
        <v>32</v>
      </c>
      <c r="E62" s="1" t="s">
        <v>52</v>
      </c>
      <c r="F62" s="1">
        <v>2097.5</v>
      </c>
    </row>
    <row r="63" spans="1:6" ht="14.25" customHeight="1" x14ac:dyDescent="0.3">
      <c r="A63" s="1">
        <v>48237</v>
      </c>
      <c r="B63" s="1" t="s">
        <v>7</v>
      </c>
      <c r="C63" s="1" t="s">
        <v>103</v>
      </c>
      <c r="D63" s="1" t="s">
        <v>12</v>
      </c>
      <c r="E63" s="1" t="s">
        <v>40</v>
      </c>
      <c r="F63" s="1">
        <v>1463</v>
      </c>
    </row>
    <row r="64" spans="1:6" ht="14.25" customHeight="1" x14ac:dyDescent="0.3">
      <c r="A64" s="1">
        <v>48195</v>
      </c>
      <c r="B64" s="1" t="s">
        <v>7</v>
      </c>
      <c r="C64" s="1" t="s">
        <v>104</v>
      </c>
      <c r="D64" s="1" t="s">
        <v>12</v>
      </c>
      <c r="E64" s="1" t="s">
        <v>13</v>
      </c>
      <c r="F64" s="1">
        <v>1697.333333</v>
      </c>
    </row>
    <row r="65" spans="1:6" ht="14.25" customHeight="1" x14ac:dyDescent="0.3">
      <c r="A65" s="1">
        <v>48506</v>
      </c>
      <c r="B65" s="1" t="s">
        <v>7</v>
      </c>
      <c r="D65" s="1" t="s">
        <v>35</v>
      </c>
      <c r="E65" s="1" t="s">
        <v>36</v>
      </c>
      <c r="F65" s="1">
        <v>868.5</v>
      </c>
    </row>
    <row r="66" spans="1:6" ht="14.25" customHeight="1" x14ac:dyDescent="0.3">
      <c r="A66" s="1">
        <v>49024</v>
      </c>
      <c r="B66" s="1" t="s">
        <v>7</v>
      </c>
      <c r="C66" s="1" t="s">
        <v>106</v>
      </c>
      <c r="D66" s="1" t="s">
        <v>46</v>
      </c>
      <c r="E66" s="1" t="s">
        <v>47</v>
      </c>
      <c r="F66" s="1">
        <v>1867.5</v>
      </c>
    </row>
    <row r="67" spans="1:6" ht="14.25" customHeight="1" x14ac:dyDescent="0.3">
      <c r="A67" s="1">
        <v>49519</v>
      </c>
      <c r="B67" s="1" t="s">
        <v>7</v>
      </c>
      <c r="C67" s="1" t="s">
        <v>107</v>
      </c>
      <c r="D67" s="1" t="s">
        <v>32</v>
      </c>
      <c r="E67" s="1" t="s">
        <v>52</v>
      </c>
      <c r="F67" s="1">
        <v>1285</v>
      </c>
    </row>
    <row r="68" spans="1:6" ht="14.25" customHeight="1" x14ac:dyDescent="0.3">
      <c r="A68" s="1">
        <v>48317</v>
      </c>
      <c r="B68" s="1" t="s">
        <v>7</v>
      </c>
      <c r="C68" s="1" t="s">
        <v>108</v>
      </c>
      <c r="D68" s="1" t="s">
        <v>12</v>
      </c>
      <c r="E68" s="1" t="s">
        <v>16</v>
      </c>
      <c r="F68" s="1">
        <v>1306.555556</v>
      </c>
    </row>
    <row r="69" spans="1:6" ht="14.25" customHeight="1" x14ac:dyDescent="0.3">
      <c r="A69" s="1">
        <v>48504</v>
      </c>
      <c r="B69" s="1" t="s">
        <v>7</v>
      </c>
      <c r="C69" s="1" t="s">
        <v>99</v>
      </c>
      <c r="D69" s="1" t="s">
        <v>35</v>
      </c>
      <c r="E69" s="1" t="s">
        <v>36</v>
      </c>
      <c r="F69" s="1">
        <v>890</v>
      </c>
    </row>
    <row r="70" spans="1:6" ht="14.25" customHeight="1" x14ac:dyDescent="0.3">
      <c r="A70" s="1">
        <v>49006</v>
      </c>
      <c r="B70" s="1" t="s">
        <v>7</v>
      </c>
      <c r="C70" s="1" t="s">
        <v>45</v>
      </c>
      <c r="D70" s="1" t="s">
        <v>46</v>
      </c>
      <c r="E70" s="1" t="s">
        <v>47</v>
      </c>
      <c r="F70" s="1">
        <v>1783.333333</v>
      </c>
    </row>
    <row r="71" spans="1:6" ht="14.25" customHeight="1" x14ac:dyDescent="0.3">
      <c r="A71" s="1">
        <v>48108</v>
      </c>
      <c r="B71" s="1" t="s">
        <v>7</v>
      </c>
      <c r="C71" s="1" t="s">
        <v>17</v>
      </c>
      <c r="D71" s="1" t="s">
        <v>9</v>
      </c>
      <c r="E71" s="1" t="s">
        <v>10</v>
      </c>
      <c r="F71" s="1">
        <v>1760</v>
      </c>
    </row>
    <row r="72" spans="1:6" ht="14.25" customHeight="1" x14ac:dyDescent="0.3">
      <c r="A72" s="1">
        <v>49015</v>
      </c>
      <c r="B72" s="1" t="s">
        <v>7</v>
      </c>
      <c r="C72" s="1" t="s">
        <v>117</v>
      </c>
      <c r="D72" s="1" t="s">
        <v>118</v>
      </c>
      <c r="E72" s="1" t="s">
        <v>119</v>
      </c>
      <c r="F72" s="1">
        <v>1036.444444</v>
      </c>
    </row>
    <row r="73" spans="1:6" ht="14.25" customHeight="1" x14ac:dyDescent="0.3">
      <c r="A73" s="1">
        <v>49444</v>
      </c>
      <c r="B73" s="1" t="s">
        <v>7</v>
      </c>
      <c r="C73" s="1" t="s">
        <v>76</v>
      </c>
      <c r="D73" s="1" t="s">
        <v>43</v>
      </c>
      <c r="E73" s="1" t="s">
        <v>44</v>
      </c>
      <c r="F73" s="1">
        <v>787.5</v>
      </c>
    </row>
    <row r="74" spans="1:6" ht="14.25" customHeight="1" x14ac:dyDescent="0.3">
      <c r="A74" s="1">
        <v>48161</v>
      </c>
      <c r="B74" s="1" t="s">
        <v>7</v>
      </c>
      <c r="C74" s="1" t="s">
        <v>113</v>
      </c>
      <c r="D74" s="1" t="s">
        <v>114</v>
      </c>
      <c r="E74" s="1" t="s">
        <v>115</v>
      </c>
      <c r="F74" s="1">
        <v>1165.833333</v>
      </c>
    </row>
    <row r="75" spans="1:6" ht="14.25" customHeight="1" x14ac:dyDescent="0.3">
      <c r="A75" s="1">
        <v>48085</v>
      </c>
      <c r="B75" s="1" t="s">
        <v>7</v>
      </c>
      <c r="C75" s="1" t="s">
        <v>123</v>
      </c>
      <c r="D75" s="1" t="s">
        <v>12</v>
      </c>
      <c r="E75" s="1" t="s">
        <v>40</v>
      </c>
      <c r="F75" s="1">
        <v>2475</v>
      </c>
    </row>
    <row r="76" spans="1:6" ht="14.25" customHeight="1" x14ac:dyDescent="0.3">
      <c r="A76" s="1">
        <v>48092</v>
      </c>
      <c r="B76" s="1" t="s">
        <v>7</v>
      </c>
      <c r="C76" s="1" t="s">
        <v>95</v>
      </c>
      <c r="D76" s="1" t="s">
        <v>12</v>
      </c>
      <c r="E76" s="1" t="s">
        <v>16</v>
      </c>
      <c r="F76" s="1">
        <v>1750</v>
      </c>
    </row>
    <row r="77" spans="1:6" ht="14.25" customHeight="1" x14ac:dyDescent="0.3">
      <c r="A77" s="1">
        <v>48503</v>
      </c>
      <c r="B77" s="1" t="s">
        <v>7</v>
      </c>
      <c r="C77" s="1" t="s">
        <v>99</v>
      </c>
      <c r="D77" s="1" t="s">
        <v>35</v>
      </c>
      <c r="E77" s="1" t="s">
        <v>36</v>
      </c>
      <c r="F77" s="1">
        <v>765.55555560000005</v>
      </c>
    </row>
    <row r="78" spans="1:6" ht="14.25" customHeight="1" x14ac:dyDescent="0.3">
      <c r="A78" s="1">
        <v>48238</v>
      </c>
      <c r="B78" s="1" t="s">
        <v>7</v>
      </c>
      <c r="C78" s="1" t="s">
        <v>14</v>
      </c>
      <c r="D78" s="1" t="s">
        <v>12</v>
      </c>
      <c r="E78" s="1" t="s">
        <v>13</v>
      </c>
      <c r="F78" s="1">
        <v>1004.722222</v>
      </c>
    </row>
    <row r="79" spans="1:6" ht="14.25" customHeight="1" x14ac:dyDescent="0.3">
      <c r="A79" s="1">
        <v>48340</v>
      </c>
      <c r="B79" s="1" t="s">
        <v>7</v>
      </c>
      <c r="C79" s="1" t="s">
        <v>128</v>
      </c>
      <c r="D79" s="1" t="s">
        <v>12</v>
      </c>
      <c r="E79" s="1" t="s">
        <v>40</v>
      </c>
      <c r="F79" s="1">
        <v>1111.944444</v>
      </c>
    </row>
    <row r="80" spans="1:6" ht="14.25" customHeight="1" x14ac:dyDescent="0.3">
      <c r="A80" s="1">
        <v>48336</v>
      </c>
      <c r="B80" s="1" t="s">
        <v>7</v>
      </c>
      <c r="C80" s="1" t="s">
        <v>129</v>
      </c>
      <c r="D80" s="1" t="s">
        <v>12</v>
      </c>
      <c r="E80" s="1" t="s">
        <v>40</v>
      </c>
      <c r="F80" s="1">
        <v>1298.333333</v>
      </c>
    </row>
    <row r="81" spans="1:6" ht="14.25" customHeight="1" x14ac:dyDescent="0.3">
      <c r="A81" s="1">
        <v>48076</v>
      </c>
      <c r="B81" s="1" t="s">
        <v>7</v>
      </c>
      <c r="C81" s="1" t="s">
        <v>130</v>
      </c>
      <c r="D81" s="1" t="s">
        <v>12</v>
      </c>
      <c r="E81" s="1" t="s">
        <v>40</v>
      </c>
      <c r="F81" s="1">
        <v>1587.5</v>
      </c>
    </row>
    <row r="82" spans="1:6" ht="14.25" customHeight="1" x14ac:dyDescent="0.3">
      <c r="A82" s="1">
        <v>48192</v>
      </c>
      <c r="B82" s="1" t="s">
        <v>7</v>
      </c>
      <c r="C82" s="1" t="s">
        <v>131</v>
      </c>
      <c r="D82" s="1" t="s">
        <v>12</v>
      </c>
      <c r="E82" s="1" t="s">
        <v>13</v>
      </c>
      <c r="F82" s="1">
        <v>1073.6111109999999</v>
      </c>
    </row>
    <row r="83" spans="1:6" ht="14.25" customHeight="1" x14ac:dyDescent="0.3">
      <c r="A83" s="1">
        <v>48045</v>
      </c>
      <c r="B83" s="1" t="s">
        <v>7</v>
      </c>
      <c r="C83" s="1" t="s">
        <v>133</v>
      </c>
      <c r="D83" s="1" t="s">
        <v>12</v>
      </c>
      <c r="E83" s="1" t="s">
        <v>16</v>
      </c>
      <c r="F83" s="1">
        <v>1198.333333</v>
      </c>
    </row>
    <row r="84" spans="1:6" ht="14.25" customHeight="1" x14ac:dyDescent="0.3">
      <c r="A84" s="1">
        <v>48141</v>
      </c>
      <c r="B84" s="1" t="s">
        <v>7</v>
      </c>
      <c r="C84" s="1" t="s">
        <v>134</v>
      </c>
      <c r="D84" s="1" t="s">
        <v>12</v>
      </c>
      <c r="E84" s="1" t="s">
        <v>13</v>
      </c>
      <c r="F84" s="1">
        <v>1165</v>
      </c>
    </row>
    <row r="85" spans="1:6" ht="14.25" customHeight="1" x14ac:dyDescent="0.3">
      <c r="A85" s="1">
        <v>48390</v>
      </c>
      <c r="B85" s="1" t="s">
        <v>7</v>
      </c>
      <c r="C85" s="1" t="s">
        <v>135</v>
      </c>
      <c r="D85" s="1" t="s">
        <v>12</v>
      </c>
      <c r="E85" s="1" t="s">
        <v>40</v>
      </c>
      <c r="F85" s="1">
        <v>1666.666667</v>
      </c>
    </row>
    <row r="86" spans="1:6" ht="14.25" customHeight="1" x14ac:dyDescent="0.3">
      <c r="A86" s="1">
        <v>48067</v>
      </c>
      <c r="B86" s="1" t="s">
        <v>7</v>
      </c>
      <c r="C86" s="1" t="s">
        <v>82</v>
      </c>
      <c r="D86" s="1" t="s">
        <v>12</v>
      </c>
      <c r="E86" s="1" t="s">
        <v>40</v>
      </c>
      <c r="F86" s="1">
        <v>2057.333333</v>
      </c>
    </row>
    <row r="87" spans="1:6" ht="14.25" customHeight="1" x14ac:dyDescent="0.3">
      <c r="A87" s="1">
        <v>48204</v>
      </c>
      <c r="B87" s="1" t="s">
        <v>7</v>
      </c>
      <c r="C87" s="1" t="s">
        <v>14</v>
      </c>
      <c r="D87" s="1" t="s">
        <v>12</v>
      </c>
      <c r="E87" s="1" t="s">
        <v>13</v>
      </c>
      <c r="F87" s="1">
        <v>1000</v>
      </c>
    </row>
    <row r="88" spans="1:6" ht="14.25" customHeight="1" x14ac:dyDescent="0.3">
      <c r="A88" s="1">
        <v>48335</v>
      </c>
      <c r="B88" s="1" t="s">
        <v>7</v>
      </c>
      <c r="C88" s="1" t="s">
        <v>137</v>
      </c>
      <c r="D88" s="1" t="s">
        <v>12</v>
      </c>
      <c r="E88" s="1" t="s">
        <v>40</v>
      </c>
      <c r="F88" s="1">
        <v>1049.2467529999999</v>
      </c>
    </row>
    <row r="89" spans="1:6" ht="14.25" customHeight="1" x14ac:dyDescent="0.3">
      <c r="A89" s="1">
        <v>48167</v>
      </c>
      <c r="B89" s="1" t="s">
        <v>7</v>
      </c>
      <c r="C89" s="1" t="s">
        <v>138</v>
      </c>
      <c r="D89" s="1" t="s">
        <v>12</v>
      </c>
      <c r="E89" s="1" t="s">
        <v>40</v>
      </c>
      <c r="F89" s="1">
        <v>1511.7111110000001</v>
      </c>
    </row>
    <row r="90" spans="1:6" ht="14.25" customHeight="1" x14ac:dyDescent="0.3">
      <c r="A90" s="1">
        <v>48346</v>
      </c>
      <c r="B90" s="1" t="s">
        <v>7</v>
      </c>
      <c r="C90" s="1" t="s">
        <v>139</v>
      </c>
      <c r="D90" s="1" t="s">
        <v>12</v>
      </c>
      <c r="E90" s="1" t="s">
        <v>40</v>
      </c>
      <c r="F90" s="1">
        <v>2316.25</v>
      </c>
    </row>
    <row r="91" spans="1:6" ht="14.25" customHeight="1" x14ac:dyDescent="0.3">
      <c r="A91" s="1">
        <v>48326</v>
      </c>
      <c r="B91" s="1" t="s">
        <v>7</v>
      </c>
      <c r="C91" s="1" t="s">
        <v>140</v>
      </c>
      <c r="D91" s="1" t="s">
        <v>12</v>
      </c>
      <c r="E91" s="1" t="s">
        <v>40</v>
      </c>
      <c r="F91" s="1">
        <v>1278.333333</v>
      </c>
    </row>
    <row r="92" spans="1:6" ht="14.25" customHeight="1" x14ac:dyDescent="0.3">
      <c r="A92" s="1">
        <v>49085</v>
      </c>
      <c r="B92" s="1" t="s">
        <v>7</v>
      </c>
      <c r="C92" s="1" t="s">
        <v>141</v>
      </c>
      <c r="D92" s="1" t="s">
        <v>69</v>
      </c>
      <c r="E92" s="1" t="s">
        <v>70</v>
      </c>
      <c r="F92" s="1">
        <v>1800</v>
      </c>
    </row>
    <row r="93" spans="1:6" ht="14.25" customHeight="1" x14ac:dyDescent="0.3">
      <c r="A93" s="1">
        <v>48220</v>
      </c>
      <c r="B93" s="1" t="s">
        <v>7</v>
      </c>
      <c r="C93" s="1" t="s">
        <v>148</v>
      </c>
      <c r="D93" s="1" t="s">
        <v>12</v>
      </c>
      <c r="E93" s="1" t="s">
        <v>40</v>
      </c>
      <c r="F93" s="1">
        <v>1619.7222220000001</v>
      </c>
    </row>
    <row r="94" spans="1:6" ht="14.25" customHeight="1" x14ac:dyDescent="0.3">
      <c r="A94" s="1">
        <v>48375</v>
      </c>
      <c r="B94" s="1" t="s">
        <v>7</v>
      </c>
      <c r="C94" s="1" t="s">
        <v>150</v>
      </c>
      <c r="D94" s="1" t="s">
        <v>12</v>
      </c>
      <c r="E94" s="1" t="s">
        <v>40</v>
      </c>
      <c r="F94" s="1">
        <v>1567.9722220000001</v>
      </c>
    </row>
    <row r="95" spans="1:6" ht="14.25" customHeight="1" x14ac:dyDescent="0.3">
      <c r="A95" s="1">
        <v>48083</v>
      </c>
      <c r="B95" s="1" t="s">
        <v>7</v>
      </c>
      <c r="C95" s="1" t="s">
        <v>123</v>
      </c>
      <c r="D95" s="1" t="s">
        <v>12</v>
      </c>
      <c r="E95" s="1" t="s">
        <v>40</v>
      </c>
      <c r="F95" s="1">
        <v>1791.5</v>
      </c>
    </row>
    <row r="96" spans="1:6" ht="14.25" customHeight="1" x14ac:dyDescent="0.3">
      <c r="A96" s="1">
        <v>48214</v>
      </c>
      <c r="B96" s="1" t="s">
        <v>7</v>
      </c>
      <c r="C96" s="1" t="s">
        <v>14</v>
      </c>
      <c r="D96" s="1" t="s">
        <v>12</v>
      </c>
      <c r="E96" s="1" t="s">
        <v>13</v>
      </c>
      <c r="F96" s="1">
        <v>1203.333333</v>
      </c>
    </row>
    <row r="97" spans="1:6" ht="14.25" customHeight="1" x14ac:dyDescent="0.3">
      <c r="A97" s="1">
        <v>48331</v>
      </c>
      <c r="B97" s="1" t="s">
        <v>7</v>
      </c>
      <c r="C97" s="1" t="s">
        <v>129</v>
      </c>
      <c r="D97" s="1" t="s">
        <v>12</v>
      </c>
      <c r="E97" s="1" t="s">
        <v>40</v>
      </c>
      <c r="F97" s="1">
        <v>1572.75</v>
      </c>
    </row>
    <row r="98" spans="1:6" ht="14.25" customHeight="1" x14ac:dyDescent="0.3">
      <c r="A98" s="1">
        <v>48081</v>
      </c>
      <c r="B98" s="1" t="s">
        <v>7</v>
      </c>
      <c r="C98" s="1" t="s">
        <v>166</v>
      </c>
      <c r="D98" s="1" t="s">
        <v>12</v>
      </c>
      <c r="E98" s="1" t="s">
        <v>16</v>
      </c>
      <c r="F98" s="1">
        <v>1693.75</v>
      </c>
    </row>
    <row r="99" spans="1:6" ht="14.25" customHeight="1" x14ac:dyDescent="0.3">
      <c r="A99" s="1">
        <v>48009</v>
      </c>
      <c r="B99" s="1" t="s">
        <v>7</v>
      </c>
      <c r="C99" s="1" t="s">
        <v>168</v>
      </c>
      <c r="D99" s="1" t="s">
        <v>12</v>
      </c>
      <c r="E99" s="1" t="s">
        <v>40</v>
      </c>
      <c r="F99" s="1">
        <v>2299.166667</v>
      </c>
    </row>
    <row r="100" spans="1:6" ht="14.25" customHeight="1" x14ac:dyDescent="0.3">
      <c r="A100" s="1">
        <v>48207</v>
      </c>
      <c r="B100" s="1" t="s">
        <v>7</v>
      </c>
      <c r="C100" s="1" t="s">
        <v>14</v>
      </c>
      <c r="D100" s="1" t="s">
        <v>12</v>
      </c>
      <c r="E100" s="1" t="s">
        <v>13</v>
      </c>
      <c r="F100" s="1">
        <v>1439</v>
      </c>
    </row>
    <row r="101" spans="1:6" ht="14.25" customHeight="1" x14ac:dyDescent="0.3">
      <c r="A101" s="1">
        <v>49001</v>
      </c>
      <c r="B101" s="1" t="s">
        <v>7</v>
      </c>
      <c r="C101" s="1" t="s">
        <v>45</v>
      </c>
      <c r="D101" s="1" t="s">
        <v>46</v>
      </c>
      <c r="E101" s="1" t="s">
        <v>47</v>
      </c>
      <c r="F101" s="1">
        <v>1170.833333</v>
      </c>
    </row>
    <row r="102" spans="1:6" ht="14.25" customHeight="1" x14ac:dyDescent="0.3">
      <c r="A102" s="1">
        <v>48842</v>
      </c>
      <c r="B102" s="1" t="s">
        <v>7</v>
      </c>
      <c r="C102" s="1" t="s">
        <v>171</v>
      </c>
      <c r="D102" s="1" t="s">
        <v>19</v>
      </c>
      <c r="E102" s="1" t="s">
        <v>20</v>
      </c>
      <c r="F102" s="1">
        <v>1434.8888890000001</v>
      </c>
    </row>
    <row r="103" spans="1:6" ht="14.25" customHeight="1" x14ac:dyDescent="0.3">
      <c r="A103" s="1">
        <v>48125</v>
      </c>
      <c r="B103" s="1" t="s">
        <v>7</v>
      </c>
      <c r="C103" s="1" t="s">
        <v>73</v>
      </c>
      <c r="D103" s="1" t="s">
        <v>12</v>
      </c>
      <c r="E103" s="1" t="s">
        <v>13</v>
      </c>
      <c r="F103" s="1">
        <v>1387.4333329999999</v>
      </c>
    </row>
    <row r="104" spans="1:6" ht="14.25" customHeight="1" x14ac:dyDescent="0.3">
      <c r="A104" s="1">
        <v>48134</v>
      </c>
      <c r="B104" s="1" t="s">
        <v>7</v>
      </c>
      <c r="C104" s="1" t="s">
        <v>175</v>
      </c>
      <c r="D104" s="1" t="s">
        <v>12</v>
      </c>
      <c r="E104" s="1" t="s">
        <v>13</v>
      </c>
      <c r="F104" s="1">
        <v>1399</v>
      </c>
    </row>
    <row r="105" spans="1:6" ht="14.25" customHeight="1" x14ac:dyDescent="0.3">
      <c r="A105" s="1">
        <v>48094</v>
      </c>
      <c r="B105" s="1" t="s">
        <v>7</v>
      </c>
      <c r="C105" s="1" t="s">
        <v>176</v>
      </c>
      <c r="D105" s="1" t="s">
        <v>12</v>
      </c>
      <c r="E105" s="1" t="s">
        <v>16</v>
      </c>
      <c r="F105" s="1">
        <v>1824</v>
      </c>
    </row>
    <row r="106" spans="1:6" ht="14.25" customHeight="1" x14ac:dyDescent="0.3">
      <c r="A106" s="1">
        <v>49202</v>
      </c>
      <c r="B106" s="1" t="s">
        <v>7</v>
      </c>
      <c r="C106" s="1" t="s">
        <v>26</v>
      </c>
      <c r="D106" s="1" t="s">
        <v>27</v>
      </c>
      <c r="E106" s="1" t="s">
        <v>28</v>
      </c>
      <c r="F106" s="1">
        <v>950</v>
      </c>
    </row>
    <row r="107" spans="1:6" ht="14.25" customHeight="1" x14ac:dyDescent="0.3">
      <c r="A107" s="1">
        <v>49008</v>
      </c>
      <c r="B107" s="1" t="s">
        <v>7</v>
      </c>
      <c r="C107" s="1" t="s">
        <v>45</v>
      </c>
      <c r="D107" s="1" t="s">
        <v>46</v>
      </c>
      <c r="E107" s="1" t="s">
        <v>47</v>
      </c>
      <c r="F107" s="1">
        <v>1201.3611109999999</v>
      </c>
    </row>
    <row r="108" spans="1:6" ht="14.25" customHeight="1" x14ac:dyDescent="0.3">
      <c r="A108" s="1">
        <v>48912</v>
      </c>
      <c r="B108" s="1" t="s">
        <v>7</v>
      </c>
      <c r="C108" s="1" t="s">
        <v>53</v>
      </c>
      <c r="D108" s="1" t="s">
        <v>19</v>
      </c>
      <c r="E108" s="1" t="s">
        <v>20</v>
      </c>
      <c r="F108" s="1">
        <v>1067.5</v>
      </c>
    </row>
    <row r="109" spans="1:6" ht="14.25" customHeight="1" x14ac:dyDescent="0.3">
      <c r="A109" s="1">
        <v>48240</v>
      </c>
      <c r="B109" s="1" t="s">
        <v>7</v>
      </c>
      <c r="C109" s="1" t="s">
        <v>80</v>
      </c>
      <c r="D109" s="1" t="s">
        <v>12</v>
      </c>
      <c r="E109" s="1" t="s">
        <v>13</v>
      </c>
      <c r="F109" s="1">
        <v>1340.416667</v>
      </c>
    </row>
    <row r="110" spans="1:6" ht="14.25" customHeight="1" x14ac:dyDescent="0.3">
      <c r="A110" s="1">
        <v>48033</v>
      </c>
      <c r="B110" s="1" t="s">
        <v>7</v>
      </c>
      <c r="C110" s="1" t="s">
        <v>165</v>
      </c>
      <c r="D110" s="1" t="s">
        <v>12</v>
      </c>
      <c r="E110" s="1" t="s">
        <v>40</v>
      </c>
      <c r="F110" s="1">
        <v>1451.122222</v>
      </c>
    </row>
    <row r="111" spans="1:6" ht="14.25" customHeight="1" x14ac:dyDescent="0.3">
      <c r="A111" s="1">
        <v>48377</v>
      </c>
      <c r="B111" s="1" t="s">
        <v>7</v>
      </c>
      <c r="C111" s="1" t="s">
        <v>150</v>
      </c>
      <c r="D111" s="1" t="s">
        <v>12</v>
      </c>
      <c r="E111" s="1" t="s">
        <v>40</v>
      </c>
      <c r="F111" s="1">
        <v>1885.375</v>
      </c>
    </row>
    <row r="112" spans="1:6" ht="14.25" customHeight="1" x14ac:dyDescent="0.3">
      <c r="A112" s="1">
        <v>48030</v>
      </c>
      <c r="B112" s="1" t="s">
        <v>7</v>
      </c>
      <c r="C112" s="1" t="s">
        <v>215</v>
      </c>
      <c r="D112" s="1" t="s">
        <v>12</v>
      </c>
      <c r="E112" s="1" t="s">
        <v>40</v>
      </c>
      <c r="F112" s="1">
        <v>1316.25</v>
      </c>
    </row>
    <row r="113" spans="1:6" ht="14.25" customHeight="1" x14ac:dyDescent="0.3">
      <c r="A113" s="1">
        <v>48201</v>
      </c>
      <c r="B113" s="1" t="s">
        <v>7</v>
      </c>
      <c r="C113" s="1" t="s">
        <v>14</v>
      </c>
      <c r="D113" s="1" t="s">
        <v>12</v>
      </c>
      <c r="E113" s="1" t="s">
        <v>13</v>
      </c>
      <c r="F113" s="1">
        <v>1390.55</v>
      </c>
    </row>
    <row r="114" spans="1:6" ht="14.25" customHeight="1" x14ac:dyDescent="0.3">
      <c r="A114" s="1">
        <v>48206</v>
      </c>
      <c r="B114" s="1" t="s">
        <v>7</v>
      </c>
      <c r="C114" s="1" t="s">
        <v>14</v>
      </c>
      <c r="D114" s="1" t="s">
        <v>12</v>
      </c>
      <c r="E114" s="1" t="s">
        <v>13</v>
      </c>
      <c r="F114" s="1">
        <v>1200</v>
      </c>
    </row>
    <row r="115" spans="1:6" ht="14.25" customHeight="1" x14ac:dyDescent="0.3">
      <c r="A115" s="1">
        <v>48230</v>
      </c>
      <c r="B115" s="1" t="s">
        <v>7</v>
      </c>
      <c r="C115" s="1" t="s">
        <v>221</v>
      </c>
      <c r="D115" s="1" t="s">
        <v>12</v>
      </c>
      <c r="E115" s="1" t="s">
        <v>13</v>
      </c>
      <c r="F115" s="1">
        <v>1488.055556</v>
      </c>
    </row>
    <row r="116" spans="1:6" ht="14.25" customHeight="1" x14ac:dyDescent="0.3">
      <c r="A116" s="1">
        <v>48202</v>
      </c>
      <c r="B116" s="1" t="s">
        <v>7</v>
      </c>
      <c r="C116" s="1" t="s">
        <v>14</v>
      </c>
      <c r="D116" s="1" t="s">
        <v>12</v>
      </c>
      <c r="E116" s="1" t="s">
        <v>13</v>
      </c>
      <c r="F116" s="1">
        <v>1380.416667</v>
      </c>
    </row>
    <row r="117" spans="1:6" ht="14.25" customHeight="1" x14ac:dyDescent="0.3">
      <c r="A117" s="1">
        <v>48084</v>
      </c>
      <c r="B117" s="1" t="s">
        <v>7</v>
      </c>
      <c r="C117" s="1" t="s">
        <v>123</v>
      </c>
      <c r="D117" s="1" t="s">
        <v>12</v>
      </c>
      <c r="E117" s="1" t="s">
        <v>40</v>
      </c>
      <c r="F117" s="1">
        <v>1541.6174599999999</v>
      </c>
    </row>
    <row r="118" spans="1:6" ht="14.25" customHeight="1" x14ac:dyDescent="0.3">
      <c r="A118" s="1">
        <v>48072</v>
      </c>
      <c r="B118" s="1" t="s">
        <v>7</v>
      </c>
      <c r="C118" s="1" t="s">
        <v>228</v>
      </c>
      <c r="D118" s="1" t="s">
        <v>12</v>
      </c>
      <c r="E118" s="1" t="s">
        <v>40</v>
      </c>
      <c r="F118" s="1">
        <v>1757.5</v>
      </c>
    </row>
    <row r="119" spans="1:6" ht="14.25" customHeight="1" x14ac:dyDescent="0.3">
      <c r="A119" s="1">
        <v>48225</v>
      </c>
      <c r="B119" s="1" t="s">
        <v>7</v>
      </c>
      <c r="C119" s="1" t="s">
        <v>252</v>
      </c>
      <c r="D119" s="1" t="s">
        <v>12</v>
      </c>
      <c r="E119" s="1" t="s">
        <v>13</v>
      </c>
      <c r="F119" s="1">
        <v>1258.95</v>
      </c>
    </row>
    <row r="120" spans="1:6" ht="14.25" customHeight="1" x14ac:dyDescent="0.3">
      <c r="A120" s="1">
        <v>48034</v>
      </c>
      <c r="B120" s="1" t="s">
        <v>7</v>
      </c>
      <c r="C120" s="1" t="s">
        <v>165</v>
      </c>
      <c r="D120" s="1" t="s">
        <v>12</v>
      </c>
      <c r="E120" s="1" t="s">
        <v>40</v>
      </c>
      <c r="F120" s="1">
        <v>1330</v>
      </c>
    </row>
    <row r="121" spans="1:6" ht="14.25" customHeight="1" x14ac:dyDescent="0.3">
      <c r="A121" s="1">
        <v>49348</v>
      </c>
      <c r="B121" s="1" t="s">
        <v>7</v>
      </c>
      <c r="C121" s="1" t="s">
        <v>258</v>
      </c>
      <c r="D121" s="1" t="s">
        <v>184</v>
      </c>
      <c r="E121" s="1" t="s">
        <v>185</v>
      </c>
      <c r="F121" s="1">
        <v>1451.7777779999999</v>
      </c>
    </row>
    <row r="122" spans="1:6" ht="14.25" customHeight="1" x14ac:dyDescent="0.3">
      <c r="A122" s="1">
        <v>48383</v>
      </c>
      <c r="B122" s="1" t="s">
        <v>7</v>
      </c>
      <c r="C122" s="1" t="s">
        <v>193</v>
      </c>
      <c r="D122" s="1" t="s">
        <v>12</v>
      </c>
      <c r="E122" s="1" t="s">
        <v>40</v>
      </c>
      <c r="F122" s="1">
        <v>1851</v>
      </c>
    </row>
    <row r="123" spans="1:6" ht="14.25" customHeight="1" x14ac:dyDescent="0.3">
      <c r="A123" s="1">
        <v>48017</v>
      </c>
      <c r="B123" s="1" t="s">
        <v>7</v>
      </c>
      <c r="C123" s="1" t="s">
        <v>271</v>
      </c>
      <c r="D123" s="1" t="s">
        <v>12</v>
      </c>
      <c r="E123" s="1" t="s">
        <v>40</v>
      </c>
      <c r="F123" s="1">
        <v>1508.333333</v>
      </c>
    </row>
    <row r="124" spans="1:6" ht="14.25" customHeight="1" x14ac:dyDescent="0.3">
      <c r="A124" s="1">
        <v>48166</v>
      </c>
      <c r="B124" s="1" t="s">
        <v>7</v>
      </c>
      <c r="C124" s="1" t="s">
        <v>274</v>
      </c>
      <c r="D124" s="1" t="s">
        <v>114</v>
      </c>
      <c r="E124" s="1" t="s">
        <v>115</v>
      </c>
      <c r="F124" s="1">
        <v>1110.5873019999999</v>
      </c>
    </row>
    <row r="125" spans="1:6" ht="14.25" customHeight="1" x14ac:dyDescent="0.3">
      <c r="A125" s="1">
        <v>48359</v>
      </c>
      <c r="B125" s="1" t="s">
        <v>7</v>
      </c>
      <c r="C125" s="1" t="s">
        <v>269</v>
      </c>
      <c r="D125" s="1" t="s">
        <v>12</v>
      </c>
      <c r="E125" s="1" t="s">
        <v>40</v>
      </c>
      <c r="F125" s="1">
        <v>1249</v>
      </c>
    </row>
    <row r="126" spans="1:6" ht="14.25" customHeight="1" x14ac:dyDescent="0.3">
      <c r="A126" s="1">
        <v>49007</v>
      </c>
      <c r="B126" s="1" t="s">
        <v>7</v>
      </c>
      <c r="C126" s="1" t="s">
        <v>45</v>
      </c>
      <c r="D126" s="1" t="s">
        <v>46</v>
      </c>
      <c r="E126" s="1" t="s">
        <v>47</v>
      </c>
      <c r="F126" s="1">
        <v>1254.5238099999999</v>
      </c>
    </row>
    <row r="127" spans="1:6" ht="14.25" customHeight="1" x14ac:dyDescent="0.3">
      <c r="A127" s="1">
        <v>48915</v>
      </c>
      <c r="B127" s="1" t="s">
        <v>7</v>
      </c>
      <c r="C127" s="1" t="s">
        <v>53</v>
      </c>
      <c r="D127" s="1" t="s">
        <v>19</v>
      </c>
      <c r="E127" s="1" t="s">
        <v>20</v>
      </c>
      <c r="F127" s="1">
        <v>1175</v>
      </c>
    </row>
    <row r="128" spans="1:6" ht="14.25" customHeight="1" x14ac:dyDescent="0.3">
      <c r="A128" s="1">
        <v>48226</v>
      </c>
      <c r="B128" s="1" t="s">
        <v>7</v>
      </c>
      <c r="C128" s="1" t="s">
        <v>14</v>
      </c>
      <c r="D128" s="1" t="s">
        <v>12</v>
      </c>
      <c r="E128" s="1" t="s">
        <v>13</v>
      </c>
      <c r="F128" s="1">
        <v>1904.1111109999999</v>
      </c>
    </row>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ShowUserForm">
                <anchor moveWithCells="1" sizeWithCells="1">
                  <from>
                    <xdr:col>6</xdr:col>
                    <xdr:colOff>601980</xdr:colOff>
                    <xdr:row>0</xdr:row>
                    <xdr:rowOff>175260</xdr:rowOff>
                  </from>
                  <to>
                    <xdr:col>8</xdr:col>
                    <xdr:colOff>525780</xdr:colOff>
                    <xdr:row>2</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election activeCell="I10" sqref="I10"/>
    </sheetView>
  </sheetViews>
  <sheetFormatPr defaultColWidth="14.44140625" defaultRowHeight="15" customHeight="1" x14ac:dyDescent="0.3"/>
  <cols>
    <col min="1" max="1" width="8.77734375" customWidth="1"/>
    <col min="2" max="2" width="17" customWidth="1"/>
    <col min="3" max="3" width="26.21875" customWidth="1"/>
    <col min="4" max="4" width="17.5546875" customWidth="1"/>
    <col min="5" max="5" width="11.77734375" customWidth="1"/>
    <col min="6" max="6" width="12.5546875" customWidth="1"/>
    <col min="7" max="26" width="8.77734375" customWidth="1"/>
  </cols>
  <sheetData>
    <row r="1" spans="1:26" ht="14.25" customHeight="1" x14ac:dyDescent="0.3"/>
    <row r="2" spans="1:26" ht="14.25" customHeight="1" x14ac:dyDescent="0.3">
      <c r="A2" s="4" t="s">
        <v>840</v>
      </c>
    </row>
    <row r="3" spans="1:26" ht="14.25" customHeight="1" x14ac:dyDescent="0.3"/>
    <row r="4" spans="1:26" ht="14.25" customHeight="1" x14ac:dyDescent="0.3">
      <c r="A4" s="4" t="s">
        <v>0</v>
      </c>
      <c r="B4" s="4" t="s">
        <v>2</v>
      </c>
      <c r="C4" s="4" t="s">
        <v>3</v>
      </c>
      <c r="D4" s="4" t="s">
        <v>4</v>
      </c>
      <c r="E4" s="4" t="s">
        <v>5</v>
      </c>
      <c r="F4" s="4" t="s">
        <v>6</v>
      </c>
      <c r="G4" s="4"/>
      <c r="H4" s="4"/>
      <c r="I4" s="4"/>
      <c r="J4" s="4"/>
      <c r="K4" s="4"/>
      <c r="L4" s="4"/>
      <c r="M4" s="4"/>
      <c r="N4" s="4"/>
      <c r="O4" s="4"/>
      <c r="P4" s="4"/>
      <c r="Q4" s="4"/>
      <c r="R4" s="4"/>
      <c r="S4" s="4"/>
      <c r="T4" s="4"/>
      <c r="U4" s="4"/>
      <c r="V4" s="4"/>
      <c r="W4" s="4"/>
      <c r="X4" s="4"/>
      <c r="Y4" s="4"/>
      <c r="Z4" s="4"/>
    </row>
    <row r="5" spans="1:26" ht="14.25" customHeight="1" x14ac:dyDescent="0.3">
      <c r="A5" s="1">
        <v>48197</v>
      </c>
      <c r="B5" s="1" t="s">
        <v>8</v>
      </c>
      <c r="C5" s="1" t="s">
        <v>9</v>
      </c>
      <c r="D5" s="1" t="s">
        <v>10</v>
      </c>
      <c r="E5" s="5">
        <v>1294.1584250000001</v>
      </c>
      <c r="F5" s="5">
        <v>308132.28440966102</v>
      </c>
    </row>
    <row r="6" spans="1:26" ht="14.25" customHeight="1" x14ac:dyDescent="0.3">
      <c r="A6" s="1">
        <v>48180</v>
      </c>
      <c r="B6" s="1" t="s">
        <v>11</v>
      </c>
      <c r="C6" s="1" t="s">
        <v>12</v>
      </c>
      <c r="D6" s="1" t="s">
        <v>13</v>
      </c>
      <c r="E6" s="5">
        <v>1292.5</v>
      </c>
      <c r="F6" s="5">
        <v>144456.84932324101</v>
      </c>
    </row>
    <row r="7" spans="1:26" ht="14.25" customHeight="1" x14ac:dyDescent="0.3">
      <c r="A7" s="1">
        <v>48228</v>
      </c>
      <c r="B7" s="1" t="s">
        <v>14</v>
      </c>
      <c r="C7" s="1" t="s">
        <v>12</v>
      </c>
      <c r="D7" s="1" t="s">
        <v>13</v>
      </c>
      <c r="E7" s="5">
        <v>1003.965368</v>
      </c>
      <c r="F7" s="5">
        <v>51911.909004460802</v>
      </c>
    </row>
    <row r="8" spans="1:26" ht="14.25" customHeight="1" x14ac:dyDescent="0.3">
      <c r="A8" s="1">
        <v>48103</v>
      </c>
      <c r="B8" s="1" t="s">
        <v>17</v>
      </c>
      <c r="C8" s="1" t="s">
        <v>9</v>
      </c>
      <c r="D8" s="1" t="s">
        <v>10</v>
      </c>
      <c r="E8" s="5">
        <v>2139.9523810000001</v>
      </c>
      <c r="F8" s="5">
        <v>460840.05182310601</v>
      </c>
    </row>
    <row r="9" spans="1:26" ht="14.25" customHeight="1" x14ac:dyDescent="0.3">
      <c r="A9" s="1">
        <v>48823</v>
      </c>
      <c r="B9" s="1" t="s">
        <v>18</v>
      </c>
      <c r="C9" s="1" t="s">
        <v>19</v>
      </c>
      <c r="D9" s="1" t="s">
        <v>20</v>
      </c>
      <c r="E9" s="5">
        <v>1423.583333</v>
      </c>
      <c r="F9" s="5">
        <v>273281.76622000802</v>
      </c>
    </row>
    <row r="10" spans="1:26" ht="14.25" customHeight="1" x14ac:dyDescent="0.3">
      <c r="A10" s="1">
        <v>48187</v>
      </c>
      <c r="B10" s="1" t="s">
        <v>21</v>
      </c>
      <c r="C10" s="1" t="s">
        <v>12</v>
      </c>
      <c r="D10" s="1" t="s">
        <v>13</v>
      </c>
      <c r="E10" s="5">
        <v>1587.333333</v>
      </c>
      <c r="F10" s="5">
        <v>349218.10313556198</v>
      </c>
    </row>
    <row r="11" spans="1:26" ht="14.25" customHeight="1" x14ac:dyDescent="0.3">
      <c r="A11" s="1">
        <v>48126</v>
      </c>
      <c r="B11" s="1" t="s">
        <v>22</v>
      </c>
      <c r="C11" s="1" t="s">
        <v>12</v>
      </c>
      <c r="D11" s="1" t="s">
        <v>13</v>
      </c>
      <c r="E11" s="5">
        <v>1777.555556</v>
      </c>
      <c r="F11" s="5">
        <v>191147.404022856</v>
      </c>
    </row>
    <row r="12" spans="1:26" ht="14.25" customHeight="1" x14ac:dyDescent="0.3">
      <c r="A12" s="1">
        <v>48185</v>
      </c>
      <c r="B12" s="1" t="s">
        <v>29</v>
      </c>
      <c r="C12" s="1" t="s">
        <v>12</v>
      </c>
      <c r="D12" s="1" t="s">
        <v>13</v>
      </c>
      <c r="E12" s="5">
        <v>1159.5888890000001</v>
      </c>
      <c r="F12" s="5">
        <v>196477.55499657299</v>
      </c>
    </row>
    <row r="13" spans="1:26" ht="14.25" customHeight="1" x14ac:dyDescent="0.3">
      <c r="A13" s="1">
        <v>48219</v>
      </c>
      <c r="B13" s="1" t="s">
        <v>14</v>
      </c>
      <c r="C13" s="1" t="s">
        <v>12</v>
      </c>
      <c r="D13" s="1" t="s">
        <v>13</v>
      </c>
      <c r="E13" s="5">
        <v>1087.5</v>
      </c>
      <c r="F13" s="5">
        <v>71905.613954172994</v>
      </c>
    </row>
    <row r="14" spans="1:26" ht="14.25" customHeight="1" x14ac:dyDescent="0.3">
      <c r="A14" s="1">
        <v>48066</v>
      </c>
      <c r="B14" s="1" t="s">
        <v>30</v>
      </c>
      <c r="C14" s="1" t="s">
        <v>12</v>
      </c>
      <c r="D14" s="1" t="s">
        <v>16</v>
      </c>
      <c r="E14" s="5">
        <v>1348.119048</v>
      </c>
      <c r="F14" s="5">
        <v>148884.817590716</v>
      </c>
    </row>
    <row r="15" spans="1:26" ht="14.25" customHeight="1" x14ac:dyDescent="0.3">
      <c r="A15" s="1">
        <v>48235</v>
      </c>
      <c r="B15" s="1" t="s">
        <v>14</v>
      </c>
      <c r="C15" s="1" t="s">
        <v>12</v>
      </c>
      <c r="D15" s="1" t="s">
        <v>13</v>
      </c>
      <c r="E15" s="5">
        <v>1215.2777779999999</v>
      </c>
      <c r="F15" s="5">
        <v>74173.338537788004</v>
      </c>
    </row>
    <row r="16" spans="1:26" ht="14.25" customHeight="1" x14ac:dyDescent="0.3">
      <c r="A16" s="1">
        <v>49424</v>
      </c>
      <c r="B16" s="1" t="s">
        <v>31</v>
      </c>
      <c r="C16" s="1" t="s">
        <v>32</v>
      </c>
      <c r="D16" s="1" t="s">
        <v>33</v>
      </c>
      <c r="E16" s="5">
        <v>1461</v>
      </c>
      <c r="F16" s="5">
        <v>334616.79079342401</v>
      </c>
    </row>
    <row r="17" spans="1:6" ht="14.25" customHeight="1" x14ac:dyDescent="0.3">
      <c r="A17" s="1">
        <v>48439</v>
      </c>
      <c r="B17" s="1" t="s">
        <v>34</v>
      </c>
      <c r="C17" s="1" t="s">
        <v>35</v>
      </c>
      <c r="D17" s="1" t="s">
        <v>36</v>
      </c>
      <c r="E17" s="5">
        <v>1917.833333</v>
      </c>
      <c r="F17" s="5">
        <v>261882.75318748</v>
      </c>
    </row>
    <row r="18" spans="1:6" ht="14.25" customHeight="1" x14ac:dyDescent="0.3">
      <c r="A18" s="1">
        <v>49423</v>
      </c>
      <c r="B18" s="1" t="s">
        <v>31</v>
      </c>
      <c r="C18" s="1" t="s">
        <v>32</v>
      </c>
      <c r="D18" s="1" t="s">
        <v>33</v>
      </c>
      <c r="E18" s="5">
        <v>1078.75</v>
      </c>
      <c r="F18" s="5">
        <v>284766.01546370098</v>
      </c>
    </row>
    <row r="19" spans="1:6" ht="14.25" customHeight="1" x14ac:dyDescent="0.3">
      <c r="A19" s="1">
        <v>48104</v>
      </c>
      <c r="B19" s="1" t="s">
        <v>17</v>
      </c>
      <c r="C19" s="1" t="s">
        <v>9</v>
      </c>
      <c r="D19" s="1" t="s">
        <v>10</v>
      </c>
      <c r="E19" s="5">
        <v>3481.1957069999999</v>
      </c>
      <c r="F19" s="5">
        <v>522134.80945018801</v>
      </c>
    </row>
    <row r="20" spans="1:6" ht="14.25" customHeight="1" x14ac:dyDescent="0.3">
      <c r="A20" s="1">
        <v>48843</v>
      </c>
      <c r="B20" s="1" t="s">
        <v>37</v>
      </c>
      <c r="C20" s="1" t="s">
        <v>12</v>
      </c>
      <c r="D20" s="1" t="s">
        <v>38</v>
      </c>
      <c r="E20" s="5">
        <v>1950.75</v>
      </c>
      <c r="F20" s="5">
        <v>354450.29503696098</v>
      </c>
    </row>
    <row r="21" spans="1:6" ht="14.25" customHeight="1" x14ac:dyDescent="0.3">
      <c r="A21" s="1">
        <v>48307</v>
      </c>
      <c r="B21" s="1" t="s">
        <v>39</v>
      </c>
      <c r="C21" s="1" t="s">
        <v>12</v>
      </c>
      <c r="D21" s="1" t="s">
        <v>40</v>
      </c>
      <c r="E21" s="5">
        <v>1686.3888890000001</v>
      </c>
      <c r="F21" s="5">
        <v>386799.83807291201</v>
      </c>
    </row>
    <row r="22" spans="1:6" ht="14.25" customHeight="1" x14ac:dyDescent="0.3">
      <c r="A22" s="1">
        <v>48310</v>
      </c>
      <c r="B22" s="1" t="s">
        <v>41</v>
      </c>
      <c r="C22" s="1" t="s">
        <v>12</v>
      </c>
      <c r="D22" s="1" t="s">
        <v>16</v>
      </c>
      <c r="E22" s="5">
        <v>1787.333333</v>
      </c>
      <c r="F22" s="5">
        <v>277870.76621032902</v>
      </c>
    </row>
    <row r="23" spans="1:6" ht="14.25" customHeight="1" x14ac:dyDescent="0.3">
      <c r="A23" s="1">
        <v>49442</v>
      </c>
      <c r="B23" s="1" t="s">
        <v>42</v>
      </c>
      <c r="C23" s="1" t="s">
        <v>43</v>
      </c>
      <c r="D23" s="1" t="s">
        <v>44</v>
      </c>
      <c r="E23" s="5">
        <v>1110.5</v>
      </c>
      <c r="F23" s="5">
        <v>140595.20148828599</v>
      </c>
    </row>
    <row r="24" spans="1:6" ht="14.25" customHeight="1" x14ac:dyDescent="0.3">
      <c r="A24" s="1">
        <v>49009</v>
      </c>
      <c r="B24" s="1" t="s">
        <v>45</v>
      </c>
      <c r="C24" s="1" t="s">
        <v>46</v>
      </c>
      <c r="D24" s="1" t="s">
        <v>47</v>
      </c>
      <c r="E24" s="5">
        <v>1171.3499999999999</v>
      </c>
      <c r="F24" s="5">
        <v>337646.48776206101</v>
      </c>
    </row>
    <row r="25" spans="1:6" ht="14.25" customHeight="1" x14ac:dyDescent="0.3">
      <c r="A25" s="1">
        <v>48224</v>
      </c>
      <c r="B25" s="1" t="s">
        <v>14</v>
      </c>
      <c r="C25" s="1" t="s">
        <v>12</v>
      </c>
      <c r="D25" s="1" t="s">
        <v>13</v>
      </c>
      <c r="E25" s="5">
        <v>1131.7316020000001</v>
      </c>
      <c r="F25" s="5">
        <v>69430.475806403498</v>
      </c>
    </row>
    <row r="26" spans="1:6" ht="14.25" customHeight="1" x14ac:dyDescent="0.3">
      <c r="A26" s="1">
        <v>48188</v>
      </c>
      <c r="B26" s="1" t="s">
        <v>21</v>
      </c>
      <c r="C26" s="1" t="s">
        <v>12</v>
      </c>
      <c r="D26" s="1" t="s">
        <v>13</v>
      </c>
      <c r="E26" s="5">
        <v>1800.7944440000001</v>
      </c>
      <c r="F26" s="5">
        <v>400386.22997990402</v>
      </c>
    </row>
    <row r="27" spans="1:6" ht="14.25" customHeight="1" x14ac:dyDescent="0.3">
      <c r="A27" s="1">
        <v>48183</v>
      </c>
      <c r="B27" s="1" t="s">
        <v>48</v>
      </c>
      <c r="C27" s="1" t="s">
        <v>12</v>
      </c>
      <c r="D27" s="1" t="s">
        <v>13</v>
      </c>
      <c r="E27" s="5">
        <v>1598.1111109999999</v>
      </c>
      <c r="F27" s="5">
        <v>227304.19453739701</v>
      </c>
    </row>
    <row r="28" spans="1:6" ht="14.25" customHeight="1" x14ac:dyDescent="0.3">
      <c r="A28" s="1">
        <v>48038</v>
      </c>
      <c r="B28" s="1" t="s">
        <v>49</v>
      </c>
      <c r="C28" s="1" t="s">
        <v>12</v>
      </c>
      <c r="D28" s="1" t="s">
        <v>16</v>
      </c>
      <c r="E28" s="5">
        <v>1301.75</v>
      </c>
      <c r="F28" s="5">
        <v>300291.63964488101</v>
      </c>
    </row>
    <row r="29" spans="1:6" ht="14.25" customHeight="1" x14ac:dyDescent="0.3">
      <c r="A29" s="1">
        <v>48111</v>
      </c>
      <c r="B29" s="1" t="s">
        <v>50</v>
      </c>
      <c r="C29" s="1" t="s">
        <v>12</v>
      </c>
      <c r="D29" s="1" t="s">
        <v>13</v>
      </c>
      <c r="E29" s="5">
        <v>1221.1111109999999</v>
      </c>
      <c r="F29" s="5">
        <v>262607.22622710798</v>
      </c>
    </row>
    <row r="30" spans="1:6" ht="14.25" customHeight="1" x14ac:dyDescent="0.3">
      <c r="A30" s="1">
        <v>48227</v>
      </c>
      <c r="B30" s="1" t="s">
        <v>14</v>
      </c>
      <c r="C30" s="1" t="s">
        <v>12</v>
      </c>
      <c r="D30" s="1" t="s">
        <v>13</v>
      </c>
      <c r="E30" s="5">
        <v>1106.5740740000001</v>
      </c>
      <c r="F30" s="5">
        <v>53426.7195732619</v>
      </c>
    </row>
    <row r="31" spans="1:6" ht="14.25" customHeight="1" x14ac:dyDescent="0.3">
      <c r="A31" s="1">
        <v>48221</v>
      </c>
      <c r="B31" s="1" t="s">
        <v>14</v>
      </c>
      <c r="C31" s="1" t="s">
        <v>12</v>
      </c>
      <c r="D31" s="1" t="s">
        <v>13</v>
      </c>
      <c r="E31" s="5">
        <v>1318.666667</v>
      </c>
      <c r="F31" s="5">
        <v>121055.42904774001</v>
      </c>
    </row>
    <row r="32" spans="1:6" ht="14.25" customHeight="1" x14ac:dyDescent="0.3">
      <c r="A32" s="1">
        <v>48911</v>
      </c>
      <c r="B32" s="1" t="s">
        <v>53</v>
      </c>
      <c r="C32" s="1" t="s">
        <v>19</v>
      </c>
      <c r="D32" s="1" t="s">
        <v>20</v>
      </c>
      <c r="E32" s="5">
        <v>1142.333333</v>
      </c>
      <c r="F32" s="5">
        <v>135423.584013771</v>
      </c>
    </row>
    <row r="33" spans="1:6" ht="14.25" customHeight="1" x14ac:dyDescent="0.3">
      <c r="A33" s="1">
        <v>48170</v>
      </c>
      <c r="B33" s="1" t="s">
        <v>57</v>
      </c>
      <c r="C33" s="1" t="s">
        <v>12</v>
      </c>
      <c r="D33" s="1" t="s">
        <v>13</v>
      </c>
      <c r="E33" s="5">
        <v>1563</v>
      </c>
      <c r="F33" s="5">
        <v>417891.42041844199</v>
      </c>
    </row>
    <row r="34" spans="1:6" ht="14.25" customHeight="1" x14ac:dyDescent="0.3">
      <c r="A34" s="1">
        <v>49504</v>
      </c>
      <c r="B34" s="1" t="s">
        <v>64</v>
      </c>
      <c r="C34" s="1" t="s">
        <v>32</v>
      </c>
      <c r="D34" s="1" t="s">
        <v>52</v>
      </c>
      <c r="E34" s="5">
        <v>1497.487179</v>
      </c>
      <c r="F34" s="5">
        <v>237449.929711376</v>
      </c>
    </row>
    <row r="35" spans="1:6" ht="14.25" customHeight="1" x14ac:dyDescent="0.3">
      <c r="A35" s="1">
        <v>48198</v>
      </c>
      <c r="B35" s="1" t="s">
        <v>888</v>
      </c>
      <c r="C35" s="1" t="s">
        <v>9</v>
      </c>
      <c r="D35" s="1" t="s">
        <v>10</v>
      </c>
      <c r="E35" s="5">
        <v>1242.555556</v>
      </c>
      <c r="F35" s="5">
        <v>189350.57895318899</v>
      </c>
    </row>
    <row r="36" spans="1:6" ht="14.25" customHeight="1" x14ac:dyDescent="0.3">
      <c r="A36" s="1">
        <v>48105</v>
      </c>
      <c r="B36" s="1" t="s">
        <v>17</v>
      </c>
      <c r="C36" s="1" t="s">
        <v>9</v>
      </c>
      <c r="D36" s="1" t="s">
        <v>10</v>
      </c>
      <c r="E36" s="5">
        <v>2004.866667</v>
      </c>
      <c r="F36" s="5">
        <v>516425.402275133</v>
      </c>
    </row>
    <row r="37" spans="1:6" ht="14.25" customHeight="1" x14ac:dyDescent="0.3">
      <c r="A37" s="1">
        <v>49507</v>
      </c>
      <c r="B37" s="1" t="s">
        <v>64</v>
      </c>
      <c r="C37" s="1" t="s">
        <v>32</v>
      </c>
      <c r="D37" s="1" t="s">
        <v>52</v>
      </c>
      <c r="E37" s="5">
        <v>1471.1785709999999</v>
      </c>
      <c r="F37" s="5">
        <v>192020.518194576</v>
      </c>
    </row>
    <row r="38" spans="1:6" ht="14.25" customHeight="1" x14ac:dyDescent="0.3">
      <c r="A38" s="1">
        <v>48430</v>
      </c>
      <c r="B38" s="1" t="s">
        <v>65</v>
      </c>
      <c r="C38" s="1" t="s">
        <v>35</v>
      </c>
      <c r="D38" s="1" t="s">
        <v>36</v>
      </c>
      <c r="E38" s="5">
        <v>1477.25</v>
      </c>
      <c r="F38" s="5">
        <v>329554.21385650098</v>
      </c>
    </row>
    <row r="39" spans="1:6" ht="14.25" customHeight="1" x14ac:dyDescent="0.3">
      <c r="A39" s="1">
        <v>48212</v>
      </c>
      <c r="B39" s="1" t="s">
        <v>66</v>
      </c>
      <c r="C39" s="1" t="s">
        <v>12</v>
      </c>
      <c r="D39" s="1" t="s">
        <v>13</v>
      </c>
      <c r="E39" s="5">
        <v>1040.166667</v>
      </c>
      <c r="F39" s="5">
        <v>94542.440729063193</v>
      </c>
    </row>
    <row r="40" spans="1:6" ht="14.25" customHeight="1" x14ac:dyDescent="0.3">
      <c r="A40" s="1">
        <v>49503</v>
      </c>
      <c r="B40" s="1" t="s">
        <v>64</v>
      </c>
      <c r="C40" s="1" t="s">
        <v>32</v>
      </c>
      <c r="D40" s="1" t="s">
        <v>52</v>
      </c>
      <c r="E40" s="5">
        <v>1430.7326009999999</v>
      </c>
      <c r="F40" s="5">
        <v>227043.28216727401</v>
      </c>
    </row>
    <row r="41" spans="1:6" ht="14.25" customHeight="1" x14ac:dyDescent="0.3">
      <c r="A41" s="1">
        <v>48146</v>
      </c>
      <c r="B41" s="1" t="s">
        <v>67</v>
      </c>
      <c r="C41" s="1" t="s">
        <v>12</v>
      </c>
      <c r="D41" s="1" t="s">
        <v>13</v>
      </c>
      <c r="E41" s="5">
        <v>1210</v>
      </c>
      <c r="F41" s="5">
        <v>122430.00108183001</v>
      </c>
    </row>
    <row r="42" spans="1:6" ht="14.25" customHeight="1" x14ac:dyDescent="0.3">
      <c r="A42" s="1">
        <v>48127</v>
      </c>
      <c r="B42" s="1" t="s">
        <v>73</v>
      </c>
      <c r="C42" s="1" t="s">
        <v>12</v>
      </c>
      <c r="D42" s="1" t="s">
        <v>13</v>
      </c>
      <c r="E42" s="5">
        <v>1564.916667</v>
      </c>
      <c r="F42" s="5">
        <v>216145.61316256499</v>
      </c>
    </row>
    <row r="43" spans="1:6" ht="14.25" customHeight="1" x14ac:dyDescent="0.3">
      <c r="A43" s="1">
        <v>48035</v>
      </c>
      <c r="B43" s="1" t="s">
        <v>49</v>
      </c>
      <c r="C43" s="1" t="s">
        <v>12</v>
      </c>
      <c r="D43" s="1" t="s">
        <v>16</v>
      </c>
      <c r="E43" s="5">
        <v>1174.166667</v>
      </c>
      <c r="F43" s="5">
        <v>189359.57600907501</v>
      </c>
    </row>
    <row r="44" spans="1:6" ht="14.25" customHeight="1" x14ac:dyDescent="0.3">
      <c r="A44" s="1">
        <v>48910</v>
      </c>
      <c r="B44" s="1" t="s">
        <v>53</v>
      </c>
      <c r="C44" s="1" t="s">
        <v>19</v>
      </c>
      <c r="D44" s="1" t="s">
        <v>20</v>
      </c>
      <c r="E44" s="5">
        <v>1038.333333</v>
      </c>
      <c r="F44" s="5">
        <v>107061.243148557</v>
      </c>
    </row>
    <row r="45" spans="1:6" ht="14.25" customHeight="1" x14ac:dyDescent="0.3">
      <c r="A45" s="1">
        <v>49203</v>
      </c>
      <c r="B45" s="1" t="s">
        <v>26</v>
      </c>
      <c r="C45" s="1" t="s">
        <v>27</v>
      </c>
      <c r="D45" s="1" t="s">
        <v>28</v>
      </c>
      <c r="E45" s="5">
        <v>1068.125</v>
      </c>
      <c r="F45" s="5">
        <v>134232.99317909699</v>
      </c>
    </row>
    <row r="46" spans="1:6" ht="14.25" customHeight="1" x14ac:dyDescent="0.3">
      <c r="A46" s="1">
        <v>49441</v>
      </c>
      <c r="B46" s="1" t="s">
        <v>76</v>
      </c>
      <c r="C46" s="1" t="s">
        <v>43</v>
      </c>
      <c r="D46" s="1" t="s">
        <v>44</v>
      </c>
      <c r="E46" s="5">
        <v>1104.166667</v>
      </c>
      <c r="F46" s="5">
        <v>203647.607783908</v>
      </c>
    </row>
    <row r="47" spans="1:6" ht="14.25" customHeight="1" x14ac:dyDescent="0.3">
      <c r="A47" s="1">
        <v>48239</v>
      </c>
      <c r="B47" s="1" t="s">
        <v>80</v>
      </c>
      <c r="C47" s="1" t="s">
        <v>12</v>
      </c>
      <c r="D47" s="1" t="s">
        <v>13</v>
      </c>
      <c r="E47" s="5">
        <v>1358.333333</v>
      </c>
      <c r="F47" s="5">
        <v>153148.44685108101</v>
      </c>
    </row>
    <row r="48" spans="1:6" ht="14.25" customHeight="1" x14ac:dyDescent="0.3">
      <c r="A48" s="1">
        <v>48312</v>
      </c>
      <c r="B48" s="1" t="s">
        <v>41</v>
      </c>
      <c r="C48" s="1" t="s">
        <v>12</v>
      </c>
      <c r="D48" s="1" t="s">
        <v>16</v>
      </c>
      <c r="E48" s="5">
        <v>1516.1111109999999</v>
      </c>
      <c r="F48" s="5">
        <v>263749.64520379301</v>
      </c>
    </row>
    <row r="49" spans="1:6" ht="14.25" customHeight="1" x14ac:dyDescent="0.3">
      <c r="A49" s="1">
        <v>49506</v>
      </c>
      <c r="B49" s="1" t="s">
        <v>81</v>
      </c>
      <c r="C49" s="1" t="s">
        <v>32</v>
      </c>
      <c r="D49" s="1" t="s">
        <v>52</v>
      </c>
      <c r="E49" s="5">
        <v>1700.083333</v>
      </c>
      <c r="F49" s="5">
        <v>359010.64433356002</v>
      </c>
    </row>
    <row r="50" spans="1:6" ht="14.25" customHeight="1" x14ac:dyDescent="0.3">
      <c r="A50" s="1">
        <v>48205</v>
      </c>
      <c r="B50" s="1" t="s">
        <v>14</v>
      </c>
      <c r="C50" s="1" t="s">
        <v>12</v>
      </c>
      <c r="D50" s="1" t="s">
        <v>13</v>
      </c>
      <c r="E50" s="5">
        <v>1181.746032</v>
      </c>
      <c r="F50" s="5">
        <v>45779.440971240903</v>
      </c>
    </row>
    <row r="51" spans="1:6" ht="14.25" customHeight="1" x14ac:dyDescent="0.3">
      <c r="A51" s="1">
        <v>48073</v>
      </c>
      <c r="B51" s="1" t="s">
        <v>82</v>
      </c>
      <c r="C51" s="1" t="s">
        <v>12</v>
      </c>
      <c r="D51" s="1" t="s">
        <v>40</v>
      </c>
      <c r="E51" s="5">
        <v>1935.9126980000001</v>
      </c>
      <c r="F51" s="5">
        <v>296987.24229826598</v>
      </c>
    </row>
    <row r="52" spans="1:6" ht="14.25" customHeight="1" x14ac:dyDescent="0.3">
      <c r="A52" s="1">
        <v>48186</v>
      </c>
      <c r="B52" s="1" t="s">
        <v>29</v>
      </c>
      <c r="C52" s="1" t="s">
        <v>12</v>
      </c>
      <c r="D52" s="1" t="s">
        <v>13</v>
      </c>
      <c r="E52" s="5">
        <v>1137.25</v>
      </c>
      <c r="F52" s="5">
        <v>162634.440022328</v>
      </c>
    </row>
    <row r="53" spans="1:6" ht="14.25" customHeight="1" x14ac:dyDescent="0.3">
      <c r="A53" s="1">
        <v>48234</v>
      </c>
      <c r="B53" s="1" t="s">
        <v>14</v>
      </c>
      <c r="C53" s="1" t="s">
        <v>12</v>
      </c>
      <c r="D53" s="1" t="s">
        <v>13</v>
      </c>
      <c r="E53" s="5">
        <v>1173.6111109999999</v>
      </c>
      <c r="F53" s="5">
        <v>43294.780625625601</v>
      </c>
    </row>
    <row r="54" spans="1:6" ht="14.25" customHeight="1" x14ac:dyDescent="0.3">
      <c r="A54" s="1">
        <v>49505</v>
      </c>
      <c r="B54" s="1" t="s">
        <v>64</v>
      </c>
      <c r="C54" s="1" t="s">
        <v>32</v>
      </c>
      <c r="D54" s="1" t="s">
        <v>52</v>
      </c>
      <c r="E54" s="5">
        <v>1698.74359</v>
      </c>
      <c r="F54" s="5">
        <v>244776.11357790601</v>
      </c>
    </row>
    <row r="55" spans="1:6" ht="14.25" customHeight="1" x14ac:dyDescent="0.3">
      <c r="A55" s="1">
        <v>48021</v>
      </c>
      <c r="B55" s="1" t="s">
        <v>83</v>
      </c>
      <c r="C55" s="1" t="s">
        <v>12</v>
      </c>
      <c r="D55" s="1" t="s">
        <v>16</v>
      </c>
      <c r="E55" s="5">
        <v>1286.857143</v>
      </c>
      <c r="F55" s="5">
        <v>135179.47792579199</v>
      </c>
    </row>
    <row r="56" spans="1:6" ht="14.25" customHeight="1" x14ac:dyDescent="0.3">
      <c r="A56" s="1">
        <v>48322</v>
      </c>
      <c r="B56" s="1" t="s">
        <v>84</v>
      </c>
      <c r="C56" s="1" t="s">
        <v>12</v>
      </c>
      <c r="D56" s="1" t="s">
        <v>40</v>
      </c>
      <c r="E56" s="5">
        <v>2312.666667</v>
      </c>
      <c r="F56" s="5">
        <v>408090.75359510398</v>
      </c>
    </row>
    <row r="57" spans="1:6" ht="14.25" customHeight="1" x14ac:dyDescent="0.3">
      <c r="A57" s="1">
        <v>48917</v>
      </c>
      <c r="B57" s="1" t="s">
        <v>53</v>
      </c>
      <c r="C57" s="1" t="s">
        <v>19</v>
      </c>
      <c r="D57" s="1" t="s">
        <v>88</v>
      </c>
      <c r="E57" s="5">
        <v>1499.4666669999999</v>
      </c>
      <c r="F57" s="5">
        <v>219360.441567412</v>
      </c>
    </row>
    <row r="58" spans="1:6" ht="14.25" customHeight="1" x14ac:dyDescent="0.3">
      <c r="A58" s="1">
        <v>49417</v>
      </c>
      <c r="B58" s="1" t="s">
        <v>94</v>
      </c>
      <c r="C58" s="1" t="s">
        <v>32</v>
      </c>
      <c r="D58" s="1" t="s">
        <v>33</v>
      </c>
      <c r="E58" s="5">
        <v>1341.833333</v>
      </c>
      <c r="F58" s="5">
        <v>336219.11613828299</v>
      </c>
    </row>
    <row r="59" spans="1:6" ht="14.25" customHeight="1" x14ac:dyDescent="0.3">
      <c r="A59" s="1">
        <v>48089</v>
      </c>
      <c r="B59" s="1" t="s">
        <v>95</v>
      </c>
      <c r="C59" s="1" t="s">
        <v>12</v>
      </c>
      <c r="D59" s="1" t="s">
        <v>16</v>
      </c>
      <c r="E59" s="5">
        <v>1286.9882150000001</v>
      </c>
      <c r="F59" s="5">
        <v>106507.706871546</v>
      </c>
    </row>
    <row r="60" spans="1:6" ht="14.25" customHeight="1" x14ac:dyDescent="0.3">
      <c r="A60" s="1">
        <v>48642</v>
      </c>
      <c r="B60" s="1" t="s">
        <v>91</v>
      </c>
      <c r="C60" s="1" t="s">
        <v>92</v>
      </c>
      <c r="D60" s="1" t="s">
        <v>93</v>
      </c>
      <c r="E60" s="5">
        <v>1640.333333</v>
      </c>
      <c r="F60" s="5">
        <v>203348.645656067</v>
      </c>
    </row>
    <row r="61" spans="1:6" ht="14.25" customHeight="1" x14ac:dyDescent="0.3">
      <c r="A61" s="1">
        <v>48507</v>
      </c>
      <c r="B61" s="1" t="s">
        <v>99</v>
      </c>
      <c r="C61" s="1" t="s">
        <v>35</v>
      </c>
      <c r="D61" s="1" t="s">
        <v>36</v>
      </c>
      <c r="E61" s="5">
        <v>814.72222220000003</v>
      </c>
      <c r="F61" s="5">
        <v>84955.440533019093</v>
      </c>
    </row>
    <row r="62" spans="1:6" ht="14.25" customHeight="1" x14ac:dyDescent="0.3">
      <c r="A62" s="1">
        <v>48071</v>
      </c>
      <c r="B62" s="1" t="s">
        <v>100</v>
      </c>
      <c r="C62" s="1" t="s">
        <v>12</v>
      </c>
      <c r="D62" s="1" t="s">
        <v>40</v>
      </c>
      <c r="E62" s="5">
        <v>1394.166667</v>
      </c>
      <c r="F62" s="5">
        <v>191742.55999785301</v>
      </c>
    </row>
    <row r="63" spans="1:6" ht="14.25" customHeight="1" x14ac:dyDescent="0.3">
      <c r="A63" s="1">
        <v>48091</v>
      </c>
      <c r="B63" s="1" t="s">
        <v>95</v>
      </c>
      <c r="C63" s="1" t="s">
        <v>12</v>
      </c>
      <c r="D63" s="1" t="s">
        <v>16</v>
      </c>
      <c r="E63" s="5">
        <v>1282.9761900000001</v>
      </c>
      <c r="F63" s="5">
        <v>137685.38007520299</v>
      </c>
    </row>
    <row r="64" spans="1:6" ht="14.25" customHeight="1" x14ac:dyDescent="0.3">
      <c r="A64" s="1">
        <v>49525</v>
      </c>
      <c r="B64" s="1" t="s">
        <v>64</v>
      </c>
      <c r="C64" s="1" t="s">
        <v>32</v>
      </c>
      <c r="D64" s="1" t="s">
        <v>52</v>
      </c>
      <c r="E64" s="5">
        <v>2097.5</v>
      </c>
      <c r="F64" s="5">
        <v>303273.83023073402</v>
      </c>
    </row>
    <row r="65" spans="1:6" ht="14.25" customHeight="1" x14ac:dyDescent="0.3">
      <c r="A65" s="1">
        <v>48237</v>
      </c>
      <c r="B65" s="1" t="s">
        <v>103</v>
      </c>
      <c r="C65" s="1" t="s">
        <v>12</v>
      </c>
      <c r="D65" s="1" t="s">
        <v>40</v>
      </c>
      <c r="E65" s="5">
        <v>1463</v>
      </c>
      <c r="F65" s="5">
        <v>202075.19452045599</v>
      </c>
    </row>
    <row r="66" spans="1:6" ht="14.25" customHeight="1" x14ac:dyDescent="0.3">
      <c r="A66" s="1">
        <v>48195</v>
      </c>
      <c r="B66" s="1" t="s">
        <v>104</v>
      </c>
      <c r="C66" s="1" t="s">
        <v>12</v>
      </c>
      <c r="D66" s="1" t="s">
        <v>13</v>
      </c>
      <c r="E66" s="5">
        <v>1697.333333</v>
      </c>
      <c r="F66" s="5">
        <v>164230.14534908501</v>
      </c>
    </row>
    <row r="67" spans="1:6" ht="14.25" customHeight="1" x14ac:dyDescent="0.3">
      <c r="A67" s="1">
        <v>48506</v>
      </c>
      <c r="B67" s="1" t="s">
        <v>889</v>
      </c>
      <c r="C67" s="1" t="s">
        <v>35</v>
      </c>
      <c r="D67" s="1" t="s">
        <v>36</v>
      </c>
      <c r="E67" s="5">
        <v>868.5</v>
      </c>
      <c r="F67" s="5">
        <v>57262.9306294138</v>
      </c>
    </row>
    <row r="68" spans="1:6" ht="14.25" customHeight="1" x14ac:dyDescent="0.3">
      <c r="A68" s="1">
        <v>49024</v>
      </c>
      <c r="B68" s="1" t="s">
        <v>106</v>
      </c>
      <c r="C68" s="1" t="s">
        <v>46</v>
      </c>
      <c r="D68" s="1" t="s">
        <v>47</v>
      </c>
      <c r="E68" s="5">
        <v>1867.5</v>
      </c>
      <c r="F68" s="5">
        <v>263585.14089259802</v>
      </c>
    </row>
    <row r="69" spans="1:6" ht="14.25" customHeight="1" x14ac:dyDescent="0.3">
      <c r="A69" s="1">
        <v>49519</v>
      </c>
      <c r="B69" s="1" t="s">
        <v>107</v>
      </c>
      <c r="C69" s="1" t="s">
        <v>32</v>
      </c>
      <c r="D69" s="1" t="s">
        <v>52</v>
      </c>
      <c r="E69" s="5">
        <v>1285</v>
      </c>
      <c r="F69" s="5">
        <v>250438.83688627201</v>
      </c>
    </row>
    <row r="70" spans="1:6" ht="14.25" customHeight="1" x14ac:dyDescent="0.3">
      <c r="A70" s="1">
        <v>48317</v>
      </c>
      <c r="B70" s="1" t="s">
        <v>108</v>
      </c>
      <c r="C70" s="1" t="s">
        <v>12</v>
      </c>
      <c r="D70" s="1" t="s">
        <v>16</v>
      </c>
      <c r="E70" s="5">
        <v>1306.555556</v>
      </c>
      <c r="F70" s="5">
        <v>256564.12850270499</v>
      </c>
    </row>
    <row r="71" spans="1:6" ht="14.25" customHeight="1" x14ac:dyDescent="0.3">
      <c r="A71" s="1">
        <v>48504</v>
      </c>
      <c r="B71" s="1" t="s">
        <v>99</v>
      </c>
      <c r="C71" s="1" t="s">
        <v>35</v>
      </c>
      <c r="D71" s="1" t="s">
        <v>36</v>
      </c>
      <c r="E71" s="5">
        <v>890</v>
      </c>
      <c r="F71" s="5">
        <v>35867.727506732102</v>
      </c>
    </row>
    <row r="72" spans="1:6" ht="14.25" customHeight="1" x14ac:dyDescent="0.3">
      <c r="A72" s="1">
        <v>49006</v>
      </c>
      <c r="B72" s="1" t="s">
        <v>45</v>
      </c>
      <c r="C72" s="1" t="s">
        <v>46</v>
      </c>
      <c r="D72" s="1" t="s">
        <v>47</v>
      </c>
      <c r="E72" s="5">
        <v>1783.333333</v>
      </c>
      <c r="F72" s="5">
        <v>210486.558746775</v>
      </c>
    </row>
    <row r="73" spans="1:6" ht="14.25" customHeight="1" x14ac:dyDescent="0.3">
      <c r="A73" s="1">
        <v>48108</v>
      </c>
      <c r="B73" s="1" t="s">
        <v>17</v>
      </c>
      <c r="C73" s="1" t="s">
        <v>9</v>
      </c>
      <c r="D73" s="1" t="s">
        <v>10</v>
      </c>
      <c r="E73" s="5">
        <v>1760</v>
      </c>
      <c r="F73" s="5">
        <v>408161.10457399703</v>
      </c>
    </row>
    <row r="74" spans="1:6" ht="14.25" customHeight="1" x14ac:dyDescent="0.3">
      <c r="A74" s="1">
        <v>49015</v>
      </c>
      <c r="B74" s="1" t="s">
        <v>117</v>
      </c>
      <c r="C74" s="1" t="s">
        <v>118</v>
      </c>
      <c r="D74" s="1" t="s">
        <v>119</v>
      </c>
      <c r="E74" s="5">
        <v>1036.444444</v>
      </c>
      <c r="F74" s="5">
        <v>165151.603118053</v>
      </c>
    </row>
    <row r="75" spans="1:6" ht="14.25" customHeight="1" x14ac:dyDescent="0.3">
      <c r="A75" s="1">
        <v>49444</v>
      </c>
      <c r="B75" s="1" t="s">
        <v>76</v>
      </c>
      <c r="C75" s="1" t="s">
        <v>43</v>
      </c>
      <c r="D75" s="1" t="s">
        <v>44</v>
      </c>
      <c r="E75" s="5">
        <v>787.5</v>
      </c>
      <c r="F75" s="5">
        <v>124369.13084090099</v>
      </c>
    </row>
    <row r="76" spans="1:6" ht="14.25" customHeight="1" x14ac:dyDescent="0.3">
      <c r="A76" s="1">
        <v>48161</v>
      </c>
      <c r="B76" s="1" t="s">
        <v>113</v>
      </c>
      <c r="C76" s="1" t="s">
        <v>114</v>
      </c>
      <c r="D76" s="1" t="s">
        <v>115</v>
      </c>
      <c r="E76" s="5">
        <v>1165.833333</v>
      </c>
      <c r="F76" s="5">
        <v>171960.864100279</v>
      </c>
    </row>
    <row r="77" spans="1:6" ht="14.25" customHeight="1" x14ac:dyDescent="0.3">
      <c r="A77" s="1">
        <v>48085</v>
      </c>
      <c r="B77" s="1" t="s">
        <v>123</v>
      </c>
      <c r="C77" s="1" t="s">
        <v>12</v>
      </c>
      <c r="D77" s="1" t="s">
        <v>40</v>
      </c>
      <c r="E77" s="5">
        <v>2475</v>
      </c>
      <c r="F77" s="5">
        <v>390031.51114245597</v>
      </c>
    </row>
    <row r="78" spans="1:6" ht="14.25" customHeight="1" x14ac:dyDescent="0.3">
      <c r="A78" s="1">
        <v>48092</v>
      </c>
      <c r="B78" s="1" t="s">
        <v>95</v>
      </c>
      <c r="C78" s="1" t="s">
        <v>12</v>
      </c>
      <c r="D78" s="1" t="s">
        <v>16</v>
      </c>
      <c r="E78" s="5">
        <v>1750</v>
      </c>
      <c r="F78" s="5">
        <v>217057.556133153</v>
      </c>
    </row>
    <row r="79" spans="1:6" ht="14.25" customHeight="1" x14ac:dyDescent="0.3">
      <c r="A79" s="1">
        <v>48503</v>
      </c>
      <c r="B79" s="1" t="s">
        <v>99</v>
      </c>
      <c r="C79" s="1" t="s">
        <v>35</v>
      </c>
      <c r="D79" s="1" t="s">
        <v>36</v>
      </c>
      <c r="E79" s="5">
        <v>765.55555560000005</v>
      </c>
      <c r="F79" s="5">
        <v>54398.477718802002</v>
      </c>
    </row>
    <row r="80" spans="1:6" ht="14.25" customHeight="1" x14ac:dyDescent="0.3">
      <c r="A80" s="1">
        <v>48238</v>
      </c>
      <c r="B80" s="1" t="s">
        <v>14</v>
      </c>
      <c r="C80" s="1" t="s">
        <v>12</v>
      </c>
      <c r="D80" s="1" t="s">
        <v>13</v>
      </c>
      <c r="E80" s="5">
        <v>1004.722222</v>
      </c>
      <c r="F80" s="5">
        <v>42809.804725090398</v>
      </c>
    </row>
    <row r="81" spans="1:6" ht="14.25" customHeight="1" x14ac:dyDescent="0.3">
      <c r="A81" s="1">
        <v>48340</v>
      </c>
      <c r="B81" s="1" t="s">
        <v>128</v>
      </c>
      <c r="C81" s="1" t="s">
        <v>12</v>
      </c>
      <c r="D81" s="1" t="s">
        <v>40</v>
      </c>
      <c r="E81" s="5">
        <v>1111.944444</v>
      </c>
      <c r="F81" s="5">
        <v>106003.16061858099</v>
      </c>
    </row>
    <row r="82" spans="1:6" ht="14.25" customHeight="1" x14ac:dyDescent="0.3">
      <c r="A82" s="1">
        <v>48336</v>
      </c>
      <c r="B82" s="1" t="s">
        <v>129</v>
      </c>
      <c r="C82" s="1" t="s">
        <v>12</v>
      </c>
      <c r="D82" s="1" t="s">
        <v>40</v>
      </c>
      <c r="E82" s="5">
        <v>1298.333333</v>
      </c>
      <c r="F82" s="5">
        <v>263635.78904095403</v>
      </c>
    </row>
    <row r="83" spans="1:6" ht="14.25" customHeight="1" x14ac:dyDescent="0.3">
      <c r="A83" s="1">
        <v>48076</v>
      </c>
      <c r="B83" s="1" t="s">
        <v>130</v>
      </c>
      <c r="C83" s="1" t="s">
        <v>12</v>
      </c>
      <c r="D83" s="1" t="s">
        <v>40</v>
      </c>
      <c r="E83" s="5">
        <v>1587.5</v>
      </c>
      <c r="F83" s="5">
        <v>266985.27904510102</v>
      </c>
    </row>
    <row r="84" spans="1:6" ht="14.25" customHeight="1" x14ac:dyDescent="0.3">
      <c r="A84" s="1">
        <v>48192</v>
      </c>
      <c r="B84" s="1" t="s">
        <v>131</v>
      </c>
      <c r="C84" s="1" t="s">
        <v>12</v>
      </c>
      <c r="D84" s="1" t="s">
        <v>13</v>
      </c>
      <c r="E84" s="5">
        <v>1073.6111109999999</v>
      </c>
      <c r="F84" s="5">
        <v>156800.896419417</v>
      </c>
    </row>
    <row r="85" spans="1:6" ht="14.25" customHeight="1" x14ac:dyDescent="0.3">
      <c r="A85" s="1">
        <v>48045</v>
      </c>
      <c r="B85" s="1" t="s">
        <v>133</v>
      </c>
      <c r="C85" s="1" t="s">
        <v>12</v>
      </c>
      <c r="D85" s="1" t="s">
        <v>16</v>
      </c>
      <c r="E85" s="5">
        <v>1198.333333</v>
      </c>
      <c r="F85" s="5">
        <v>262800.31000735197</v>
      </c>
    </row>
    <row r="86" spans="1:6" ht="14.25" customHeight="1" x14ac:dyDescent="0.3">
      <c r="A86" s="1">
        <v>48141</v>
      </c>
      <c r="B86" s="1" t="s">
        <v>134</v>
      </c>
      <c r="C86" s="1" t="s">
        <v>12</v>
      </c>
      <c r="D86" s="1" t="s">
        <v>13</v>
      </c>
      <c r="E86" s="5">
        <v>1165</v>
      </c>
      <c r="F86" s="5">
        <v>75069.759609815796</v>
      </c>
    </row>
    <row r="87" spans="1:6" ht="14.25" customHeight="1" x14ac:dyDescent="0.3">
      <c r="A87" s="1">
        <v>48390</v>
      </c>
      <c r="B87" s="1" t="s">
        <v>135</v>
      </c>
      <c r="C87" s="1" t="s">
        <v>12</v>
      </c>
      <c r="D87" s="1" t="s">
        <v>40</v>
      </c>
      <c r="E87" s="5">
        <v>1666.666667</v>
      </c>
      <c r="F87" s="5">
        <v>302948.456563538</v>
      </c>
    </row>
    <row r="88" spans="1:6" ht="14.25" customHeight="1" x14ac:dyDescent="0.3">
      <c r="A88" s="1">
        <v>48067</v>
      </c>
      <c r="B88" s="1" t="s">
        <v>82</v>
      </c>
      <c r="C88" s="1" t="s">
        <v>12</v>
      </c>
      <c r="D88" s="1" t="s">
        <v>40</v>
      </c>
      <c r="E88" s="5">
        <v>2057.333333</v>
      </c>
      <c r="F88" s="5">
        <v>293897.57733795798</v>
      </c>
    </row>
    <row r="89" spans="1:6" ht="14.25" customHeight="1" x14ac:dyDescent="0.3">
      <c r="A89" s="1">
        <v>48204</v>
      </c>
      <c r="B89" s="1" t="s">
        <v>14</v>
      </c>
      <c r="C89" s="1" t="s">
        <v>12</v>
      </c>
      <c r="D89" s="1" t="s">
        <v>13</v>
      </c>
      <c r="E89" s="5">
        <v>1000</v>
      </c>
      <c r="F89" s="5">
        <v>41610.708178330802</v>
      </c>
    </row>
    <row r="90" spans="1:6" ht="14.25" customHeight="1" x14ac:dyDescent="0.3">
      <c r="A90" s="1">
        <v>48335</v>
      </c>
      <c r="B90" s="1" t="s">
        <v>137</v>
      </c>
      <c r="C90" s="1" t="s">
        <v>12</v>
      </c>
      <c r="D90" s="1" t="s">
        <v>40</v>
      </c>
      <c r="E90" s="5">
        <v>1049.2467529999999</v>
      </c>
      <c r="F90" s="5">
        <v>388811.01839375898</v>
      </c>
    </row>
    <row r="91" spans="1:6" ht="14.25" customHeight="1" x14ac:dyDescent="0.3">
      <c r="A91" s="1">
        <v>48167</v>
      </c>
      <c r="B91" s="1" t="s">
        <v>138</v>
      </c>
      <c r="C91" s="1" t="s">
        <v>12</v>
      </c>
      <c r="D91" s="1" t="s">
        <v>40</v>
      </c>
      <c r="E91" s="5">
        <v>1511.7111110000001</v>
      </c>
      <c r="F91" s="5">
        <v>486499.458049462</v>
      </c>
    </row>
    <row r="92" spans="1:6" ht="14.25" customHeight="1" x14ac:dyDescent="0.3">
      <c r="A92" s="1">
        <v>48346</v>
      </c>
      <c r="B92" s="1" t="s">
        <v>139</v>
      </c>
      <c r="C92" s="1" t="s">
        <v>12</v>
      </c>
      <c r="D92" s="1" t="s">
        <v>40</v>
      </c>
      <c r="E92" s="5">
        <v>2316.25</v>
      </c>
      <c r="F92" s="5">
        <v>307776.68297754898</v>
      </c>
    </row>
    <row r="93" spans="1:6" ht="14.25" customHeight="1" x14ac:dyDescent="0.3">
      <c r="A93" s="1">
        <v>48326</v>
      </c>
      <c r="B93" s="1" t="s">
        <v>140</v>
      </c>
      <c r="C93" s="1" t="s">
        <v>12</v>
      </c>
      <c r="D93" s="1" t="s">
        <v>40</v>
      </c>
      <c r="E93" s="5">
        <v>1278.333333</v>
      </c>
      <c r="F93" s="5">
        <v>234600.73221117401</v>
      </c>
    </row>
    <row r="94" spans="1:6" ht="14.25" customHeight="1" x14ac:dyDescent="0.3">
      <c r="A94" s="1">
        <v>49085</v>
      </c>
      <c r="B94" s="1" t="s">
        <v>141</v>
      </c>
      <c r="C94" s="1" t="s">
        <v>69</v>
      </c>
      <c r="D94" s="1" t="s">
        <v>70</v>
      </c>
      <c r="E94" s="5">
        <v>1800</v>
      </c>
      <c r="F94" s="5">
        <v>283947.47968695499</v>
      </c>
    </row>
    <row r="95" spans="1:6" ht="14.25" customHeight="1" x14ac:dyDescent="0.3">
      <c r="A95" s="1">
        <v>48220</v>
      </c>
      <c r="B95" s="1" t="s">
        <v>148</v>
      </c>
      <c r="C95" s="1" t="s">
        <v>12</v>
      </c>
      <c r="D95" s="1" t="s">
        <v>40</v>
      </c>
      <c r="E95" s="5">
        <v>1619.7222220000001</v>
      </c>
      <c r="F95" s="5">
        <v>219801.539191919</v>
      </c>
    </row>
    <row r="96" spans="1:6" ht="14.25" customHeight="1" x14ac:dyDescent="0.3">
      <c r="A96" s="1">
        <v>48375</v>
      </c>
      <c r="B96" s="1" t="s">
        <v>150</v>
      </c>
      <c r="C96" s="1" t="s">
        <v>12</v>
      </c>
      <c r="D96" s="1" t="s">
        <v>40</v>
      </c>
      <c r="E96" s="5">
        <v>1567.9722220000001</v>
      </c>
      <c r="F96" s="5">
        <v>395862.68001912697</v>
      </c>
    </row>
    <row r="97" spans="1:6" ht="14.25" customHeight="1" x14ac:dyDescent="0.3">
      <c r="A97" s="1">
        <v>48083</v>
      </c>
      <c r="B97" s="1" t="s">
        <v>123</v>
      </c>
      <c r="C97" s="1" t="s">
        <v>12</v>
      </c>
      <c r="D97" s="1" t="s">
        <v>40</v>
      </c>
      <c r="E97" s="5">
        <v>1791.5</v>
      </c>
      <c r="F97" s="5">
        <v>305891.59250394598</v>
      </c>
    </row>
    <row r="98" spans="1:6" ht="14.25" customHeight="1" x14ac:dyDescent="0.3">
      <c r="A98" s="1">
        <v>48214</v>
      </c>
      <c r="B98" s="1" t="s">
        <v>14</v>
      </c>
      <c r="C98" s="1" t="s">
        <v>12</v>
      </c>
      <c r="D98" s="1" t="s">
        <v>13</v>
      </c>
      <c r="E98" s="5">
        <v>1203.333333</v>
      </c>
      <c r="F98" s="5">
        <v>59504.007791886099</v>
      </c>
    </row>
    <row r="99" spans="1:6" ht="14.25" customHeight="1" x14ac:dyDescent="0.3">
      <c r="A99" s="1">
        <v>48331</v>
      </c>
      <c r="B99" s="1" t="s">
        <v>129</v>
      </c>
      <c r="C99" s="1" t="s">
        <v>12</v>
      </c>
      <c r="D99" s="1" t="s">
        <v>40</v>
      </c>
      <c r="E99" s="5">
        <v>1572.75</v>
      </c>
      <c r="F99" s="5">
        <v>413023.466462554</v>
      </c>
    </row>
    <row r="100" spans="1:6" ht="14.25" customHeight="1" x14ac:dyDescent="0.3">
      <c r="A100" s="1">
        <v>48081</v>
      </c>
      <c r="B100" s="1" t="s">
        <v>166</v>
      </c>
      <c r="C100" s="1" t="s">
        <v>12</v>
      </c>
      <c r="D100" s="1" t="s">
        <v>16</v>
      </c>
      <c r="E100" s="5">
        <v>1693.75</v>
      </c>
      <c r="F100" s="5">
        <v>206290.8513791</v>
      </c>
    </row>
    <row r="101" spans="1:6" ht="14.25" customHeight="1" x14ac:dyDescent="0.3">
      <c r="A101" s="1">
        <v>48009</v>
      </c>
      <c r="B101" s="1" t="s">
        <v>168</v>
      </c>
      <c r="C101" s="1" t="s">
        <v>12</v>
      </c>
      <c r="D101" s="1" t="s">
        <v>40</v>
      </c>
      <c r="E101" s="5">
        <v>2299.166667</v>
      </c>
      <c r="F101" s="5">
        <v>663312.90064347198</v>
      </c>
    </row>
    <row r="102" spans="1:6" ht="14.25" customHeight="1" x14ac:dyDescent="0.3">
      <c r="A102" s="1">
        <v>48207</v>
      </c>
      <c r="B102" s="1" t="s">
        <v>14</v>
      </c>
      <c r="C102" s="1" t="s">
        <v>12</v>
      </c>
      <c r="D102" s="1" t="s">
        <v>13</v>
      </c>
      <c r="E102" s="5">
        <v>1439</v>
      </c>
      <c r="F102" s="5">
        <v>82064.386607089094</v>
      </c>
    </row>
    <row r="103" spans="1:6" ht="14.25" customHeight="1" x14ac:dyDescent="0.3">
      <c r="A103" s="1">
        <v>49001</v>
      </c>
      <c r="B103" s="1" t="s">
        <v>45</v>
      </c>
      <c r="C103" s="1" t="s">
        <v>46</v>
      </c>
      <c r="D103" s="1" t="s">
        <v>47</v>
      </c>
      <c r="E103" s="5">
        <v>1170.833333</v>
      </c>
      <c r="F103" s="5">
        <v>136890.27760051901</v>
      </c>
    </row>
    <row r="104" spans="1:6" ht="14.25" customHeight="1" x14ac:dyDescent="0.3">
      <c r="A104" s="1">
        <v>48842</v>
      </c>
      <c r="B104" s="1" t="s">
        <v>171</v>
      </c>
      <c r="C104" s="1" t="s">
        <v>19</v>
      </c>
      <c r="D104" s="1" t="s">
        <v>20</v>
      </c>
      <c r="E104" s="5">
        <v>1434.8888890000001</v>
      </c>
      <c r="F104" s="5">
        <v>225292.05231858301</v>
      </c>
    </row>
    <row r="105" spans="1:6" ht="14.25" customHeight="1" x14ac:dyDescent="0.3">
      <c r="A105" s="1">
        <v>48125</v>
      </c>
      <c r="B105" s="1" t="s">
        <v>73</v>
      </c>
      <c r="C105" s="1" t="s">
        <v>12</v>
      </c>
      <c r="D105" s="1" t="s">
        <v>13</v>
      </c>
      <c r="E105" s="5">
        <v>1387.4333329999999</v>
      </c>
      <c r="F105" s="5">
        <v>132372.96804903899</v>
      </c>
    </row>
    <row r="106" spans="1:6" ht="14.25" customHeight="1" x14ac:dyDescent="0.3">
      <c r="A106" s="1">
        <v>48134</v>
      </c>
      <c r="B106" s="1" t="s">
        <v>175</v>
      </c>
      <c r="C106" s="1" t="s">
        <v>12</v>
      </c>
      <c r="D106" s="1" t="s">
        <v>13</v>
      </c>
      <c r="E106" s="5">
        <v>1399</v>
      </c>
      <c r="F106" s="5">
        <v>278667.383958889</v>
      </c>
    </row>
    <row r="107" spans="1:6" ht="14.25" customHeight="1" x14ac:dyDescent="0.3">
      <c r="A107" s="1">
        <v>48094</v>
      </c>
      <c r="B107" s="1" t="s">
        <v>176</v>
      </c>
      <c r="C107" s="1" t="s">
        <v>12</v>
      </c>
      <c r="D107" s="1" t="s">
        <v>16</v>
      </c>
      <c r="E107" s="5">
        <v>1824</v>
      </c>
      <c r="F107" s="5">
        <v>411365.657764551</v>
      </c>
    </row>
    <row r="108" spans="1:6" ht="14.25" customHeight="1" x14ac:dyDescent="0.3">
      <c r="A108" s="1">
        <v>49202</v>
      </c>
      <c r="B108" s="1" t="s">
        <v>26</v>
      </c>
      <c r="C108" s="1" t="s">
        <v>27</v>
      </c>
      <c r="D108" s="1" t="s">
        <v>28</v>
      </c>
      <c r="E108" s="5">
        <v>950</v>
      </c>
      <c r="F108" s="5">
        <v>107252.207854386</v>
      </c>
    </row>
    <row r="109" spans="1:6" ht="14.25" customHeight="1" x14ac:dyDescent="0.3">
      <c r="A109" s="1">
        <v>49008</v>
      </c>
      <c r="B109" s="1" t="s">
        <v>45</v>
      </c>
      <c r="C109" s="1" t="s">
        <v>46</v>
      </c>
      <c r="D109" s="1" t="s">
        <v>47</v>
      </c>
      <c r="E109" s="5">
        <v>1201.3611109999999</v>
      </c>
      <c r="F109" s="5">
        <v>218531.38022832901</v>
      </c>
    </row>
    <row r="110" spans="1:6" ht="14.25" customHeight="1" x14ac:dyDescent="0.3">
      <c r="A110" s="1">
        <v>48912</v>
      </c>
      <c r="B110" s="1" t="s">
        <v>53</v>
      </c>
      <c r="C110" s="1" t="s">
        <v>19</v>
      </c>
      <c r="D110" s="1" t="s">
        <v>20</v>
      </c>
      <c r="E110" s="5">
        <v>1067.5</v>
      </c>
      <c r="F110" s="5">
        <v>109118.37198748501</v>
      </c>
    </row>
    <row r="111" spans="1:6" ht="14.25" customHeight="1" x14ac:dyDescent="0.3">
      <c r="A111" s="1">
        <v>48240</v>
      </c>
      <c r="B111" s="1" t="s">
        <v>80</v>
      </c>
      <c r="C111" s="1" t="s">
        <v>12</v>
      </c>
      <c r="D111" s="1" t="s">
        <v>13</v>
      </c>
      <c r="E111" s="5">
        <v>1340.416667</v>
      </c>
      <c r="F111" s="5">
        <v>135654.36913388799</v>
      </c>
    </row>
    <row r="112" spans="1:6" ht="14.25" customHeight="1" x14ac:dyDescent="0.3">
      <c r="A112" s="1">
        <v>48033</v>
      </c>
      <c r="B112" s="1" t="s">
        <v>165</v>
      </c>
      <c r="C112" s="1" t="s">
        <v>12</v>
      </c>
      <c r="D112" s="1" t="s">
        <v>40</v>
      </c>
      <c r="E112" s="5">
        <v>1451.122222</v>
      </c>
      <c r="F112" s="5">
        <v>224757.218397989</v>
      </c>
    </row>
    <row r="113" spans="1:6" ht="14.25" customHeight="1" x14ac:dyDescent="0.3">
      <c r="A113" s="1">
        <v>48377</v>
      </c>
      <c r="B113" s="1" t="s">
        <v>150</v>
      </c>
      <c r="C113" s="1" t="s">
        <v>12</v>
      </c>
      <c r="D113" s="1" t="s">
        <v>40</v>
      </c>
      <c r="E113" s="5">
        <v>1885.375</v>
      </c>
      <c r="F113" s="5">
        <v>455236.044563526</v>
      </c>
    </row>
    <row r="114" spans="1:6" ht="14.25" customHeight="1" x14ac:dyDescent="0.3">
      <c r="A114" s="1">
        <v>48030</v>
      </c>
      <c r="B114" s="1" t="s">
        <v>215</v>
      </c>
      <c r="C114" s="1" t="s">
        <v>12</v>
      </c>
      <c r="D114" s="1" t="s">
        <v>40</v>
      </c>
      <c r="E114" s="5">
        <v>1316.25</v>
      </c>
      <c r="F114" s="5">
        <v>144265.67585263299</v>
      </c>
    </row>
    <row r="115" spans="1:6" ht="14.25" customHeight="1" x14ac:dyDescent="0.3">
      <c r="A115" s="1">
        <v>48201</v>
      </c>
      <c r="B115" s="1" t="s">
        <v>14</v>
      </c>
      <c r="C115" s="1" t="s">
        <v>12</v>
      </c>
      <c r="D115" s="1" t="s">
        <v>13</v>
      </c>
      <c r="E115" s="5">
        <v>1390.55</v>
      </c>
      <c r="F115" s="5">
        <v>438189.568337087</v>
      </c>
    </row>
    <row r="116" spans="1:6" ht="14.25" customHeight="1" x14ac:dyDescent="0.3">
      <c r="A116" s="1">
        <v>48206</v>
      </c>
      <c r="B116" s="1" t="s">
        <v>14</v>
      </c>
      <c r="C116" s="1" t="s">
        <v>12</v>
      </c>
      <c r="D116" s="1" t="s">
        <v>13</v>
      </c>
      <c r="E116" s="5">
        <v>1200</v>
      </c>
      <c r="F116" s="5">
        <v>71091.179204868895</v>
      </c>
    </row>
    <row r="117" spans="1:6" ht="14.25" customHeight="1" x14ac:dyDescent="0.3">
      <c r="A117" s="1">
        <v>48230</v>
      </c>
      <c r="B117" s="1" t="s">
        <v>221</v>
      </c>
      <c r="C117" s="1" t="s">
        <v>12</v>
      </c>
      <c r="D117" s="1" t="s">
        <v>13</v>
      </c>
      <c r="E117" s="5">
        <v>1488.055556</v>
      </c>
      <c r="F117" s="5">
        <v>430537.594692691</v>
      </c>
    </row>
    <row r="118" spans="1:6" ht="14.25" customHeight="1" x14ac:dyDescent="0.3">
      <c r="A118" s="1">
        <v>48202</v>
      </c>
      <c r="B118" s="1" t="s">
        <v>14</v>
      </c>
      <c r="C118" s="1" t="s">
        <v>12</v>
      </c>
      <c r="D118" s="1" t="s">
        <v>13</v>
      </c>
      <c r="E118" s="5">
        <v>1380.416667</v>
      </c>
      <c r="F118" s="5">
        <v>159604.48734221299</v>
      </c>
    </row>
    <row r="119" spans="1:6" ht="14.25" customHeight="1" x14ac:dyDescent="0.3">
      <c r="A119" s="1">
        <v>48084</v>
      </c>
      <c r="B119" s="1" t="s">
        <v>123</v>
      </c>
      <c r="C119" s="1" t="s">
        <v>12</v>
      </c>
      <c r="D119" s="1" t="s">
        <v>40</v>
      </c>
      <c r="E119" s="5">
        <v>1541.6174599999999</v>
      </c>
      <c r="F119" s="5">
        <v>448361.57819014299</v>
      </c>
    </row>
    <row r="120" spans="1:6" ht="14.25" customHeight="1" x14ac:dyDescent="0.3">
      <c r="A120" s="1">
        <v>48072</v>
      </c>
      <c r="B120" s="1" t="s">
        <v>228</v>
      </c>
      <c r="C120" s="1" t="s">
        <v>12</v>
      </c>
      <c r="D120" s="1" t="s">
        <v>40</v>
      </c>
      <c r="E120" s="5">
        <v>1757.5</v>
      </c>
      <c r="F120" s="5">
        <v>275381.023361506</v>
      </c>
    </row>
    <row r="121" spans="1:6" ht="14.25" customHeight="1" x14ac:dyDescent="0.3">
      <c r="A121" s="1">
        <v>48225</v>
      </c>
      <c r="B121" s="1" t="s">
        <v>252</v>
      </c>
      <c r="C121" s="1" t="s">
        <v>12</v>
      </c>
      <c r="D121" s="1" t="s">
        <v>13</v>
      </c>
      <c r="E121" s="5">
        <v>1258.95</v>
      </c>
      <c r="F121" s="5">
        <v>137493.933810316</v>
      </c>
    </row>
    <row r="122" spans="1:6" ht="14.25" customHeight="1" x14ac:dyDescent="0.3">
      <c r="A122" s="1">
        <v>48034</v>
      </c>
      <c r="B122" s="1" t="s">
        <v>165</v>
      </c>
      <c r="C122" s="1" t="s">
        <v>12</v>
      </c>
      <c r="D122" s="1" t="s">
        <v>40</v>
      </c>
      <c r="E122" s="5">
        <v>1330</v>
      </c>
      <c r="F122" s="5">
        <v>325467.21105200303</v>
      </c>
    </row>
    <row r="123" spans="1:6" ht="14.25" customHeight="1" x14ac:dyDescent="0.3">
      <c r="A123" s="1">
        <v>49348</v>
      </c>
      <c r="B123" s="1" t="s">
        <v>258</v>
      </c>
      <c r="C123" s="1" t="s">
        <v>184</v>
      </c>
      <c r="D123" s="1" t="s">
        <v>185</v>
      </c>
      <c r="E123" s="5">
        <v>1451.7777779999999</v>
      </c>
      <c r="F123" s="5">
        <v>283161.93227629602</v>
      </c>
    </row>
    <row r="124" spans="1:6" ht="14.25" customHeight="1" x14ac:dyDescent="0.3">
      <c r="A124" s="1">
        <v>48383</v>
      </c>
      <c r="B124" s="1" t="s">
        <v>193</v>
      </c>
      <c r="C124" s="1" t="s">
        <v>12</v>
      </c>
      <c r="D124" s="1" t="s">
        <v>40</v>
      </c>
      <c r="E124" s="5">
        <v>1851</v>
      </c>
      <c r="F124" s="5">
        <v>361784.96738643502</v>
      </c>
    </row>
    <row r="125" spans="1:6" ht="14.25" customHeight="1" x14ac:dyDescent="0.3">
      <c r="A125" s="1">
        <v>48017</v>
      </c>
      <c r="B125" s="1" t="s">
        <v>271</v>
      </c>
      <c r="C125" s="1" t="s">
        <v>12</v>
      </c>
      <c r="D125" s="1" t="s">
        <v>40</v>
      </c>
      <c r="E125" s="5">
        <v>1508.333333</v>
      </c>
      <c r="F125" s="5">
        <v>253649.749770931</v>
      </c>
    </row>
    <row r="126" spans="1:6" ht="14.25" customHeight="1" x14ac:dyDescent="0.3">
      <c r="A126" s="1">
        <v>48166</v>
      </c>
      <c r="B126" s="1" t="s">
        <v>274</v>
      </c>
      <c r="C126" s="1" t="s">
        <v>114</v>
      </c>
      <c r="D126" s="1" t="s">
        <v>115</v>
      </c>
      <c r="E126" s="5">
        <v>1110.5873019999999</v>
      </c>
      <c r="F126" s="5">
        <v>189239.476675304</v>
      </c>
    </row>
    <row r="127" spans="1:6" ht="14.25" customHeight="1" x14ac:dyDescent="0.3">
      <c r="A127" s="1">
        <v>48359</v>
      </c>
      <c r="B127" s="1" t="s">
        <v>269</v>
      </c>
      <c r="C127" s="1" t="s">
        <v>12</v>
      </c>
      <c r="D127" s="1" t="s">
        <v>40</v>
      </c>
      <c r="E127" s="5">
        <v>1249</v>
      </c>
      <c r="F127" s="5">
        <v>330401.02846807201</v>
      </c>
    </row>
    <row r="128" spans="1:6" ht="14.25" customHeight="1" x14ac:dyDescent="0.3">
      <c r="A128" s="1">
        <v>49007</v>
      </c>
      <c r="B128" s="1" t="s">
        <v>45</v>
      </c>
      <c r="C128" s="1" t="s">
        <v>46</v>
      </c>
      <c r="D128" s="1" t="s">
        <v>47</v>
      </c>
      <c r="E128" s="5">
        <v>1254.5238099999999</v>
      </c>
      <c r="F128" s="5">
        <v>84566.865153660896</v>
      </c>
    </row>
    <row r="129" spans="1:6" ht="14.25" customHeight="1" x14ac:dyDescent="0.3">
      <c r="A129" s="1">
        <v>48915</v>
      </c>
      <c r="B129" s="1" t="s">
        <v>53</v>
      </c>
      <c r="C129" s="1" t="s">
        <v>19</v>
      </c>
      <c r="D129" s="1" t="s">
        <v>20</v>
      </c>
      <c r="E129" s="5">
        <v>1175</v>
      </c>
      <c r="F129" s="5">
        <v>93736.010582893505</v>
      </c>
    </row>
    <row r="130" spans="1:6" ht="14.25" customHeight="1" x14ac:dyDescent="0.3"/>
    <row r="131" spans="1:6" ht="14.25" customHeight="1" x14ac:dyDescent="0.3"/>
    <row r="132" spans="1:6" ht="14.25" customHeight="1" x14ac:dyDescent="0.3"/>
    <row r="133" spans="1:6" ht="14.25" customHeight="1" x14ac:dyDescent="0.3"/>
    <row r="134" spans="1:6" ht="14.25" customHeight="1" x14ac:dyDescent="0.3"/>
    <row r="135" spans="1:6" ht="14.25" customHeight="1" x14ac:dyDescent="0.3"/>
    <row r="136" spans="1:6" ht="14.25" customHeight="1" x14ac:dyDescent="0.3"/>
    <row r="137" spans="1:6" ht="14.25" customHeight="1" x14ac:dyDescent="0.3"/>
    <row r="138" spans="1:6" ht="14.25" customHeight="1" x14ac:dyDescent="0.3"/>
    <row r="139" spans="1:6" ht="14.25" customHeight="1" x14ac:dyDescent="0.3"/>
    <row r="140" spans="1:6" ht="14.25" customHeight="1" x14ac:dyDescent="0.3"/>
    <row r="141" spans="1:6" ht="14.25" customHeight="1" x14ac:dyDescent="0.3"/>
    <row r="142" spans="1:6" ht="14.25" customHeight="1" x14ac:dyDescent="0.3"/>
    <row r="143" spans="1:6" ht="14.25" customHeight="1" x14ac:dyDescent="0.3"/>
    <row r="144" spans="1:6"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4:F129" xr:uid="{00000000-0009-0000-0000-000002000000}"/>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ShowUserForm">
                <anchor moveWithCells="1" sizeWithCells="1">
                  <from>
                    <xdr:col>7</xdr:col>
                    <xdr:colOff>114300</xdr:colOff>
                    <xdr:row>3</xdr:row>
                    <xdr:rowOff>38100</xdr:rowOff>
                  </from>
                  <to>
                    <xdr:col>8</xdr:col>
                    <xdr:colOff>571500</xdr:colOff>
                    <xdr:row>5</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0B7C2-4936-40EF-A53F-33BCD86C7304}">
  <sheetPr codeName="Sheet5"/>
  <dimension ref="A1"/>
  <sheetViews>
    <sheetView showGridLines="0" workbookViewId="0">
      <selection activeCell="Q13" sqref="Q13"/>
    </sheetView>
  </sheetViews>
  <sheetFormatPr defaultColWidth="8.77734375" defaultRowHeight="14.4" x14ac:dyDescent="0.3"/>
  <cols>
    <col min="1" max="16384" width="8.77734375" style="60"/>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owCleanData">
                <anchor moveWithCells="1" sizeWithCells="1">
                  <from>
                    <xdr:col>3</xdr:col>
                    <xdr:colOff>586740</xdr:colOff>
                    <xdr:row>11</xdr:row>
                    <xdr:rowOff>129540</xdr:rowOff>
                  </from>
                  <to>
                    <xdr:col>5</xdr:col>
                    <xdr:colOff>320040</xdr:colOff>
                    <xdr:row>13</xdr:row>
                    <xdr:rowOff>167640</xdr:rowOff>
                  </to>
                </anchor>
              </controlPr>
            </control>
          </mc:Choice>
        </mc:AlternateContent>
        <mc:AlternateContent xmlns:mc="http://schemas.openxmlformats.org/markup-compatibility/2006">
          <mc:Choice Requires="x14">
            <control shapeId="20482" r:id="rId5" name="Button 2">
              <controlPr defaultSize="0" print="0" autoFill="0" autoPict="0" macro="[0]!Showhomevalues">
                <anchor moveWithCells="1" sizeWithCells="1">
                  <from>
                    <xdr:col>6</xdr:col>
                    <xdr:colOff>99060</xdr:colOff>
                    <xdr:row>11</xdr:row>
                    <xdr:rowOff>114300</xdr:rowOff>
                  </from>
                  <to>
                    <xdr:col>8</xdr:col>
                    <xdr:colOff>175260</xdr:colOff>
                    <xdr:row>14</xdr:row>
                    <xdr:rowOff>76200</xdr:rowOff>
                  </to>
                </anchor>
              </controlPr>
            </control>
          </mc:Choice>
        </mc:AlternateContent>
        <mc:AlternateContent xmlns:mc="http://schemas.openxmlformats.org/markup-compatibility/2006">
          <mc:Choice Requires="x14">
            <control shapeId="20483" r:id="rId6" name="Button 3">
              <controlPr defaultSize="0" print="0" autoFill="0" autoPict="0" macro="[0]!Showrentingvalues">
                <anchor moveWithCells="1" sizeWithCells="1">
                  <from>
                    <xdr:col>8</xdr:col>
                    <xdr:colOff>533400</xdr:colOff>
                    <xdr:row>11</xdr:row>
                    <xdr:rowOff>129540</xdr:rowOff>
                  </from>
                  <to>
                    <xdr:col>11</xdr:col>
                    <xdr:colOff>106680</xdr:colOff>
                    <xdr:row>14</xdr:row>
                    <xdr:rowOff>76200</xdr:rowOff>
                  </to>
                </anchor>
              </controlPr>
            </control>
          </mc:Choice>
        </mc:AlternateContent>
        <mc:AlternateContent xmlns:mc="http://schemas.openxmlformats.org/markup-compatibility/2006">
          <mc:Choice Requires="x14">
            <control shapeId="20484" r:id="rId7" name="Button 4">
              <controlPr defaultSize="0" print="0" autoFill="0" autoPict="0" macro="[0]!ShowDecision_zipcode">
                <anchor moveWithCells="1" sizeWithCells="1">
                  <from>
                    <xdr:col>3</xdr:col>
                    <xdr:colOff>266700</xdr:colOff>
                    <xdr:row>7</xdr:row>
                    <xdr:rowOff>91440</xdr:rowOff>
                  </from>
                  <to>
                    <xdr:col>6</xdr:col>
                    <xdr:colOff>182880</xdr:colOff>
                    <xdr:row>9</xdr:row>
                    <xdr:rowOff>175260</xdr:rowOff>
                  </to>
                </anchor>
              </controlPr>
            </control>
          </mc:Choice>
        </mc:AlternateContent>
        <mc:AlternateContent xmlns:mc="http://schemas.openxmlformats.org/markup-compatibility/2006">
          <mc:Choice Requires="x14">
            <control shapeId="20485" r:id="rId8" name="Button 5">
              <controlPr defaultSize="0" print="0" autoFill="0" autoPict="0" macro="[0]!ShowDecision_custom">
                <anchor moveWithCells="1" sizeWithCells="1">
                  <from>
                    <xdr:col>7</xdr:col>
                    <xdr:colOff>228600</xdr:colOff>
                    <xdr:row>7</xdr:row>
                    <xdr:rowOff>30480</xdr:rowOff>
                  </from>
                  <to>
                    <xdr:col>10</xdr:col>
                    <xdr:colOff>144780</xdr:colOff>
                    <xdr:row>9</xdr:row>
                    <xdr:rowOff>152400</xdr:rowOff>
                  </to>
                </anchor>
              </controlPr>
            </control>
          </mc:Choice>
        </mc:AlternateContent>
        <mc:AlternateContent xmlns:mc="http://schemas.openxmlformats.org/markup-compatibility/2006">
          <mc:Choice Requires="x14">
            <control shapeId="20486" r:id="rId9" name="Button 6">
              <controlPr defaultSize="0" print="0" autoFill="0" autoPict="0" macro="[0]!ShowVisualization">
                <anchor moveWithCells="1" sizeWithCells="1">
                  <from>
                    <xdr:col>11</xdr:col>
                    <xdr:colOff>137160</xdr:colOff>
                    <xdr:row>6</xdr:row>
                    <xdr:rowOff>144780</xdr:rowOff>
                  </from>
                  <to>
                    <xdr:col>14</xdr:col>
                    <xdr:colOff>137160</xdr:colOff>
                    <xdr:row>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BC194-0D42-4EC7-9010-AF7D75CC9849}">
  <sheetPr codeName="Sheet7"/>
  <dimension ref="A1:NJ166"/>
  <sheetViews>
    <sheetView showGridLines="0" tabSelected="1" workbookViewId="0">
      <pane xSplit="2" topLeftCell="C1" activePane="topRight" state="frozen"/>
      <selection pane="topRight" activeCell="D18" sqref="D18"/>
    </sheetView>
  </sheetViews>
  <sheetFormatPr defaultColWidth="14.44140625" defaultRowHeight="15" customHeight="1" x14ac:dyDescent="0.3"/>
  <cols>
    <col min="1" max="1" width="54.88671875" style="60" customWidth="1"/>
    <col min="2" max="2" width="9" style="60" customWidth="1"/>
    <col min="3" max="3" width="12.77734375" style="60" customWidth="1"/>
    <col min="4" max="4" width="14.109375" style="60" customWidth="1"/>
    <col min="5" max="5" width="11.88671875" customWidth="1"/>
    <col min="6" max="6" width="13.5546875" customWidth="1"/>
    <col min="7" max="254" width="11.44140625" customWidth="1"/>
    <col min="255" max="255" width="11.33203125" customWidth="1"/>
    <col min="256" max="256" width="13.33203125" customWidth="1"/>
    <col min="367" max="369" width="14.44140625" style="41"/>
    <col min="370" max="371" width="14.44140625" customWidth="1"/>
    <col min="372" max="374" width="14.44140625" hidden="1" customWidth="1"/>
  </cols>
  <sheetData>
    <row r="1" spans="1:374" ht="12.75" customHeight="1" x14ac:dyDescent="0.3">
      <c r="A1" s="75" t="s">
        <v>841</v>
      </c>
      <c r="B1" s="76"/>
      <c r="C1" s="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F1" s="1"/>
      <c r="NG1" s="1"/>
      <c r="NH1" s="4" t="s">
        <v>842</v>
      </c>
      <c r="NI1" s="4" t="s">
        <v>843</v>
      </c>
      <c r="NJ1" s="4" t="s">
        <v>844</v>
      </c>
    </row>
    <row r="2" spans="1:374" ht="12.75" customHeight="1" thickBot="1" x14ac:dyDescent="0.35">
      <c r="A2" s="9"/>
      <c r="B2" s="10"/>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F2" s="1"/>
      <c r="NG2" s="1"/>
      <c r="NH2" s="1"/>
      <c r="NI2" s="1"/>
      <c r="NJ2" s="1"/>
    </row>
    <row r="3" spans="1:374" ht="12.75" customHeight="1" thickBot="1" x14ac:dyDescent="0.35">
      <c r="A3" s="66" t="s">
        <v>845</v>
      </c>
      <c r="B3" s="67">
        <v>48377</v>
      </c>
      <c r="C3" s="69" t="s">
        <v>887</v>
      </c>
      <c r="D3" s="70" t="str">
        <f>INDEX(Combine!B5:$B129,MATCH(Based_on_zipcodes!$B$3,Combine!A5:$A$129,0))</f>
        <v>Novi</v>
      </c>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41"/>
      <c r="NB3" s="41"/>
      <c r="ND3" s="1"/>
      <c r="NE3" s="1"/>
      <c r="NF3" s="13">
        <v>0.01</v>
      </c>
      <c r="NG3" s="1">
        <f>Combine!A5</f>
        <v>48197</v>
      </c>
      <c r="NH3" s="14">
        <f>Combine!F5</f>
        <v>308132.28440966102</v>
      </c>
    </row>
    <row r="4" spans="1:374" ht="12.75" customHeight="1" thickBot="1" x14ac:dyDescent="0.35">
      <c r="A4" s="65" t="s">
        <v>846</v>
      </c>
      <c r="B4" s="68">
        <f>INDEX(Combine!F5:$F129,MATCH(Based_on_zipcodes!$B$3,Combine!A5:$A$129,0))</f>
        <v>455236.044563526</v>
      </c>
      <c r="C4" s="71" t="s">
        <v>890</v>
      </c>
      <c r="D4" s="72" t="str">
        <f>INDEX(Combine!D5:$D129,MATCH(Based_on_zipcodes!$B$3,Combine!A5:$A$129,0))</f>
        <v>Oakland County</v>
      </c>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F4" s="1"/>
      <c r="NG4" s="1"/>
      <c r="NH4" s="13">
        <v>1.4999999999999999E-2</v>
      </c>
      <c r="NI4" s="1">
        <f>Combine!A6</f>
        <v>48180</v>
      </c>
      <c r="NJ4" s="14">
        <f>Combine!F6</f>
        <v>144456.84932324101</v>
      </c>
    </row>
    <row r="5" spans="1:374" ht="12.75" customHeight="1" x14ac:dyDescent="0.3">
      <c r="A5" s="15" t="s">
        <v>847</v>
      </c>
      <c r="B5" s="17">
        <v>0.2</v>
      </c>
      <c r="C5"/>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F5" s="1"/>
      <c r="NG5" s="1"/>
      <c r="NH5" s="13">
        <v>0.02</v>
      </c>
      <c r="NI5" s="1">
        <f>Combine!A7</f>
        <v>48228</v>
      </c>
      <c r="NJ5" s="14">
        <f>Combine!F7</f>
        <v>51911.909004460802</v>
      </c>
    </row>
    <row r="6" spans="1:374" ht="12.75" customHeight="1" x14ac:dyDescent="0.3">
      <c r="A6" s="15" t="s">
        <v>848</v>
      </c>
      <c r="B6" s="16">
        <f>B5*B4</f>
        <v>91047.208912705202</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F6" s="1"/>
      <c r="NG6" s="1"/>
      <c r="NH6" s="13">
        <v>2.5000000000000001E-2</v>
      </c>
      <c r="NI6" s="1">
        <f>Combine!A8</f>
        <v>48103</v>
      </c>
      <c r="NJ6" s="14">
        <f>Combine!F8</f>
        <v>460840.05182310601</v>
      </c>
    </row>
    <row r="7" spans="1:374" ht="12.75" customHeight="1" x14ac:dyDescent="0.3">
      <c r="A7" s="15" t="s">
        <v>849</v>
      </c>
      <c r="B7" s="17">
        <v>1.4999999999999999E-2</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F7" s="18"/>
      <c r="NG7" s="18"/>
      <c r="NH7" s="13">
        <v>0.03</v>
      </c>
      <c r="NI7" s="1">
        <f>Combine!A9</f>
        <v>48823</v>
      </c>
      <c r="NJ7" s="14">
        <f>Combine!F9</f>
        <v>273281.76622000802</v>
      </c>
    </row>
    <row r="8" spans="1:374" ht="12" customHeight="1" x14ac:dyDescent="0.3">
      <c r="A8" s="15" t="s">
        <v>850</v>
      </c>
      <c r="B8" s="19">
        <v>30</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F8" s="1"/>
      <c r="NG8" s="1"/>
      <c r="NH8" s="13">
        <v>3.5000000000000003E-2</v>
      </c>
      <c r="NI8" s="1">
        <f>Combine!A10</f>
        <v>48187</v>
      </c>
      <c r="NJ8" s="14">
        <f>Combine!F10</f>
        <v>349218.10313556198</v>
      </c>
    </row>
    <row r="9" spans="1:374" ht="12" customHeight="1" x14ac:dyDescent="0.3">
      <c r="A9" s="15" t="s">
        <v>851</v>
      </c>
      <c r="B9" s="20">
        <v>1.6400000000000001E-2</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F9" s="1"/>
      <c r="NG9" s="1"/>
      <c r="NH9" s="13">
        <v>0.04</v>
      </c>
      <c r="NI9" s="1">
        <f>Combine!A11</f>
        <v>48126</v>
      </c>
      <c r="NJ9" s="14">
        <f>Combine!F11</f>
        <v>191147.404022856</v>
      </c>
    </row>
    <row r="10" spans="1:374" ht="12" customHeight="1" x14ac:dyDescent="0.3">
      <c r="A10" s="15" t="s">
        <v>852</v>
      </c>
      <c r="B10" s="16">
        <f>1%*B4</f>
        <v>4552.3604456352605</v>
      </c>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F10" s="1"/>
      <c r="NG10" s="1"/>
      <c r="NH10" s="13">
        <v>4.4999999999999998E-2</v>
      </c>
      <c r="NI10" s="1">
        <f>Combine!A12</f>
        <v>48185</v>
      </c>
      <c r="NJ10" s="14">
        <f>Combine!F12</f>
        <v>196477.55499657299</v>
      </c>
    </row>
    <row r="11" spans="1:374" ht="12" customHeight="1" x14ac:dyDescent="0.3">
      <c r="A11" s="15" t="s">
        <v>853</v>
      </c>
      <c r="B11" s="16">
        <v>1300</v>
      </c>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F11" s="1"/>
      <c r="NG11" s="1"/>
      <c r="NH11" s="13">
        <v>0.05</v>
      </c>
      <c r="NI11" s="1">
        <f>Combine!A13</f>
        <v>48219</v>
      </c>
      <c r="NJ11" s="14">
        <f>Combine!F13</f>
        <v>71905.613954172994</v>
      </c>
    </row>
    <row r="12" spans="1:374" ht="12" customHeight="1" x14ac:dyDescent="0.3">
      <c r="A12" s="15" t="s">
        <v>854</v>
      </c>
      <c r="B12" s="21">
        <v>0.05</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F12" s="1"/>
      <c r="NG12" s="1"/>
      <c r="NH12" s="13">
        <v>5.5E-2</v>
      </c>
      <c r="NI12" s="1">
        <f>Combine!A14</f>
        <v>48066</v>
      </c>
      <c r="NJ12" s="14">
        <f>Combine!F14</f>
        <v>148884.817590716</v>
      </c>
    </row>
    <row r="13" spans="1:374" ht="12" customHeight="1" x14ac:dyDescent="0.3">
      <c r="A13" s="15" t="s">
        <v>855</v>
      </c>
      <c r="B13" s="22">
        <v>0.02</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F13" s="1"/>
      <c r="NG13" s="1"/>
      <c r="NH13" s="13">
        <v>0.06</v>
      </c>
      <c r="NI13" s="1">
        <f>Combine!A15</f>
        <v>48235</v>
      </c>
      <c r="NJ13" s="14">
        <f>Combine!F15</f>
        <v>74173.338537788004</v>
      </c>
    </row>
    <row r="14" spans="1:374" ht="12" customHeight="1" x14ac:dyDescent="0.3">
      <c r="A14" s="15" t="s">
        <v>856</v>
      </c>
      <c r="B14" s="22">
        <v>0.03</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F14" s="1"/>
      <c r="NG14" s="1"/>
      <c r="NH14" s="13">
        <v>6.5000000000000002E-2</v>
      </c>
      <c r="NI14" s="1">
        <f>Combine!A16</f>
        <v>49424</v>
      </c>
      <c r="NJ14" s="14">
        <f>Combine!F16</f>
        <v>334616.79079342401</v>
      </c>
    </row>
    <row r="15" spans="1:374" ht="12" customHeight="1" x14ac:dyDescent="0.3">
      <c r="A15" s="15" t="s">
        <v>857</v>
      </c>
      <c r="B15" s="16">
        <f>-PMT(B7/12,B8*12,(B4-B6))</f>
        <v>1256.8892760612939</v>
      </c>
      <c r="C15" s="1"/>
      <c r="D15" s="1"/>
      <c r="E15" s="1"/>
      <c r="F15" s="1"/>
      <c r="G15" s="23"/>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F15" s="1"/>
      <c r="NG15" s="1"/>
      <c r="NH15" s="13">
        <v>7.0000000000000007E-2</v>
      </c>
      <c r="NI15" s="1">
        <f>Combine!A17</f>
        <v>48439</v>
      </c>
      <c r="NJ15" s="14">
        <f>Combine!F17</f>
        <v>261882.75318748</v>
      </c>
    </row>
    <row r="16" spans="1:374" ht="14.25" customHeight="1" x14ac:dyDescent="0.3">
      <c r="A16" s="15" t="s">
        <v>858</v>
      </c>
      <c r="B16" s="16">
        <f t="array" ref="B16">INDEX(Combine!E5:$E129,MATCH(Based_on_zipcodes!$B$3,Combine!A5:$A$129,0))</f>
        <v>1885.375</v>
      </c>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F16" s="1"/>
      <c r="NG16" s="1"/>
      <c r="NH16" s="13">
        <v>7.4999999999999997E-2</v>
      </c>
      <c r="NI16" s="1">
        <f>Combine!A18</f>
        <v>49423</v>
      </c>
      <c r="NJ16" s="14">
        <f>Combine!F18</f>
        <v>284766.01546370098</v>
      </c>
    </row>
    <row r="17" spans="1:374" ht="14.25" customHeight="1" x14ac:dyDescent="0.3">
      <c r="A17" s="15" t="s">
        <v>859</v>
      </c>
      <c r="B17" s="21">
        <v>0.05</v>
      </c>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F17" s="1"/>
      <c r="NG17" s="1"/>
      <c r="NH17" s="13">
        <v>0.08</v>
      </c>
      <c r="NI17" s="1">
        <f>Combine!A19</f>
        <v>48104</v>
      </c>
      <c r="NJ17" s="14">
        <f>Combine!F19</f>
        <v>522134.80945018801</v>
      </c>
    </row>
    <row r="18" spans="1:374" ht="14.25" customHeight="1" thickBot="1" x14ac:dyDescent="0.35">
      <c r="A18" s="25" t="s">
        <v>860</v>
      </c>
      <c r="B18" s="62">
        <v>0.08</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F18" s="1"/>
      <c r="NG18" s="1"/>
      <c r="NH18" s="13">
        <v>8.5000000000000006E-2</v>
      </c>
      <c r="NI18" s="1">
        <f>Combine!A20</f>
        <v>48843</v>
      </c>
      <c r="NJ18" s="14">
        <f>Combine!F20</f>
        <v>354450.29503696098</v>
      </c>
    </row>
    <row r="19" spans="1:374" ht="14.25" customHeight="1" x14ac:dyDescent="0.3">
      <c r="A19"/>
      <c r="B19" s="1"/>
      <c r="C19" s="1"/>
      <c r="D19"/>
      <c r="NF19" s="1"/>
      <c r="NG19" s="1"/>
      <c r="NH19" s="13">
        <v>0.09</v>
      </c>
      <c r="NI19" s="1">
        <f>Combine!A21</f>
        <v>48307</v>
      </c>
      <c r="NJ19" s="14">
        <f>Combine!F21</f>
        <v>386799.83807291201</v>
      </c>
    </row>
    <row r="20" spans="1:374" ht="15" customHeight="1" x14ac:dyDescent="0.3">
      <c r="A20" s="26" t="s">
        <v>861</v>
      </c>
      <c r="B20" s="27"/>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c r="JY20" s="24"/>
      <c r="JZ20" s="24"/>
      <c r="KA20" s="24"/>
      <c r="KB20" s="24"/>
      <c r="KC20" s="24"/>
      <c r="KD20" s="24"/>
      <c r="KE20" s="24"/>
      <c r="KF20" s="24"/>
      <c r="KG20" s="24"/>
      <c r="KH20" s="24"/>
      <c r="KI20" s="24"/>
      <c r="KJ20" s="24"/>
      <c r="KK20" s="24"/>
      <c r="KL20" s="24"/>
      <c r="KM20" s="24"/>
      <c r="KN20" s="24"/>
      <c r="KO20" s="24"/>
      <c r="KP20" s="24"/>
      <c r="KQ20" s="24"/>
      <c r="KR20" s="24"/>
      <c r="KS20" s="24"/>
      <c r="KT20" s="24"/>
      <c r="KU20" s="24"/>
      <c r="KV20" s="24"/>
      <c r="KW20" s="24"/>
      <c r="KX20" s="24"/>
      <c r="KY20" s="24"/>
      <c r="KZ20" s="24"/>
      <c r="LA20" s="24"/>
      <c r="LB20" s="24"/>
      <c r="LC20" s="24"/>
      <c r="LD20" s="24"/>
      <c r="LE20" s="24"/>
      <c r="LF20" s="24"/>
      <c r="LG20" s="24"/>
      <c r="LH20" s="24"/>
      <c r="LI20" s="24"/>
      <c r="LJ20" s="24"/>
      <c r="LK20" s="24"/>
      <c r="LL20" s="24"/>
      <c r="LM20" s="24"/>
      <c r="LN20" s="24"/>
      <c r="LO20" s="24"/>
      <c r="LP20" s="24"/>
      <c r="LQ20" s="24"/>
      <c r="LR20" s="24"/>
      <c r="LS20" s="24"/>
      <c r="LT20" s="24"/>
      <c r="LU20" s="24"/>
      <c r="LV20" s="24"/>
      <c r="LW20" s="24"/>
      <c r="LX20" s="24"/>
      <c r="LY20" s="24"/>
      <c r="LZ20" s="24"/>
      <c r="MA20" s="24"/>
      <c r="MB20" s="24"/>
      <c r="MC20" s="24"/>
      <c r="MD20" s="24"/>
      <c r="ME20" s="24"/>
      <c r="MF20" s="24"/>
      <c r="MG20" s="24"/>
      <c r="MH20" s="24"/>
      <c r="MI20" s="24"/>
      <c r="MJ20" s="24"/>
      <c r="MK20" s="24"/>
      <c r="ML20" s="24"/>
      <c r="MM20" s="24"/>
      <c r="MN20" s="24"/>
      <c r="MO20" s="24"/>
      <c r="MP20" s="24"/>
      <c r="MQ20" s="24"/>
      <c r="MR20" s="24"/>
      <c r="MS20" s="24"/>
      <c r="MT20" s="24"/>
      <c r="MU20" s="24"/>
      <c r="MV20" s="24"/>
      <c r="MW20" s="24"/>
      <c r="MX20" s="24"/>
      <c r="MY20" s="1"/>
      <c r="MZ20" s="1"/>
      <c r="NA20" s="1"/>
      <c r="NB20" s="1"/>
      <c r="NC20" s="1"/>
      <c r="ND20" s="1"/>
      <c r="NE20" s="1"/>
      <c r="NF20" s="1"/>
      <c r="NG20" s="1"/>
      <c r="NH20" s="13">
        <v>9.5000000000000001E-2</v>
      </c>
      <c r="NI20" s="1">
        <f>Combine!A22</f>
        <v>48310</v>
      </c>
      <c r="NJ20" s="14">
        <f>Combine!F22</f>
        <v>277870.76621032902</v>
      </c>
    </row>
    <row r="21" spans="1:374" ht="15.75" customHeight="1" x14ac:dyDescent="0.3">
      <c r="A21" s="28" t="s">
        <v>862</v>
      </c>
      <c r="B21" s="29">
        <v>0</v>
      </c>
      <c r="C21" s="30">
        <v>1</v>
      </c>
      <c r="D21" s="30">
        <v>2</v>
      </c>
      <c r="E21" s="30">
        <v>3</v>
      </c>
      <c r="F21" s="30">
        <v>4</v>
      </c>
      <c r="G21" s="30">
        <v>5</v>
      </c>
      <c r="H21" s="30">
        <v>6</v>
      </c>
      <c r="I21" s="30">
        <v>7</v>
      </c>
      <c r="J21" s="30">
        <v>8</v>
      </c>
      <c r="K21" s="30">
        <v>9</v>
      </c>
      <c r="L21" s="30">
        <v>10</v>
      </c>
      <c r="M21" s="30">
        <v>11</v>
      </c>
      <c r="N21" s="30">
        <v>12</v>
      </c>
      <c r="O21" s="30">
        <v>13</v>
      </c>
      <c r="P21" s="30">
        <v>14</v>
      </c>
      <c r="Q21" s="30">
        <v>15</v>
      </c>
      <c r="R21" s="30">
        <v>16</v>
      </c>
      <c r="S21" s="30">
        <v>17</v>
      </c>
      <c r="T21" s="30">
        <v>18</v>
      </c>
      <c r="U21" s="30">
        <v>19</v>
      </c>
      <c r="V21" s="30">
        <v>20</v>
      </c>
      <c r="W21" s="30">
        <v>21</v>
      </c>
      <c r="X21" s="30">
        <v>22</v>
      </c>
      <c r="Y21" s="30">
        <v>23</v>
      </c>
      <c r="Z21" s="30">
        <v>24</v>
      </c>
      <c r="AA21" s="30">
        <v>25</v>
      </c>
      <c r="AB21" s="30">
        <v>26</v>
      </c>
      <c r="AC21" s="30">
        <v>27</v>
      </c>
      <c r="AD21" s="30">
        <v>28</v>
      </c>
      <c r="AE21" s="30">
        <v>29</v>
      </c>
      <c r="AF21" s="30">
        <v>30</v>
      </c>
      <c r="AG21" s="30">
        <v>31</v>
      </c>
      <c r="AH21" s="30">
        <v>32</v>
      </c>
      <c r="AI21" s="30">
        <v>33</v>
      </c>
      <c r="AJ21" s="30">
        <v>34</v>
      </c>
      <c r="AK21" s="30">
        <v>35</v>
      </c>
      <c r="AL21" s="30">
        <v>36</v>
      </c>
      <c r="AM21" s="30">
        <v>37</v>
      </c>
      <c r="AN21" s="30">
        <v>38</v>
      </c>
      <c r="AO21" s="30">
        <v>39</v>
      </c>
      <c r="AP21" s="30">
        <v>40</v>
      </c>
      <c r="AQ21" s="30">
        <v>41</v>
      </c>
      <c r="AR21" s="30">
        <v>42</v>
      </c>
      <c r="AS21" s="30">
        <v>43</v>
      </c>
      <c r="AT21" s="30">
        <v>44</v>
      </c>
      <c r="AU21" s="30">
        <v>45</v>
      </c>
      <c r="AV21" s="30">
        <v>46</v>
      </c>
      <c r="AW21" s="30">
        <v>47</v>
      </c>
      <c r="AX21" s="30">
        <v>48</v>
      </c>
      <c r="AY21" s="30">
        <v>49</v>
      </c>
      <c r="AZ21" s="30">
        <v>50</v>
      </c>
      <c r="BA21" s="30">
        <v>51</v>
      </c>
      <c r="BB21" s="30">
        <v>52</v>
      </c>
      <c r="BC21" s="30">
        <v>53</v>
      </c>
      <c r="BD21" s="30">
        <v>54</v>
      </c>
      <c r="BE21" s="30">
        <v>55</v>
      </c>
      <c r="BF21" s="30">
        <v>56</v>
      </c>
      <c r="BG21" s="30">
        <v>57</v>
      </c>
      <c r="BH21" s="30">
        <v>58</v>
      </c>
      <c r="BI21" s="30">
        <v>59</v>
      </c>
      <c r="BJ21" s="30">
        <v>60</v>
      </c>
      <c r="BK21" s="30">
        <v>61</v>
      </c>
      <c r="BL21" s="30">
        <v>62</v>
      </c>
      <c r="BM21" s="30">
        <v>63</v>
      </c>
      <c r="BN21" s="30">
        <v>64</v>
      </c>
      <c r="BO21" s="30">
        <v>65</v>
      </c>
      <c r="BP21" s="30">
        <v>66</v>
      </c>
      <c r="BQ21" s="30">
        <v>67</v>
      </c>
      <c r="BR21" s="30">
        <v>68</v>
      </c>
      <c r="BS21" s="30">
        <v>69</v>
      </c>
      <c r="BT21" s="30">
        <v>70</v>
      </c>
      <c r="BU21" s="30">
        <v>71</v>
      </c>
      <c r="BV21" s="30">
        <v>72</v>
      </c>
      <c r="BW21" s="30">
        <v>73</v>
      </c>
      <c r="BX21" s="30">
        <v>74</v>
      </c>
      <c r="BY21" s="30">
        <v>75</v>
      </c>
      <c r="BZ21" s="30">
        <v>76</v>
      </c>
      <c r="CA21" s="30">
        <v>77</v>
      </c>
      <c r="CB21" s="30">
        <v>78</v>
      </c>
      <c r="CC21" s="30">
        <v>79</v>
      </c>
      <c r="CD21" s="30">
        <v>80</v>
      </c>
      <c r="CE21" s="30">
        <v>81</v>
      </c>
      <c r="CF21" s="30">
        <v>82</v>
      </c>
      <c r="CG21" s="30">
        <v>83</v>
      </c>
      <c r="CH21" s="30">
        <v>84</v>
      </c>
      <c r="CI21" s="30">
        <v>85</v>
      </c>
      <c r="CJ21" s="30">
        <v>86</v>
      </c>
      <c r="CK21" s="30">
        <v>87</v>
      </c>
      <c r="CL21" s="30">
        <v>88</v>
      </c>
      <c r="CM21" s="30">
        <v>89</v>
      </c>
      <c r="CN21" s="30">
        <v>90</v>
      </c>
      <c r="CO21" s="30">
        <v>91</v>
      </c>
      <c r="CP21" s="30">
        <v>92</v>
      </c>
      <c r="CQ21" s="30">
        <v>93</v>
      </c>
      <c r="CR21" s="30">
        <v>94</v>
      </c>
      <c r="CS21" s="30">
        <v>95</v>
      </c>
      <c r="CT21" s="30">
        <v>96</v>
      </c>
      <c r="CU21" s="30">
        <v>97</v>
      </c>
      <c r="CV21" s="30">
        <v>98</v>
      </c>
      <c r="CW21" s="30">
        <v>99</v>
      </c>
      <c r="CX21" s="30">
        <v>100</v>
      </c>
      <c r="CY21" s="30">
        <v>101</v>
      </c>
      <c r="CZ21" s="30">
        <v>102</v>
      </c>
      <c r="DA21" s="30">
        <v>103</v>
      </c>
      <c r="DB21" s="30">
        <v>104</v>
      </c>
      <c r="DC21" s="30">
        <v>105</v>
      </c>
      <c r="DD21" s="30">
        <v>106</v>
      </c>
      <c r="DE21" s="30">
        <v>107</v>
      </c>
      <c r="DF21" s="30">
        <v>108</v>
      </c>
      <c r="DG21" s="30">
        <v>109</v>
      </c>
      <c r="DH21" s="30">
        <v>110</v>
      </c>
      <c r="DI21" s="30">
        <v>111</v>
      </c>
      <c r="DJ21" s="30">
        <v>112</v>
      </c>
      <c r="DK21" s="30">
        <v>113</v>
      </c>
      <c r="DL21" s="30">
        <v>114</v>
      </c>
      <c r="DM21" s="30">
        <v>115</v>
      </c>
      <c r="DN21" s="30">
        <v>116</v>
      </c>
      <c r="DO21" s="30">
        <v>117</v>
      </c>
      <c r="DP21" s="30">
        <v>118</v>
      </c>
      <c r="DQ21" s="30">
        <v>119</v>
      </c>
      <c r="DR21" s="30">
        <v>120</v>
      </c>
      <c r="DS21" s="30">
        <v>121</v>
      </c>
      <c r="DT21" s="30">
        <v>122</v>
      </c>
      <c r="DU21" s="30">
        <v>123</v>
      </c>
      <c r="DV21" s="30">
        <v>124</v>
      </c>
      <c r="DW21" s="30">
        <v>125</v>
      </c>
      <c r="DX21" s="30">
        <v>126</v>
      </c>
      <c r="DY21" s="30">
        <v>127</v>
      </c>
      <c r="DZ21" s="30">
        <v>128</v>
      </c>
      <c r="EA21" s="30">
        <v>129</v>
      </c>
      <c r="EB21" s="30">
        <v>130</v>
      </c>
      <c r="EC21" s="30">
        <v>131</v>
      </c>
      <c r="ED21" s="30">
        <v>132</v>
      </c>
      <c r="EE21" s="30">
        <v>133</v>
      </c>
      <c r="EF21" s="30">
        <v>134</v>
      </c>
      <c r="EG21" s="30">
        <v>135</v>
      </c>
      <c r="EH21" s="30">
        <v>136</v>
      </c>
      <c r="EI21" s="30">
        <v>137</v>
      </c>
      <c r="EJ21" s="30">
        <v>138</v>
      </c>
      <c r="EK21" s="30">
        <v>139</v>
      </c>
      <c r="EL21" s="30">
        <v>140</v>
      </c>
      <c r="EM21" s="30">
        <v>141</v>
      </c>
      <c r="EN21" s="30">
        <v>142</v>
      </c>
      <c r="EO21" s="30">
        <v>143</v>
      </c>
      <c r="EP21" s="30">
        <v>144</v>
      </c>
      <c r="EQ21" s="30">
        <v>145</v>
      </c>
      <c r="ER21" s="30">
        <v>146</v>
      </c>
      <c r="ES21" s="30">
        <v>147</v>
      </c>
      <c r="ET21" s="30">
        <v>148</v>
      </c>
      <c r="EU21" s="30">
        <v>149</v>
      </c>
      <c r="EV21" s="30">
        <v>150</v>
      </c>
      <c r="EW21" s="30">
        <v>151</v>
      </c>
      <c r="EX21" s="30">
        <v>152</v>
      </c>
      <c r="EY21" s="30">
        <v>153</v>
      </c>
      <c r="EZ21" s="30">
        <v>154</v>
      </c>
      <c r="FA21" s="30">
        <v>155</v>
      </c>
      <c r="FB21" s="30">
        <v>156</v>
      </c>
      <c r="FC21" s="30">
        <v>157</v>
      </c>
      <c r="FD21" s="30">
        <v>158</v>
      </c>
      <c r="FE21" s="30">
        <v>159</v>
      </c>
      <c r="FF21" s="30">
        <v>160</v>
      </c>
      <c r="FG21" s="30">
        <v>161</v>
      </c>
      <c r="FH21" s="30">
        <v>162</v>
      </c>
      <c r="FI21" s="30">
        <v>163</v>
      </c>
      <c r="FJ21" s="30">
        <v>164</v>
      </c>
      <c r="FK21" s="30">
        <v>165</v>
      </c>
      <c r="FL21" s="30">
        <v>166</v>
      </c>
      <c r="FM21" s="30">
        <v>167</v>
      </c>
      <c r="FN21" s="30">
        <v>168</v>
      </c>
      <c r="FO21" s="30">
        <v>169</v>
      </c>
      <c r="FP21" s="30">
        <v>170</v>
      </c>
      <c r="FQ21" s="30">
        <v>171</v>
      </c>
      <c r="FR21" s="30">
        <v>172</v>
      </c>
      <c r="FS21" s="30">
        <v>173</v>
      </c>
      <c r="FT21" s="30">
        <v>174</v>
      </c>
      <c r="FU21" s="30">
        <v>175</v>
      </c>
      <c r="FV21" s="30">
        <v>176</v>
      </c>
      <c r="FW21" s="30">
        <v>177</v>
      </c>
      <c r="FX21" s="30">
        <v>178</v>
      </c>
      <c r="FY21" s="30">
        <v>179</v>
      </c>
      <c r="FZ21" s="30">
        <v>180</v>
      </c>
      <c r="GA21" s="30">
        <v>181</v>
      </c>
      <c r="GB21" s="30">
        <v>182</v>
      </c>
      <c r="GC21" s="30">
        <v>183</v>
      </c>
      <c r="GD21" s="30">
        <v>184</v>
      </c>
      <c r="GE21" s="30">
        <v>185</v>
      </c>
      <c r="GF21" s="30">
        <v>186</v>
      </c>
      <c r="GG21" s="30">
        <v>187</v>
      </c>
      <c r="GH21" s="30">
        <v>188</v>
      </c>
      <c r="GI21" s="30">
        <v>189</v>
      </c>
      <c r="GJ21" s="30">
        <v>190</v>
      </c>
      <c r="GK21" s="30">
        <v>191</v>
      </c>
      <c r="GL21" s="30">
        <v>192</v>
      </c>
      <c r="GM21" s="30">
        <v>193</v>
      </c>
      <c r="GN21" s="30">
        <v>194</v>
      </c>
      <c r="GO21" s="30">
        <v>195</v>
      </c>
      <c r="GP21" s="30">
        <v>196</v>
      </c>
      <c r="GQ21" s="30">
        <v>197</v>
      </c>
      <c r="GR21" s="30">
        <v>198</v>
      </c>
      <c r="GS21" s="30">
        <v>199</v>
      </c>
      <c r="GT21" s="30">
        <v>200</v>
      </c>
      <c r="GU21" s="30">
        <v>201</v>
      </c>
      <c r="GV21" s="30">
        <v>202</v>
      </c>
      <c r="GW21" s="30">
        <v>203</v>
      </c>
      <c r="GX21" s="30">
        <v>204</v>
      </c>
      <c r="GY21" s="30">
        <v>205</v>
      </c>
      <c r="GZ21" s="30">
        <v>206</v>
      </c>
      <c r="HA21" s="30">
        <v>207</v>
      </c>
      <c r="HB21" s="30">
        <v>208</v>
      </c>
      <c r="HC21" s="30">
        <v>209</v>
      </c>
      <c r="HD21" s="30">
        <v>210</v>
      </c>
      <c r="HE21" s="30">
        <v>211</v>
      </c>
      <c r="HF21" s="30">
        <v>212</v>
      </c>
      <c r="HG21" s="30">
        <v>213</v>
      </c>
      <c r="HH21" s="30">
        <v>214</v>
      </c>
      <c r="HI21" s="30">
        <v>215</v>
      </c>
      <c r="HJ21" s="30">
        <v>216</v>
      </c>
      <c r="HK21" s="30">
        <v>217</v>
      </c>
      <c r="HL21" s="30">
        <v>218</v>
      </c>
      <c r="HM21" s="30">
        <v>219</v>
      </c>
      <c r="HN21" s="30">
        <v>220</v>
      </c>
      <c r="HO21" s="30">
        <v>221</v>
      </c>
      <c r="HP21" s="30">
        <v>222</v>
      </c>
      <c r="HQ21" s="30">
        <v>223</v>
      </c>
      <c r="HR21" s="30">
        <v>224</v>
      </c>
      <c r="HS21" s="30">
        <v>225</v>
      </c>
      <c r="HT21" s="30">
        <v>226</v>
      </c>
      <c r="HU21" s="30">
        <v>227</v>
      </c>
      <c r="HV21" s="30">
        <v>228</v>
      </c>
      <c r="HW21" s="30">
        <v>229</v>
      </c>
      <c r="HX21" s="30">
        <v>230</v>
      </c>
      <c r="HY21" s="30">
        <v>231</v>
      </c>
      <c r="HZ21" s="30">
        <v>232</v>
      </c>
      <c r="IA21" s="30">
        <v>233</v>
      </c>
      <c r="IB21" s="30">
        <v>234</v>
      </c>
      <c r="IC21" s="30">
        <v>235</v>
      </c>
      <c r="ID21" s="30">
        <v>236</v>
      </c>
      <c r="IE21" s="30">
        <v>237</v>
      </c>
      <c r="IF21" s="30">
        <v>238</v>
      </c>
      <c r="IG21" s="30">
        <v>239</v>
      </c>
      <c r="IH21" s="30">
        <v>240</v>
      </c>
      <c r="II21" s="30">
        <v>241</v>
      </c>
      <c r="IJ21" s="30">
        <v>242</v>
      </c>
      <c r="IK21" s="30">
        <v>243</v>
      </c>
      <c r="IL21" s="30">
        <v>244</v>
      </c>
      <c r="IM21" s="30">
        <v>245</v>
      </c>
      <c r="IN21" s="30">
        <v>246</v>
      </c>
      <c r="IO21" s="30">
        <v>247</v>
      </c>
      <c r="IP21" s="30">
        <v>248</v>
      </c>
      <c r="IQ21" s="30">
        <v>249</v>
      </c>
      <c r="IR21" s="30">
        <v>250</v>
      </c>
      <c r="IS21" s="30">
        <v>251</v>
      </c>
      <c r="IT21" s="30">
        <v>252</v>
      </c>
      <c r="IU21" s="30">
        <v>253</v>
      </c>
      <c r="IV21" s="30">
        <v>254</v>
      </c>
      <c r="IW21" s="30">
        <v>255</v>
      </c>
      <c r="IX21" s="30">
        <v>256</v>
      </c>
      <c r="IY21" s="30">
        <v>257</v>
      </c>
      <c r="IZ21" s="30">
        <v>258</v>
      </c>
      <c r="JA21" s="30">
        <v>259</v>
      </c>
      <c r="JB21" s="30">
        <v>260</v>
      </c>
      <c r="JC21" s="30">
        <v>261</v>
      </c>
      <c r="JD21" s="30">
        <v>262</v>
      </c>
      <c r="JE21" s="30">
        <v>263</v>
      </c>
      <c r="JF21" s="30">
        <v>264</v>
      </c>
      <c r="JG21" s="30">
        <v>265</v>
      </c>
      <c r="JH21" s="30">
        <v>266</v>
      </c>
      <c r="JI21" s="30">
        <v>267</v>
      </c>
      <c r="JJ21" s="30">
        <v>268</v>
      </c>
      <c r="JK21" s="30">
        <v>269</v>
      </c>
      <c r="JL21" s="30">
        <v>270</v>
      </c>
      <c r="JM21" s="30">
        <v>271</v>
      </c>
      <c r="JN21" s="30">
        <v>272</v>
      </c>
      <c r="JO21" s="30">
        <v>273</v>
      </c>
      <c r="JP21" s="30">
        <v>274</v>
      </c>
      <c r="JQ21" s="30">
        <v>275</v>
      </c>
      <c r="JR21" s="30">
        <v>276</v>
      </c>
      <c r="JS21" s="30">
        <v>277</v>
      </c>
      <c r="JT21" s="30">
        <v>278</v>
      </c>
      <c r="JU21" s="30">
        <v>279</v>
      </c>
      <c r="JV21" s="30">
        <v>280</v>
      </c>
      <c r="JW21" s="30">
        <v>281</v>
      </c>
      <c r="JX21" s="30">
        <v>282</v>
      </c>
      <c r="JY21" s="30">
        <v>283</v>
      </c>
      <c r="JZ21" s="30">
        <v>284</v>
      </c>
      <c r="KA21" s="30">
        <v>285</v>
      </c>
      <c r="KB21" s="30">
        <v>286</v>
      </c>
      <c r="KC21" s="30">
        <v>287</v>
      </c>
      <c r="KD21" s="30">
        <v>288</v>
      </c>
      <c r="KE21" s="30">
        <v>289</v>
      </c>
      <c r="KF21" s="30">
        <v>290</v>
      </c>
      <c r="KG21" s="30">
        <v>291</v>
      </c>
      <c r="KH21" s="30">
        <v>292</v>
      </c>
      <c r="KI21" s="30">
        <v>293</v>
      </c>
      <c r="KJ21" s="30">
        <v>294</v>
      </c>
      <c r="KK21" s="30">
        <v>295</v>
      </c>
      <c r="KL21" s="30">
        <v>296</v>
      </c>
      <c r="KM21" s="30">
        <v>297</v>
      </c>
      <c r="KN21" s="30">
        <v>298</v>
      </c>
      <c r="KO21" s="30">
        <v>299</v>
      </c>
      <c r="KP21" s="30">
        <v>300</v>
      </c>
      <c r="KQ21" s="30">
        <v>301</v>
      </c>
      <c r="KR21" s="30">
        <v>302</v>
      </c>
      <c r="KS21" s="30">
        <v>303</v>
      </c>
      <c r="KT21" s="30">
        <v>304</v>
      </c>
      <c r="KU21" s="30">
        <v>305</v>
      </c>
      <c r="KV21" s="30">
        <v>306</v>
      </c>
      <c r="KW21" s="30">
        <v>307</v>
      </c>
      <c r="KX21" s="30">
        <v>308</v>
      </c>
      <c r="KY21" s="30">
        <v>309</v>
      </c>
      <c r="KZ21" s="30">
        <v>310</v>
      </c>
      <c r="LA21" s="30">
        <v>311</v>
      </c>
      <c r="LB21" s="30">
        <v>312</v>
      </c>
      <c r="LC21" s="30">
        <v>313</v>
      </c>
      <c r="LD21" s="30">
        <v>314</v>
      </c>
      <c r="LE21" s="30">
        <v>315</v>
      </c>
      <c r="LF21" s="30">
        <v>316</v>
      </c>
      <c r="LG21" s="30">
        <v>317</v>
      </c>
      <c r="LH21" s="30">
        <v>318</v>
      </c>
      <c r="LI21" s="30">
        <v>319</v>
      </c>
      <c r="LJ21" s="30">
        <v>320</v>
      </c>
      <c r="LK21" s="30">
        <v>321</v>
      </c>
      <c r="LL21" s="30">
        <v>322</v>
      </c>
      <c r="LM21" s="30">
        <v>323</v>
      </c>
      <c r="LN21" s="30">
        <v>324</v>
      </c>
      <c r="LO21" s="30">
        <v>325</v>
      </c>
      <c r="LP21" s="30">
        <v>326</v>
      </c>
      <c r="LQ21" s="30">
        <v>327</v>
      </c>
      <c r="LR21" s="30">
        <v>328</v>
      </c>
      <c r="LS21" s="30">
        <v>329</v>
      </c>
      <c r="LT21" s="30">
        <v>330</v>
      </c>
      <c r="LU21" s="30">
        <v>331</v>
      </c>
      <c r="LV21" s="30">
        <v>332</v>
      </c>
      <c r="LW21" s="30">
        <v>333</v>
      </c>
      <c r="LX21" s="30">
        <v>334</v>
      </c>
      <c r="LY21" s="30">
        <v>335</v>
      </c>
      <c r="LZ21" s="30">
        <v>336</v>
      </c>
      <c r="MA21" s="30">
        <v>337</v>
      </c>
      <c r="MB21" s="30">
        <v>338</v>
      </c>
      <c r="MC21" s="30">
        <v>339</v>
      </c>
      <c r="MD21" s="30">
        <v>340</v>
      </c>
      <c r="ME21" s="30">
        <v>341</v>
      </c>
      <c r="MF21" s="30">
        <v>342</v>
      </c>
      <c r="MG21" s="30">
        <v>343</v>
      </c>
      <c r="MH21" s="30">
        <v>344</v>
      </c>
      <c r="MI21" s="30">
        <v>345</v>
      </c>
      <c r="MJ21" s="30">
        <v>346</v>
      </c>
      <c r="MK21" s="30">
        <v>347</v>
      </c>
      <c r="ML21" s="30">
        <v>348</v>
      </c>
      <c r="MM21" s="30">
        <v>349</v>
      </c>
      <c r="MN21" s="30">
        <v>350</v>
      </c>
      <c r="MO21" s="30">
        <v>351</v>
      </c>
      <c r="MP21" s="30">
        <v>352</v>
      </c>
      <c r="MQ21" s="30">
        <v>353</v>
      </c>
      <c r="MR21" s="30">
        <v>354</v>
      </c>
      <c r="MS21" s="30">
        <v>355</v>
      </c>
      <c r="MT21" s="30">
        <v>356</v>
      </c>
      <c r="MU21" s="30">
        <v>357</v>
      </c>
      <c r="MV21" s="30">
        <v>358</v>
      </c>
      <c r="MW21" s="30">
        <v>359</v>
      </c>
      <c r="MX21" s="54">
        <v>360</v>
      </c>
      <c r="MY21" s="1"/>
      <c r="MZ21" s="1"/>
      <c r="NA21" s="1"/>
      <c r="NB21" s="1"/>
      <c r="NC21" s="1"/>
      <c r="ND21" s="1"/>
      <c r="NE21" s="1"/>
      <c r="NF21" s="1"/>
      <c r="NG21" s="1"/>
      <c r="NH21" s="13">
        <v>0.1</v>
      </c>
      <c r="NI21" s="1">
        <f>Combine!A23</f>
        <v>49442</v>
      </c>
      <c r="NJ21" s="14">
        <f>Combine!F23</f>
        <v>140595.20148828599</v>
      </c>
    </row>
    <row r="22" spans="1:374" ht="12.75" customHeight="1" x14ac:dyDescent="0.3">
      <c r="A22" s="31" t="s">
        <v>863</v>
      </c>
      <c r="B22" s="32">
        <f>B4</f>
        <v>455236.044563526</v>
      </c>
      <c r="C22" s="33">
        <f t="shared" ref="C22:BN22" si="0">B22*(1+$B$12/12)</f>
        <v>457132.86141587404</v>
      </c>
      <c r="D22" s="33">
        <f t="shared" si="0"/>
        <v>459037.58167177351</v>
      </c>
      <c r="E22" s="33">
        <f t="shared" si="0"/>
        <v>460950.23826207255</v>
      </c>
      <c r="F22" s="33">
        <f t="shared" si="0"/>
        <v>462870.86425483116</v>
      </c>
      <c r="G22" s="33">
        <f t="shared" si="0"/>
        <v>464799.49285589292</v>
      </c>
      <c r="H22" s="33">
        <f t="shared" si="0"/>
        <v>466736.15740945912</v>
      </c>
      <c r="I22" s="33">
        <f t="shared" si="0"/>
        <v>468680.8913986652</v>
      </c>
      <c r="J22" s="33">
        <f t="shared" si="0"/>
        <v>470633.72844615963</v>
      </c>
      <c r="K22" s="33">
        <f t="shared" si="0"/>
        <v>472594.70231468527</v>
      </c>
      <c r="L22" s="33">
        <f t="shared" si="0"/>
        <v>474563.8469076631</v>
      </c>
      <c r="M22" s="33">
        <f t="shared" si="0"/>
        <v>476541.19626977836</v>
      </c>
      <c r="N22" s="33">
        <f t="shared" si="0"/>
        <v>478526.78458756907</v>
      </c>
      <c r="O22" s="33">
        <f t="shared" si="0"/>
        <v>480520.64619001729</v>
      </c>
      <c r="P22" s="33">
        <f t="shared" si="0"/>
        <v>482522.81554914237</v>
      </c>
      <c r="Q22" s="33">
        <f t="shared" si="0"/>
        <v>484533.32728059712</v>
      </c>
      <c r="R22" s="33">
        <f t="shared" si="0"/>
        <v>486552.21614426625</v>
      </c>
      <c r="S22" s="33">
        <f t="shared" si="0"/>
        <v>488579.51704486733</v>
      </c>
      <c r="T22" s="33">
        <f t="shared" si="0"/>
        <v>490615.26503255428</v>
      </c>
      <c r="U22" s="33">
        <f t="shared" si="0"/>
        <v>492659.49530352326</v>
      </c>
      <c r="V22" s="33">
        <f t="shared" si="0"/>
        <v>494712.24320062128</v>
      </c>
      <c r="W22" s="33">
        <f t="shared" si="0"/>
        <v>496773.54421395721</v>
      </c>
      <c r="X22" s="33">
        <f t="shared" si="0"/>
        <v>498843.43398151535</v>
      </c>
      <c r="Y22" s="33">
        <f t="shared" si="0"/>
        <v>500921.94828977168</v>
      </c>
      <c r="Z22" s="33">
        <f t="shared" si="0"/>
        <v>503009.1230743124</v>
      </c>
      <c r="AA22" s="33">
        <f t="shared" si="0"/>
        <v>505104.99442045536</v>
      </c>
      <c r="AB22" s="33">
        <f t="shared" si="0"/>
        <v>507209.59856387391</v>
      </c>
      <c r="AC22" s="33">
        <f t="shared" si="0"/>
        <v>509322.97189122339</v>
      </c>
      <c r="AD22" s="33">
        <f t="shared" si="0"/>
        <v>511445.15094077017</v>
      </c>
      <c r="AE22" s="33">
        <f t="shared" si="0"/>
        <v>513576.17240302335</v>
      </c>
      <c r="AF22" s="33">
        <f t="shared" si="0"/>
        <v>515716.07312136929</v>
      </c>
      <c r="AG22" s="33">
        <f t="shared" si="0"/>
        <v>517864.89009270835</v>
      </c>
      <c r="AH22" s="33">
        <f t="shared" si="0"/>
        <v>520022.66046809463</v>
      </c>
      <c r="AI22" s="33">
        <f t="shared" si="0"/>
        <v>522189.42155337834</v>
      </c>
      <c r="AJ22" s="33">
        <f t="shared" si="0"/>
        <v>524365.21080985072</v>
      </c>
      <c r="AK22" s="33">
        <f t="shared" si="0"/>
        <v>526550.06585489179</v>
      </c>
      <c r="AL22" s="33">
        <f t="shared" si="0"/>
        <v>528744.02446262049</v>
      </c>
      <c r="AM22" s="33">
        <f t="shared" si="0"/>
        <v>530947.12456454802</v>
      </c>
      <c r="AN22" s="33">
        <f t="shared" si="0"/>
        <v>533159.40425023367</v>
      </c>
      <c r="AO22" s="33">
        <f t="shared" si="0"/>
        <v>535380.90176794294</v>
      </c>
      <c r="AP22" s="33">
        <f t="shared" si="0"/>
        <v>537611.65552530938</v>
      </c>
      <c r="AQ22" s="33">
        <f t="shared" si="0"/>
        <v>539851.70408999815</v>
      </c>
      <c r="AR22" s="33">
        <f t="shared" si="0"/>
        <v>542101.08619037317</v>
      </c>
      <c r="AS22" s="33">
        <f t="shared" si="0"/>
        <v>544359.84071616642</v>
      </c>
      <c r="AT22" s="33">
        <f t="shared" si="0"/>
        <v>546628.00671915046</v>
      </c>
      <c r="AU22" s="33">
        <f t="shared" si="0"/>
        <v>548905.62341381353</v>
      </c>
      <c r="AV22" s="33">
        <f t="shared" si="0"/>
        <v>551192.73017803777</v>
      </c>
      <c r="AW22" s="33">
        <f t="shared" si="0"/>
        <v>553489.36655377958</v>
      </c>
      <c r="AX22" s="33">
        <f t="shared" si="0"/>
        <v>555795.57224775362</v>
      </c>
      <c r="AY22" s="33">
        <f t="shared" si="0"/>
        <v>558111.38713211927</v>
      </c>
      <c r="AZ22" s="33">
        <f t="shared" si="0"/>
        <v>560436.85124516976</v>
      </c>
      <c r="BA22" s="33">
        <f t="shared" si="0"/>
        <v>562772.00479202461</v>
      </c>
      <c r="BB22" s="33">
        <f t="shared" si="0"/>
        <v>565116.88814532466</v>
      </c>
      <c r="BC22" s="33">
        <f t="shared" si="0"/>
        <v>567471.54184593016</v>
      </c>
      <c r="BD22" s="33">
        <f t="shared" si="0"/>
        <v>569836.00660362153</v>
      </c>
      <c r="BE22" s="33">
        <f t="shared" si="0"/>
        <v>572210.32329780329</v>
      </c>
      <c r="BF22" s="33">
        <f t="shared" si="0"/>
        <v>574594.53297821083</v>
      </c>
      <c r="BG22" s="33">
        <f t="shared" si="0"/>
        <v>576988.67686562007</v>
      </c>
      <c r="BH22" s="33">
        <f t="shared" si="0"/>
        <v>579392.79635256017</v>
      </c>
      <c r="BI22" s="33">
        <f t="shared" si="0"/>
        <v>581806.93300402921</v>
      </c>
      <c r="BJ22" s="33">
        <f t="shared" si="0"/>
        <v>584231.12855821266</v>
      </c>
      <c r="BK22" s="33">
        <f t="shared" si="0"/>
        <v>586665.4249272052</v>
      </c>
      <c r="BL22" s="33">
        <f t="shared" si="0"/>
        <v>589109.86419773521</v>
      </c>
      <c r="BM22" s="33">
        <f t="shared" si="0"/>
        <v>591564.48863189248</v>
      </c>
      <c r="BN22" s="33">
        <f t="shared" si="0"/>
        <v>594029.34066785872</v>
      </c>
      <c r="BO22" s="33">
        <f t="shared" ref="BO22:DZ22" si="1">BN22*(1+$B$12/12)</f>
        <v>596504.46292064141</v>
      </c>
      <c r="BP22" s="33">
        <f t="shared" si="1"/>
        <v>598989.89818281075</v>
      </c>
      <c r="BQ22" s="33">
        <f t="shared" si="1"/>
        <v>601485.68942523911</v>
      </c>
      <c r="BR22" s="33">
        <f t="shared" si="1"/>
        <v>603991.87979784422</v>
      </c>
      <c r="BS22" s="33">
        <f t="shared" si="1"/>
        <v>606508.51263033517</v>
      </c>
      <c r="BT22" s="33">
        <f t="shared" si="1"/>
        <v>609035.63143296156</v>
      </c>
      <c r="BU22" s="33">
        <f t="shared" si="1"/>
        <v>611573.2798972656</v>
      </c>
      <c r="BV22" s="33">
        <f t="shared" si="1"/>
        <v>614121.50189683749</v>
      </c>
      <c r="BW22" s="33">
        <f t="shared" si="1"/>
        <v>616680.34148807428</v>
      </c>
      <c r="BX22" s="33">
        <f t="shared" si="1"/>
        <v>619249.84291094122</v>
      </c>
      <c r="BY22" s="33">
        <f t="shared" si="1"/>
        <v>621830.05058973678</v>
      </c>
      <c r="BZ22" s="33">
        <f t="shared" si="1"/>
        <v>624421.0091338607</v>
      </c>
      <c r="CA22" s="33">
        <f t="shared" si="1"/>
        <v>627022.76333858515</v>
      </c>
      <c r="CB22" s="33">
        <f t="shared" si="1"/>
        <v>629635.35818582925</v>
      </c>
      <c r="CC22" s="33">
        <f t="shared" si="1"/>
        <v>632258.83884493681</v>
      </c>
      <c r="CD22" s="33">
        <f t="shared" si="1"/>
        <v>634893.2506734574</v>
      </c>
      <c r="CE22" s="33">
        <f t="shared" si="1"/>
        <v>637538.63921793015</v>
      </c>
      <c r="CF22" s="33">
        <f t="shared" si="1"/>
        <v>640195.05021467153</v>
      </c>
      <c r="CG22" s="33">
        <f t="shared" si="1"/>
        <v>642862.52959056594</v>
      </c>
      <c r="CH22" s="33">
        <f t="shared" si="1"/>
        <v>645541.12346386001</v>
      </c>
      <c r="CI22" s="33">
        <f t="shared" si="1"/>
        <v>648230.87814495945</v>
      </c>
      <c r="CJ22" s="33">
        <f t="shared" si="1"/>
        <v>650931.84013723012</v>
      </c>
      <c r="CK22" s="33">
        <f t="shared" si="1"/>
        <v>653644.05613780185</v>
      </c>
      <c r="CL22" s="33">
        <f t="shared" si="1"/>
        <v>656367.57303837605</v>
      </c>
      <c r="CM22" s="33">
        <f t="shared" si="1"/>
        <v>659102.43792603596</v>
      </c>
      <c r="CN22" s="33">
        <f t="shared" si="1"/>
        <v>661848.69808406115</v>
      </c>
      <c r="CO22" s="33">
        <f t="shared" si="1"/>
        <v>664606.40099274472</v>
      </c>
      <c r="CP22" s="33">
        <f t="shared" si="1"/>
        <v>667375.59433021443</v>
      </c>
      <c r="CQ22" s="33">
        <f t="shared" si="1"/>
        <v>670156.32597325696</v>
      </c>
      <c r="CR22" s="33">
        <f t="shared" si="1"/>
        <v>672948.64399814548</v>
      </c>
      <c r="CS22" s="33">
        <f t="shared" si="1"/>
        <v>675752.5966814711</v>
      </c>
      <c r="CT22" s="33">
        <f t="shared" si="1"/>
        <v>678568.23250097723</v>
      </c>
      <c r="CU22" s="33">
        <f t="shared" si="1"/>
        <v>681395.60013639799</v>
      </c>
      <c r="CV22" s="33">
        <f t="shared" si="1"/>
        <v>684234.74847029964</v>
      </c>
      <c r="CW22" s="33">
        <f t="shared" si="1"/>
        <v>687085.72658892593</v>
      </c>
      <c r="CX22" s="33">
        <f t="shared" si="1"/>
        <v>689948.58378304646</v>
      </c>
      <c r="CY22" s="33">
        <f t="shared" si="1"/>
        <v>692823.36954880913</v>
      </c>
      <c r="CZ22" s="33">
        <f t="shared" si="1"/>
        <v>695710.13358859578</v>
      </c>
      <c r="DA22" s="33">
        <f t="shared" si="1"/>
        <v>698608.92581188155</v>
      </c>
      <c r="DB22" s="33">
        <f t="shared" si="1"/>
        <v>701519.79633609776</v>
      </c>
      <c r="DC22" s="33">
        <f t="shared" si="1"/>
        <v>704442.79548749817</v>
      </c>
      <c r="DD22" s="33">
        <f t="shared" si="1"/>
        <v>707377.97380202939</v>
      </c>
      <c r="DE22" s="33">
        <f t="shared" si="1"/>
        <v>710325.38202620449</v>
      </c>
      <c r="DF22" s="33">
        <f t="shared" si="1"/>
        <v>713285.07111798029</v>
      </c>
      <c r="DG22" s="33">
        <f t="shared" si="1"/>
        <v>716257.0922476385</v>
      </c>
      <c r="DH22" s="33">
        <f t="shared" si="1"/>
        <v>719241.49679867027</v>
      </c>
      <c r="DI22" s="33">
        <f t="shared" si="1"/>
        <v>722238.33636866475</v>
      </c>
      <c r="DJ22" s="33">
        <f t="shared" si="1"/>
        <v>725247.66277020087</v>
      </c>
      <c r="DK22" s="33">
        <f t="shared" si="1"/>
        <v>728269.52803174336</v>
      </c>
      <c r="DL22" s="33">
        <f t="shared" si="1"/>
        <v>731303.98439854232</v>
      </c>
      <c r="DM22" s="33">
        <f t="shared" si="1"/>
        <v>734351.08433353622</v>
      </c>
      <c r="DN22" s="33">
        <f t="shared" si="1"/>
        <v>737410.88051825925</v>
      </c>
      <c r="DO22" s="33">
        <f t="shared" si="1"/>
        <v>740483.42585375195</v>
      </c>
      <c r="DP22" s="33">
        <f t="shared" si="1"/>
        <v>743568.77346147585</v>
      </c>
      <c r="DQ22" s="33">
        <f t="shared" si="1"/>
        <v>746666.97668423201</v>
      </c>
      <c r="DR22" s="33">
        <f t="shared" si="1"/>
        <v>749778.089087083</v>
      </c>
      <c r="DS22" s="33">
        <f t="shared" si="1"/>
        <v>752902.16445827915</v>
      </c>
      <c r="DT22" s="33">
        <f t="shared" si="1"/>
        <v>756039.25681018864</v>
      </c>
      <c r="DU22" s="33">
        <f t="shared" si="1"/>
        <v>759189.42038023111</v>
      </c>
      <c r="DV22" s="33">
        <f t="shared" si="1"/>
        <v>762352.70963181544</v>
      </c>
      <c r="DW22" s="33">
        <f t="shared" si="1"/>
        <v>765529.17925528134</v>
      </c>
      <c r="DX22" s="33">
        <f t="shared" si="1"/>
        <v>768718.88416884502</v>
      </c>
      <c r="DY22" s="33">
        <f t="shared" si="1"/>
        <v>771921.8795195485</v>
      </c>
      <c r="DZ22" s="33">
        <f t="shared" si="1"/>
        <v>775138.22068421333</v>
      </c>
      <c r="EA22" s="33">
        <f t="shared" ref="EA22:GL22" si="2">DZ22*(1+$B$12/12)</f>
        <v>778367.96327039751</v>
      </c>
      <c r="EB22" s="33">
        <f t="shared" si="2"/>
        <v>781611.16311735753</v>
      </c>
      <c r="EC22" s="33">
        <f t="shared" si="2"/>
        <v>784867.87629701314</v>
      </c>
      <c r="ED22" s="33">
        <f t="shared" si="2"/>
        <v>788138.15911491739</v>
      </c>
      <c r="EE22" s="33">
        <f t="shared" si="2"/>
        <v>791422.06811122957</v>
      </c>
      <c r="EF22" s="33">
        <f t="shared" si="2"/>
        <v>794719.66006169305</v>
      </c>
      <c r="EG22" s="33">
        <f t="shared" si="2"/>
        <v>798030.9919786168</v>
      </c>
      <c r="EH22" s="33">
        <f t="shared" si="2"/>
        <v>801356.12111186108</v>
      </c>
      <c r="EI22" s="33">
        <f t="shared" si="2"/>
        <v>804695.10494982719</v>
      </c>
      <c r="EJ22" s="33">
        <f t="shared" si="2"/>
        <v>808048.00122045144</v>
      </c>
      <c r="EK22" s="33">
        <f t="shared" si="2"/>
        <v>811414.86789220327</v>
      </c>
      <c r="EL22" s="33">
        <f t="shared" si="2"/>
        <v>814795.7631750874</v>
      </c>
      <c r="EM22" s="33">
        <f t="shared" si="2"/>
        <v>818190.7455216503</v>
      </c>
      <c r="EN22" s="33">
        <f t="shared" si="2"/>
        <v>821599.87362799048</v>
      </c>
      <c r="EO22" s="33">
        <f t="shared" si="2"/>
        <v>825023.20643477375</v>
      </c>
      <c r="EP22" s="33">
        <f t="shared" si="2"/>
        <v>828460.80312825192</v>
      </c>
      <c r="EQ22" s="33">
        <f t="shared" si="2"/>
        <v>831912.72314128629</v>
      </c>
      <c r="ER22" s="33">
        <f t="shared" si="2"/>
        <v>835379.02615437494</v>
      </c>
      <c r="ES22" s="33">
        <f t="shared" si="2"/>
        <v>838859.77209668478</v>
      </c>
      <c r="ET22" s="33">
        <f t="shared" si="2"/>
        <v>842355.02114708768</v>
      </c>
      <c r="EU22" s="33">
        <f t="shared" si="2"/>
        <v>845864.83373520058</v>
      </c>
      <c r="EV22" s="33">
        <f t="shared" si="2"/>
        <v>849389.27054243058</v>
      </c>
      <c r="EW22" s="33">
        <f t="shared" si="2"/>
        <v>852928.39250302408</v>
      </c>
      <c r="EX22" s="33">
        <f t="shared" si="2"/>
        <v>856482.26080511999</v>
      </c>
      <c r="EY22" s="33">
        <f t="shared" si="2"/>
        <v>860050.93689180794</v>
      </c>
      <c r="EZ22" s="33">
        <f t="shared" si="2"/>
        <v>863634.48246219044</v>
      </c>
      <c r="FA22" s="33">
        <f t="shared" si="2"/>
        <v>867232.95947244961</v>
      </c>
      <c r="FB22" s="33">
        <f t="shared" si="2"/>
        <v>870846.43013691809</v>
      </c>
      <c r="FC22" s="33">
        <f t="shared" si="2"/>
        <v>874474.95692915528</v>
      </c>
      <c r="FD22" s="33">
        <f t="shared" si="2"/>
        <v>878118.60258302675</v>
      </c>
      <c r="FE22" s="33">
        <f t="shared" si="2"/>
        <v>881777.43009378936</v>
      </c>
      <c r="FF22" s="33">
        <f t="shared" si="2"/>
        <v>885451.50271918008</v>
      </c>
      <c r="FG22" s="33">
        <f t="shared" si="2"/>
        <v>889140.88398050994</v>
      </c>
      <c r="FH22" s="33">
        <f t="shared" si="2"/>
        <v>892845.63766376209</v>
      </c>
      <c r="FI22" s="33">
        <f t="shared" si="2"/>
        <v>896565.82782069442</v>
      </c>
      <c r="FJ22" s="33">
        <f t="shared" si="2"/>
        <v>900301.51876994735</v>
      </c>
      <c r="FK22" s="33">
        <f t="shared" si="2"/>
        <v>904052.77509815549</v>
      </c>
      <c r="FL22" s="33">
        <f t="shared" si="2"/>
        <v>907819.66166106449</v>
      </c>
      <c r="FM22" s="33">
        <f t="shared" si="2"/>
        <v>911602.2435846522</v>
      </c>
      <c r="FN22" s="33">
        <f t="shared" si="2"/>
        <v>915400.58626625489</v>
      </c>
      <c r="FO22" s="33">
        <f t="shared" si="2"/>
        <v>919214.75537569763</v>
      </c>
      <c r="FP22" s="33">
        <f t="shared" si="2"/>
        <v>923044.81685642968</v>
      </c>
      <c r="FQ22" s="33">
        <f t="shared" si="2"/>
        <v>926890.83692666481</v>
      </c>
      <c r="FR22" s="33">
        <f t="shared" si="2"/>
        <v>930752.88208052586</v>
      </c>
      <c r="FS22" s="33">
        <f t="shared" si="2"/>
        <v>934631.01908919471</v>
      </c>
      <c r="FT22" s="33">
        <f t="shared" si="2"/>
        <v>938525.31500206632</v>
      </c>
      <c r="FU22" s="33">
        <f t="shared" si="2"/>
        <v>942435.83714790829</v>
      </c>
      <c r="FV22" s="33">
        <f t="shared" si="2"/>
        <v>946362.6531360246</v>
      </c>
      <c r="FW22" s="33">
        <f t="shared" si="2"/>
        <v>950305.83085742465</v>
      </c>
      <c r="FX22" s="33">
        <f t="shared" si="2"/>
        <v>954265.43848599726</v>
      </c>
      <c r="FY22" s="33">
        <f t="shared" si="2"/>
        <v>958241.54447968886</v>
      </c>
      <c r="FZ22" s="33">
        <f t="shared" si="2"/>
        <v>962234.2175816875</v>
      </c>
      <c r="GA22" s="33">
        <f t="shared" si="2"/>
        <v>966243.52682161122</v>
      </c>
      <c r="GB22" s="33">
        <f t="shared" si="2"/>
        <v>970269.54151670123</v>
      </c>
      <c r="GC22" s="33">
        <f t="shared" si="2"/>
        <v>974312.33127302083</v>
      </c>
      <c r="GD22" s="33">
        <f t="shared" si="2"/>
        <v>978371.96598665835</v>
      </c>
      <c r="GE22" s="33">
        <f t="shared" si="2"/>
        <v>982448.51584493613</v>
      </c>
      <c r="GF22" s="33">
        <f t="shared" si="2"/>
        <v>986542.05132762331</v>
      </c>
      <c r="GG22" s="33">
        <f t="shared" si="2"/>
        <v>990652.64320815506</v>
      </c>
      <c r="GH22" s="33">
        <f t="shared" si="2"/>
        <v>994780.36255485564</v>
      </c>
      <c r="GI22" s="33">
        <f t="shared" si="2"/>
        <v>998925.28073216754</v>
      </c>
      <c r="GJ22" s="33">
        <f t="shared" si="2"/>
        <v>1003087.4694018849</v>
      </c>
      <c r="GK22" s="33">
        <f t="shared" si="2"/>
        <v>1007267.0005243928</v>
      </c>
      <c r="GL22" s="33">
        <f t="shared" si="2"/>
        <v>1011463.9463599111</v>
      </c>
      <c r="GM22" s="33">
        <f t="shared" ref="GM22:IX22" si="3">GL22*(1+$B$12/12)</f>
        <v>1015678.379469744</v>
      </c>
      <c r="GN22" s="33">
        <f t="shared" si="3"/>
        <v>1019910.3727175347</v>
      </c>
      <c r="GO22" s="33">
        <f t="shared" si="3"/>
        <v>1024159.9992705244</v>
      </c>
      <c r="GP22" s="33">
        <f t="shared" si="3"/>
        <v>1028427.3326008182</v>
      </c>
      <c r="GQ22" s="33">
        <f t="shared" si="3"/>
        <v>1032712.4464866549</v>
      </c>
      <c r="GR22" s="33">
        <f t="shared" si="3"/>
        <v>1037015.4150136827</v>
      </c>
      <c r="GS22" s="33">
        <f t="shared" si="3"/>
        <v>1041336.3125762397</v>
      </c>
      <c r="GT22" s="33">
        <f t="shared" si="3"/>
        <v>1045675.2138786407</v>
      </c>
      <c r="GU22" s="33">
        <f t="shared" si="3"/>
        <v>1050032.1939364683</v>
      </c>
      <c r="GV22" s="33">
        <f t="shared" si="3"/>
        <v>1054407.3280778702</v>
      </c>
      <c r="GW22" s="33">
        <f t="shared" si="3"/>
        <v>1058800.6919448613</v>
      </c>
      <c r="GX22" s="33">
        <f t="shared" si="3"/>
        <v>1063212.3614946315</v>
      </c>
      <c r="GY22" s="33">
        <f t="shared" si="3"/>
        <v>1067642.4130008591</v>
      </c>
      <c r="GZ22" s="33">
        <f t="shared" si="3"/>
        <v>1072090.9230550292</v>
      </c>
      <c r="HA22" s="33">
        <f t="shared" si="3"/>
        <v>1076557.9685677586</v>
      </c>
      <c r="HB22" s="33">
        <f t="shared" si="3"/>
        <v>1081043.6267701243</v>
      </c>
      <c r="HC22" s="33">
        <f t="shared" si="3"/>
        <v>1085547.9752149999</v>
      </c>
      <c r="HD22" s="33">
        <f t="shared" si="3"/>
        <v>1090071.0917783957</v>
      </c>
      <c r="HE22" s="33">
        <f t="shared" si="3"/>
        <v>1094613.0546608057</v>
      </c>
      <c r="HF22" s="33">
        <f t="shared" si="3"/>
        <v>1099173.942388559</v>
      </c>
      <c r="HG22" s="33">
        <f t="shared" si="3"/>
        <v>1103753.8338151779</v>
      </c>
      <c r="HH22" s="33">
        <f t="shared" si="3"/>
        <v>1108352.8081227411</v>
      </c>
      <c r="HI22" s="33">
        <f t="shared" si="3"/>
        <v>1112970.9448232525</v>
      </c>
      <c r="HJ22" s="33">
        <f t="shared" si="3"/>
        <v>1117608.3237600161</v>
      </c>
      <c r="HK22" s="33">
        <f t="shared" si="3"/>
        <v>1122265.0251090161</v>
      </c>
      <c r="HL22" s="33">
        <f t="shared" si="3"/>
        <v>1126941.1293803037</v>
      </c>
      <c r="HM22" s="33">
        <f t="shared" si="3"/>
        <v>1131636.7174193882</v>
      </c>
      <c r="HN22" s="33">
        <f t="shared" si="3"/>
        <v>1136351.8704086356</v>
      </c>
      <c r="HO22" s="33">
        <f t="shared" si="3"/>
        <v>1141086.6698686716</v>
      </c>
      <c r="HP22" s="33">
        <f t="shared" si="3"/>
        <v>1145841.197659791</v>
      </c>
      <c r="HQ22" s="33">
        <f t="shared" si="3"/>
        <v>1150615.5359833734</v>
      </c>
      <c r="HR22" s="33">
        <f t="shared" si="3"/>
        <v>1155409.7673833042</v>
      </c>
      <c r="HS22" s="33">
        <f t="shared" si="3"/>
        <v>1160223.9747474012</v>
      </c>
      <c r="HT22" s="33">
        <f t="shared" si="3"/>
        <v>1165058.2413088486</v>
      </c>
      <c r="HU22" s="33">
        <f t="shared" si="3"/>
        <v>1169912.6506476356</v>
      </c>
      <c r="HV22" s="33">
        <f t="shared" si="3"/>
        <v>1174787.2866920007</v>
      </c>
      <c r="HW22" s="33">
        <f t="shared" si="3"/>
        <v>1179682.233719884</v>
      </c>
      <c r="HX22" s="33">
        <f t="shared" si="3"/>
        <v>1184597.5763603835</v>
      </c>
      <c r="HY22" s="33">
        <f t="shared" si="3"/>
        <v>1189533.3995952185</v>
      </c>
      <c r="HZ22" s="33">
        <f t="shared" si="3"/>
        <v>1194489.7887601985</v>
      </c>
      <c r="IA22" s="33">
        <f t="shared" si="3"/>
        <v>1199466.8295466993</v>
      </c>
      <c r="IB22" s="33">
        <f t="shared" si="3"/>
        <v>1204464.6080031439</v>
      </c>
      <c r="IC22" s="33">
        <f t="shared" si="3"/>
        <v>1209483.2105364904</v>
      </c>
      <c r="ID22" s="33">
        <f t="shared" si="3"/>
        <v>1214522.7239137257</v>
      </c>
      <c r="IE22" s="33">
        <f t="shared" si="3"/>
        <v>1219583.2352633663</v>
      </c>
      <c r="IF22" s="33">
        <f t="shared" si="3"/>
        <v>1224664.8320769635</v>
      </c>
      <c r="IG22" s="33">
        <f t="shared" si="3"/>
        <v>1229767.6022106174</v>
      </c>
      <c r="IH22" s="33">
        <f t="shared" si="3"/>
        <v>1234891.6338864949</v>
      </c>
      <c r="II22" s="33">
        <f t="shared" si="3"/>
        <v>1240037.0156943554</v>
      </c>
      <c r="IJ22" s="33">
        <f t="shared" si="3"/>
        <v>1245203.8365930817</v>
      </c>
      <c r="IK22" s="33">
        <f t="shared" si="3"/>
        <v>1250392.1859122196</v>
      </c>
      <c r="IL22" s="33">
        <f t="shared" si="3"/>
        <v>1255602.1533535204</v>
      </c>
      <c r="IM22" s="33">
        <f t="shared" si="3"/>
        <v>1260833.8289924935</v>
      </c>
      <c r="IN22" s="33">
        <f t="shared" si="3"/>
        <v>1266087.3032799622</v>
      </c>
      <c r="IO22" s="33">
        <f t="shared" si="3"/>
        <v>1271362.6670436286</v>
      </c>
      <c r="IP22" s="33">
        <f t="shared" si="3"/>
        <v>1276660.0114896437</v>
      </c>
      <c r="IQ22" s="33">
        <f t="shared" si="3"/>
        <v>1281979.4282041839</v>
      </c>
      <c r="IR22" s="33">
        <f t="shared" si="3"/>
        <v>1287321.0091550348</v>
      </c>
      <c r="IS22" s="33">
        <f t="shared" si="3"/>
        <v>1292684.8466931807</v>
      </c>
      <c r="IT22" s="33">
        <f t="shared" si="3"/>
        <v>1298071.0335544024</v>
      </c>
      <c r="IU22" s="33">
        <f t="shared" si="3"/>
        <v>1303479.662860879</v>
      </c>
      <c r="IV22" s="33">
        <f t="shared" si="3"/>
        <v>1308910.8281227993</v>
      </c>
      <c r="IW22" s="33">
        <f t="shared" si="3"/>
        <v>1314364.6232399775</v>
      </c>
      <c r="IX22" s="33">
        <f t="shared" si="3"/>
        <v>1319841.1425034774</v>
      </c>
      <c r="IY22" s="33">
        <f t="shared" ref="IY22:LJ22" si="4">IX22*(1+$B$12/12)</f>
        <v>1325340.4805972418</v>
      </c>
      <c r="IZ22" s="33">
        <f t="shared" si="4"/>
        <v>1330862.7325997304</v>
      </c>
      <c r="JA22" s="33">
        <f t="shared" si="4"/>
        <v>1336407.9939855626</v>
      </c>
      <c r="JB22" s="33">
        <f t="shared" si="4"/>
        <v>1341976.360627169</v>
      </c>
      <c r="JC22" s="33">
        <f t="shared" si="4"/>
        <v>1347567.928796449</v>
      </c>
      <c r="JD22" s="33">
        <f t="shared" si="4"/>
        <v>1353182.7951664343</v>
      </c>
      <c r="JE22" s="33">
        <f t="shared" si="4"/>
        <v>1358821.0568129611</v>
      </c>
      <c r="JF22" s="33">
        <f t="shared" si="4"/>
        <v>1364482.8112163485</v>
      </c>
      <c r="JG22" s="33">
        <f t="shared" si="4"/>
        <v>1370168.1562630832</v>
      </c>
      <c r="JH22" s="33">
        <f t="shared" si="4"/>
        <v>1375877.1902475127</v>
      </c>
      <c r="JI22" s="33">
        <f t="shared" si="4"/>
        <v>1381610.011873544</v>
      </c>
      <c r="JJ22" s="33">
        <f t="shared" si="4"/>
        <v>1387366.7202563505</v>
      </c>
      <c r="JK22" s="33">
        <f t="shared" si="4"/>
        <v>1393147.4149240851</v>
      </c>
      <c r="JL22" s="33">
        <f t="shared" si="4"/>
        <v>1398952.1958196021</v>
      </c>
      <c r="JM22" s="33">
        <f t="shared" si="4"/>
        <v>1404781.1633021838</v>
      </c>
      <c r="JN22" s="33">
        <f t="shared" si="4"/>
        <v>1410634.4181492762</v>
      </c>
      <c r="JO22" s="33">
        <f t="shared" si="4"/>
        <v>1416512.0615582315</v>
      </c>
      <c r="JP22" s="33">
        <f t="shared" si="4"/>
        <v>1422414.1951480575</v>
      </c>
      <c r="JQ22" s="33">
        <f t="shared" si="4"/>
        <v>1428340.9209611744</v>
      </c>
      <c r="JR22" s="33">
        <f t="shared" si="4"/>
        <v>1434292.3414651793</v>
      </c>
      <c r="JS22" s="33">
        <f t="shared" si="4"/>
        <v>1440268.5595546176</v>
      </c>
      <c r="JT22" s="33">
        <f t="shared" si="4"/>
        <v>1446269.6785527619</v>
      </c>
      <c r="JU22" s="33">
        <f t="shared" si="4"/>
        <v>1452295.8022133985</v>
      </c>
      <c r="JV22" s="33">
        <f t="shared" si="4"/>
        <v>1458347.0347226211</v>
      </c>
      <c r="JW22" s="33">
        <f t="shared" si="4"/>
        <v>1464423.4807006321</v>
      </c>
      <c r="JX22" s="33">
        <f t="shared" si="4"/>
        <v>1470525.2452035514</v>
      </c>
      <c r="JY22" s="33">
        <f t="shared" si="4"/>
        <v>1476652.4337252327</v>
      </c>
      <c r="JZ22" s="33">
        <f t="shared" si="4"/>
        <v>1482805.1521990879</v>
      </c>
      <c r="KA22" s="33">
        <f t="shared" si="4"/>
        <v>1488983.5069999173</v>
      </c>
      <c r="KB22" s="33">
        <f t="shared" si="4"/>
        <v>1495187.6049457502</v>
      </c>
      <c r="KC22" s="33">
        <f t="shared" si="4"/>
        <v>1501417.5532996908</v>
      </c>
      <c r="KD22" s="33">
        <f t="shared" si="4"/>
        <v>1507673.4597717728</v>
      </c>
      <c r="KE22" s="33">
        <f t="shared" si="4"/>
        <v>1513955.4325208219</v>
      </c>
      <c r="KF22" s="33">
        <f t="shared" si="4"/>
        <v>1520263.5801563254</v>
      </c>
      <c r="KG22" s="33">
        <f t="shared" si="4"/>
        <v>1526598.0117403101</v>
      </c>
      <c r="KH22" s="33">
        <f t="shared" si="4"/>
        <v>1532958.836789228</v>
      </c>
      <c r="KI22" s="33">
        <f t="shared" si="4"/>
        <v>1539346.1652758499</v>
      </c>
      <c r="KJ22" s="33">
        <f t="shared" si="4"/>
        <v>1545760.107631166</v>
      </c>
      <c r="KK22" s="33">
        <f t="shared" si="4"/>
        <v>1552200.7747462958</v>
      </c>
      <c r="KL22" s="33">
        <f t="shared" si="4"/>
        <v>1558668.2779744053</v>
      </c>
      <c r="KM22" s="33">
        <f t="shared" si="4"/>
        <v>1565162.729132632</v>
      </c>
      <c r="KN22" s="33">
        <f t="shared" si="4"/>
        <v>1571684.240504018</v>
      </c>
      <c r="KO22" s="33">
        <f t="shared" si="4"/>
        <v>1578232.9248394514</v>
      </c>
      <c r="KP22" s="33">
        <f t="shared" si="4"/>
        <v>1584808.8953596158</v>
      </c>
      <c r="KQ22" s="33">
        <f t="shared" si="4"/>
        <v>1591412.2657569475</v>
      </c>
      <c r="KR22" s="33">
        <f t="shared" si="4"/>
        <v>1598043.1501976014</v>
      </c>
      <c r="KS22" s="33">
        <f t="shared" si="4"/>
        <v>1604701.6633234248</v>
      </c>
      <c r="KT22" s="33">
        <f t="shared" si="4"/>
        <v>1611387.920253939</v>
      </c>
      <c r="KU22" s="33">
        <f t="shared" si="4"/>
        <v>1618102.0365883303</v>
      </c>
      <c r="KV22" s="33">
        <f t="shared" si="4"/>
        <v>1624844.1284074483</v>
      </c>
      <c r="KW22" s="33">
        <f t="shared" si="4"/>
        <v>1631614.3122758127</v>
      </c>
      <c r="KX22" s="33">
        <f t="shared" si="4"/>
        <v>1638412.7052436287</v>
      </c>
      <c r="KY22" s="33">
        <f t="shared" si="4"/>
        <v>1645239.4248488105</v>
      </c>
      <c r="KZ22" s="33">
        <f t="shared" si="4"/>
        <v>1652094.5891190139</v>
      </c>
      <c r="LA22" s="33">
        <f t="shared" si="4"/>
        <v>1658978.3165736764</v>
      </c>
      <c r="LB22" s="33">
        <f t="shared" si="4"/>
        <v>1665890.7262260667</v>
      </c>
      <c r="LC22" s="33">
        <f t="shared" si="4"/>
        <v>1672831.937585342</v>
      </c>
      <c r="LD22" s="33">
        <f t="shared" si="4"/>
        <v>1679802.0706586142</v>
      </c>
      <c r="LE22" s="33">
        <f t="shared" si="4"/>
        <v>1686801.2459530251</v>
      </c>
      <c r="LF22" s="33">
        <f t="shared" si="4"/>
        <v>1693829.5844778293</v>
      </c>
      <c r="LG22" s="33">
        <f t="shared" si="4"/>
        <v>1700887.2077464869</v>
      </c>
      <c r="LH22" s="33">
        <f t="shared" si="4"/>
        <v>1707974.237778764</v>
      </c>
      <c r="LI22" s="33">
        <f t="shared" si="4"/>
        <v>1715090.7971028422</v>
      </c>
      <c r="LJ22" s="33">
        <f t="shared" si="4"/>
        <v>1722237.0087574373</v>
      </c>
      <c r="LK22" s="33">
        <f t="shared" ref="LK22:MX22" si="5">LJ22*(1+$B$12/12)</f>
        <v>1729412.9962939266</v>
      </c>
      <c r="LL22" s="33">
        <f t="shared" si="5"/>
        <v>1736618.8837784845</v>
      </c>
      <c r="LM22" s="33">
        <f t="shared" si="5"/>
        <v>1743854.7957942281</v>
      </c>
      <c r="LN22" s="33">
        <f t="shared" si="5"/>
        <v>1751120.8574433706</v>
      </c>
      <c r="LO22" s="33">
        <f t="shared" si="5"/>
        <v>1758417.1943493846</v>
      </c>
      <c r="LP22" s="33">
        <f t="shared" si="5"/>
        <v>1765743.9326591736</v>
      </c>
      <c r="LQ22" s="33">
        <f t="shared" si="5"/>
        <v>1773101.1990452535</v>
      </c>
      <c r="LR22" s="33">
        <f t="shared" si="5"/>
        <v>1780489.1207079419</v>
      </c>
      <c r="LS22" s="33">
        <f t="shared" si="5"/>
        <v>1787907.8253775584</v>
      </c>
      <c r="LT22" s="33">
        <f t="shared" si="5"/>
        <v>1795357.4413166314</v>
      </c>
      <c r="LU22" s="33">
        <f t="shared" si="5"/>
        <v>1802838.0973221173</v>
      </c>
      <c r="LV22" s="33">
        <f t="shared" si="5"/>
        <v>1810349.922727626</v>
      </c>
      <c r="LW22" s="33">
        <f t="shared" si="5"/>
        <v>1817893.0474056578</v>
      </c>
      <c r="LX22" s="33">
        <f t="shared" si="5"/>
        <v>1825467.601769848</v>
      </c>
      <c r="LY22" s="33">
        <f t="shared" si="5"/>
        <v>1833073.7167772225</v>
      </c>
      <c r="LZ22" s="33">
        <f t="shared" si="5"/>
        <v>1840711.5239304609</v>
      </c>
      <c r="MA22" s="33">
        <f t="shared" si="5"/>
        <v>1848381.1552801712</v>
      </c>
      <c r="MB22" s="33">
        <f t="shared" si="5"/>
        <v>1856082.7434271718</v>
      </c>
      <c r="MC22" s="33">
        <f t="shared" si="5"/>
        <v>1863816.421524785</v>
      </c>
      <c r="MD22" s="33">
        <f t="shared" si="5"/>
        <v>1871582.3232811382</v>
      </c>
      <c r="ME22" s="33">
        <f t="shared" si="5"/>
        <v>1879380.5829614762</v>
      </c>
      <c r="MF22" s="33">
        <f t="shared" si="5"/>
        <v>1887211.3353904823</v>
      </c>
      <c r="MG22" s="33">
        <f t="shared" si="5"/>
        <v>1895074.7159546092</v>
      </c>
      <c r="MH22" s="33">
        <f t="shared" si="5"/>
        <v>1902970.8606044201</v>
      </c>
      <c r="MI22" s="33">
        <f t="shared" si="5"/>
        <v>1910899.9058569386</v>
      </c>
      <c r="MJ22" s="33">
        <f t="shared" si="5"/>
        <v>1918861.9887980092</v>
      </c>
      <c r="MK22" s="33">
        <f t="shared" si="5"/>
        <v>1926857.2470846677</v>
      </c>
      <c r="ML22" s="33">
        <f t="shared" si="5"/>
        <v>1934885.8189475203</v>
      </c>
      <c r="MM22" s="33">
        <f t="shared" si="5"/>
        <v>1942947.843193135</v>
      </c>
      <c r="MN22" s="33">
        <f t="shared" si="5"/>
        <v>1951043.4592064398</v>
      </c>
      <c r="MO22" s="33">
        <f t="shared" si="5"/>
        <v>1959172.8069531333</v>
      </c>
      <c r="MP22" s="33">
        <f t="shared" si="5"/>
        <v>1967336.0269821046</v>
      </c>
      <c r="MQ22" s="33">
        <f t="shared" si="5"/>
        <v>1975533.2604278633</v>
      </c>
      <c r="MR22" s="33">
        <f t="shared" si="5"/>
        <v>1983764.6490129794</v>
      </c>
      <c r="MS22" s="33">
        <f t="shared" si="5"/>
        <v>1992030.3350505333</v>
      </c>
      <c r="MT22" s="33">
        <f t="shared" si="5"/>
        <v>2000330.4614465772</v>
      </c>
      <c r="MU22" s="33">
        <f t="shared" si="5"/>
        <v>2008665.1717026045</v>
      </c>
      <c r="MV22" s="33">
        <f t="shared" si="5"/>
        <v>2017034.6099180321</v>
      </c>
      <c r="MW22" s="33">
        <f t="shared" si="5"/>
        <v>2025438.9207926905</v>
      </c>
      <c r="MX22" s="55">
        <f t="shared" si="5"/>
        <v>2033878.2496293266</v>
      </c>
      <c r="MY22" s="1"/>
      <c r="MZ22" s="1"/>
      <c r="NA22" s="1"/>
      <c r="NB22" s="1"/>
      <c r="NC22" s="1"/>
      <c r="ND22" s="1"/>
      <c r="NE22" s="1"/>
      <c r="NF22" s="1"/>
      <c r="NG22" s="1"/>
      <c r="NH22" s="13">
        <v>0.105</v>
      </c>
      <c r="NI22" s="1">
        <f>Combine!A24</f>
        <v>49009</v>
      </c>
      <c r="NJ22" s="14">
        <f>Combine!F24</f>
        <v>337646.48776206101</v>
      </c>
    </row>
    <row r="23" spans="1:374" ht="12.75" customHeight="1" x14ac:dyDescent="0.3">
      <c r="A23" s="31" t="s">
        <v>864</v>
      </c>
      <c r="B23" s="32">
        <f>B4-B6</f>
        <v>364188.83565082081</v>
      </c>
      <c r="C23" s="33">
        <f t="shared" ref="C23:BN23" si="6">B23-C27</f>
        <v>363387.18241932301</v>
      </c>
      <c r="D23" s="33">
        <f t="shared" si="6"/>
        <v>362584.52712128585</v>
      </c>
      <c r="E23" s="33">
        <f t="shared" si="6"/>
        <v>361780.86850412615</v>
      </c>
      <c r="F23" s="33">
        <f t="shared" si="6"/>
        <v>360976.20531369501</v>
      </c>
      <c r="G23" s="33">
        <f t="shared" si="6"/>
        <v>360170.53629427584</v>
      </c>
      <c r="H23" s="33">
        <f t="shared" si="6"/>
        <v>359363.86018858239</v>
      </c>
      <c r="I23" s="33">
        <f t="shared" si="6"/>
        <v>358556.17573775683</v>
      </c>
      <c r="J23" s="33">
        <f t="shared" si="6"/>
        <v>357747.48168136773</v>
      </c>
      <c r="K23" s="33">
        <f t="shared" si="6"/>
        <v>356937.77675740817</v>
      </c>
      <c r="L23" s="33">
        <f t="shared" si="6"/>
        <v>356127.05970229366</v>
      </c>
      <c r="M23" s="33">
        <f t="shared" si="6"/>
        <v>355315.3292508602</v>
      </c>
      <c r="N23" s="33">
        <f t="shared" si="6"/>
        <v>354502.58413636248</v>
      </c>
      <c r="O23" s="33">
        <f t="shared" si="6"/>
        <v>353688.82309047162</v>
      </c>
      <c r="P23" s="33">
        <f t="shared" si="6"/>
        <v>352874.04484327341</v>
      </c>
      <c r="Q23" s="33">
        <f t="shared" si="6"/>
        <v>352058.24812326621</v>
      </c>
      <c r="R23" s="33">
        <f t="shared" si="6"/>
        <v>351241.431657359</v>
      </c>
      <c r="S23" s="33">
        <f t="shared" si="6"/>
        <v>350423.59417086939</v>
      </c>
      <c r="T23" s="33">
        <f t="shared" si="6"/>
        <v>349604.73438752169</v>
      </c>
      <c r="U23" s="33">
        <f t="shared" si="6"/>
        <v>348784.85102944478</v>
      </c>
      <c r="V23" s="33">
        <f t="shared" si="6"/>
        <v>347963.94281717029</v>
      </c>
      <c r="W23" s="33">
        <f t="shared" si="6"/>
        <v>347142.00846963044</v>
      </c>
      <c r="X23" s="33">
        <f t="shared" si="6"/>
        <v>346319.04670415621</v>
      </c>
      <c r="Y23" s="33">
        <f t="shared" si="6"/>
        <v>345495.05623647512</v>
      </c>
      <c r="Z23" s="33">
        <f t="shared" si="6"/>
        <v>344670.03578070941</v>
      </c>
      <c r="AA23" s="33">
        <f t="shared" si="6"/>
        <v>343843.984049374</v>
      </c>
      <c r="AB23" s="33">
        <f t="shared" si="6"/>
        <v>343016.89975337446</v>
      </c>
      <c r="AC23" s="33">
        <f t="shared" si="6"/>
        <v>342188.78160200489</v>
      </c>
      <c r="AD23" s="33">
        <f t="shared" si="6"/>
        <v>341359.6283029461</v>
      </c>
      <c r="AE23" s="33">
        <f t="shared" si="6"/>
        <v>340529.4385622635</v>
      </c>
      <c r="AF23" s="33">
        <f t="shared" si="6"/>
        <v>339698.21108440502</v>
      </c>
      <c r="AG23" s="33">
        <f t="shared" si="6"/>
        <v>338865.94457219925</v>
      </c>
      <c r="AH23" s="33">
        <f t="shared" si="6"/>
        <v>338032.63772685319</v>
      </c>
      <c r="AI23" s="33">
        <f t="shared" si="6"/>
        <v>337198.28924795048</v>
      </c>
      <c r="AJ23" s="33">
        <f t="shared" si="6"/>
        <v>336362.89783344913</v>
      </c>
      <c r="AK23" s="33">
        <f t="shared" si="6"/>
        <v>335526.46217967966</v>
      </c>
      <c r="AL23" s="33">
        <f t="shared" si="6"/>
        <v>334688.98098134296</v>
      </c>
      <c r="AM23" s="33">
        <f t="shared" si="6"/>
        <v>333850.45293150836</v>
      </c>
      <c r="AN23" s="33">
        <f t="shared" si="6"/>
        <v>333010.87672161148</v>
      </c>
      <c r="AO23" s="33">
        <f t="shared" si="6"/>
        <v>332170.25104145223</v>
      </c>
      <c r="AP23" s="33">
        <f t="shared" si="6"/>
        <v>331328.57457919273</v>
      </c>
      <c r="AQ23" s="33">
        <f t="shared" si="6"/>
        <v>330485.84602135542</v>
      </c>
      <c r="AR23" s="33">
        <f t="shared" si="6"/>
        <v>329642.06405282085</v>
      </c>
      <c r="AS23" s="33">
        <f t="shared" si="6"/>
        <v>328797.22735682561</v>
      </c>
      <c r="AT23" s="33">
        <f t="shared" si="6"/>
        <v>327951.33461496036</v>
      </c>
      <c r="AU23" s="33">
        <f t="shared" si="6"/>
        <v>327104.38450716779</v>
      </c>
      <c r="AV23" s="33">
        <f t="shared" si="6"/>
        <v>326256.37571174046</v>
      </c>
      <c r="AW23" s="33">
        <f t="shared" si="6"/>
        <v>325407.30690531887</v>
      </c>
      <c r="AX23" s="33">
        <f t="shared" si="6"/>
        <v>324557.1767628892</v>
      </c>
      <c r="AY23" s="33">
        <f t="shared" si="6"/>
        <v>323705.98395778151</v>
      </c>
      <c r="AZ23" s="33">
        <f t="shared" si="6"/>
        <v>322853.72716166743</v>
      </c>
      <c r="BA23" s="33">
        <f t="shared" si="6"/>
        <v>322000.40504455823</v>
      </c>
      <c r="BB23" s="33">
        <f t="shared" si="6"/>
        <v>321146.01627480262</v>
      </c>
      <c r="BC23" s="33">
        <f t="shared" si="6"/>
        <v>320290.55951908481</v>
      </c>
      <c r="BD23" s="33">
        <f t="shared" si="6"/>
        <v>319434.0334424224</v>
      </c>
      <c r="BE23" s="33">
        <f t="shared" si="6"/>
        <v>318576.43670816411</v>
      </c>
      <c r="BF23" s="33">
        <f t="shared" si="6"/>
        <v>317717.767977988</v>
      </c>
      <c r="BG23" s="33">
        <f t="shared" si="6"/>
        <v>316858.02591189917</v>
      </c>
      <c r="BH23" s="33">
        <f t="shared" si="6"/>
        <v>315997.20916822774</v>
      </c>
      <c r="BI23" s="33">
        <f t="shared" si="6"/>
        <v>315135.31640362676</v>
      </c>
      <c r="BJ23" s="33">
        <f t="shared" si="6"/>
        <v>314272.34627306997</v>
      </c>
      <c r="BK23" s="33">
        <f t="shared" si="6"/>
        <v>313408.29742985003</v>
      </c>
      <c r="BL23" s="33">
        <f t="shared" si="6"/>
        <v>312543.16852557607</v>
      </c>
      <c r="BM23" s="33">
        <f t="shared" si="6"/>
        <v>311676.95821017172</v>
      </c>
      <c r="BN23" s="33">
        <f t="shared" si="6"/>
        <v>310809.66513187316</v>
      </c>
      <c r="BO23" s="33">
        <f t="shared" ref="BO23:DZ23" si="7">BN23-BO27</f>
        <v>309941.28793722671</v>
      </c>
      <c r="BP23" s="33">
        <f t="shared" si="7"/>
        <v>309071.82527108694</v>
      </c>
      <c r="BQ23" s="33">
        <f t="shared" si="7"/>
        <v>308201.27577661449</v>
      </c>
      <c r="BR23" s="33">
        <f t="shared" si="7"/>
        <v>307329.63809527399</v>
      </c>
      <c r="BS23" s="33">
        <f t="shared" si="7"/>
        <v>306456.91086683178</v>
      </c>
      <c r="BT23" s="33">
        <f t="shared" si="7"/>
        <v>305583.09272935404</v>
      </c>
      <c r="BU23" s="33">
        <f t="shared" si="7"/>
        <v>304708.18231920444</v>
      </c>
      <c r="BV23" s="33">
        <f t="shared" si="7"/>
        <v>303832.17827104212</v>
      </c>
      <c r="BW23" s="33">
        <f t="shared" si="7"/>
        <v>302955.07921781961</v>
      </c>
      <c r="BX23" s="33">
        <f t="shared" si="7"/>
        <v>302076.88379078062</v>
      </c>
      <c r="BY23" s="33">
        <f t="shared" si="7"/>
        <v>301197.59061945777</v>
      </c>
      <c r="BZ23" s="33">
        <f t="shared" si="7"/>
        <v>300317.19833167078</v>
      </c>
      <c r="CA23" s="33">
        <f t="shared" si="7"/>
        <v>299435.70555352408</v>
      </c>
      <c r="CB23" s="33">
        <f t="shared" si="7"/>
        <v>298553.1109094047</v>
      </c>
      <c r="CC23" s="33">
        <f t="shared" si="7"/>
        <v>297669.41302198014</v>
      </c>
      <c r="CD23" s="33">
        <f t="shared" si="7"/>
        <v>296784.61051219632</v>
      </c>
      <c r="CE23" s="33">
        <f t="shared" si="7"/>
        <v>295898.70199927525</v>
      </c>
      <c r="CF23" s="33">
        <f t="shared" si="7"/>
        <v>295011.68610071304</v>
      </c>
      <c r="CG23" s="33">
        <f t="shared" si="7"/>
        <v>294123.56143227761</v>
      </c>
      <c r="CH23" s="33">
        <f t="shared" si="7"/>
        <v>293234.32660800667</v>
      </c>
      <c r="CI23" s="33">
        <f t="shared" si="7"/>
        <v>292343.98024020536</v>
      </c>
      <c r="CJ23" s="33">
        <f t="shared" si="7"/>
        <v>291452.52093944431</v>
      </c>
      <c r="CK23" s="33">
        <f t="shared" si="7"/>
        <v>290559.94731455733</v>
      </c>
      <c r="CL23" s="33">
        <f t="shared" si="7"/>
        <v>289666.25797263923</v>
      </c>
      <c r="CM23" s="33">
        <f t="shared" si="7"/>
        <v>288771.45151904371</v>
      </c>
      <c r="CN23" s="33">
        <f t="shared" si="7"/>
        <v>287875.52655738121</v>
      </c>
      <c r="CO23" s="33">
        <f t="shared" si="7"/>
        <v>286978.48168951663</v>
      </c>
      <c r="CP23" s="33">
        <f t="shared" si="7"/>
        <v>286080.31551556726</v>
      </c>
      <c r="CQ23" s="33">
        <f t="shared" si="7"/>
        <v>285181.02663390042</v>
      </c>
      <c r="CR23" s="33">
        <f t="shared" si="7"/>
        <v>284280.61364113149</v>
      </c>
      <c r="CS23" s="33">
        <f t="shared" si="7"/>
        <v>283379.07513212162</v>
      </c>
      <c r="CT23" s="33">
        <f t="shared" si="7"/>
        <v>282476.40969997545</v>
      </c>
      <c r="CU23" s="33">
        <f t="shared" si="7"/>
        <v>281572.61593603913</v>
      </c>
      <c r="CV23" s="33">
        <f t="shared" si="7"/>
        <v>280667.6924298979</v>
      </c>
      <c r="CW23" s="33">
        <f t="shared" si="7"/>
        <v>279761.63776937395</v>
      </c>
      <c r="CX23" s="33">
        <f t="shared" si="7"/>
        <v>278854.45054052438</v>
      </c>
      <c r="CY23" s="33">
        <f t="shared" si="7"/>
        <v>277946.12932763877</v>
      </c>
      <c r="CZ23" s="33">
        <f t="shared" si="7"/>
        <v>277036.672713237</v>
      </c>
      <c r="DA23" s="33">
        <f t="shared" si="7"/>
        <v>276126.07927806728</v>
      </c>
      <c r="DB23" s="33">
        <f t="shared" si="7"/>
        <v>275214.3476011036</v>
      </c>
      <c r="DC23" s="33">
        <f t="shared" si="7"/>
        <v>274301.47625954368</v>
      </c>
      <c r="DD23" s="33">
        <f t="shared" si="7"/>
        <v>273387.46382880682</v>
      </c>
      <c r="DE23" s="33">
        <f t="shared" si="7"/>
        <v>272472.30888253154</v>
      </c>
      <c r="DF23" s="33">
        <f t="shared" si="7"/>
        <v>271556.00999257341</v>
      </c>
      <c r="DG23" s="33">
        <f t="shared" si="7"/>
        <v>270638.56572900282</v>
      </c>
      <c r="DH23" s="33">
        <f t="shared" si="7"/>
        <v>269719.9746601028</v>
      </c>
      <c r="DI23" s="33">
        <f t="shared" si="7"/>
        <v>268800.23535236664</v>
      </c>
      <c r="DJ23" s="33">
        <f t="shared" si="7"/>
        <v>267879.3463704958</v>
      </c>
      <c r="DK23" s="33">
        <f t="shared" si="7"/>
        <v>266957.30627739761</v>
      </c>
      <c r="DL23" s="33">
        <f t="shared" si="7"/>
        <v>266034.11363418307</v>
      </c>
      <c r="DM23" s="33">
        <f t="shared" si="7"/>
        <v>265109.76700016449</v>
      </c>
      <c r="DN23" s="33">
        <f t="shared" si="7"/>
        <v>264184.2649328534</v>
      </c>
      <c r="DO23" s="33">
        <f t="shared" si="7"/>
        <v>263257.6059879582</v>
      </c>
      <c r="DP23" s="33">
        <f t="shared" si="7"/>
        <v>262329.78871938185</v>
      </c>
      <c r="DQ23" s="33">
        <f t="shared" si="7"/>
        <v>261400.81167921977</v>
      </c>
      <c r="DR23" s="33">
        <f t="shared" si="7"/>
        <v>260470.6734177575</v>
      </c>
      <c r="DS23" s="33">
        <f t="shared" si="7"/>
        <v>259539.37248346841</v>
      </c>
      <c r="DT23" s="33">
        <f t="shared" si="7"/>
        <v>258606.90742301146</v>
      </c>
      <c r="DU23" s="33">
        <f t="shared" si="7"/>
        <v>257673.27678122892</v>
      </c>
      <c r="DV23" s="33">
        <f t="shared" si="7"/>
        <v>256738.47910114416</v>
      </c>
      <c r="DW23" s="33">
        <f t="shared" si="7"/>
        <v>255802.51292395929</v>
      </c>
      <c r="DX23" s="33">
        <f t="shared" si="7"/>
        <v>254865.37678905294</v>
      </c>
      <c r="DY23" s="33">
        <f t="shared" si="7"/>
        <v>253927.06923397796</v>
      </c>
      <c r="DZ23" s="33">
        <f t="shared" si="7"/>
        <v>252987.58879445915</v>
      </c>
      <c r="EA23" s="33">
        <f t="shared" ref="EA23:GL23" si="8">DZ23-EA27</f>
        <v>252046.93400439093</v>
      </c>
      <c r="EB23" s="33">
        <f t="shared" si="8"/>
        <v>251105.10339583512</v>
      </c>
      <c r="EC23" s="33">
        <f t="shared" si="8"/>
        <v>250162.09549901861</v>
      </c>
      <c r="ED23" s="33">
        <f t="shared" si="8"/>
        <v>249217.90884233109</v>
      </c>
      <c r="EE23" s="33">
        <f t="shared" si="8"/>
        <v>248272.5419523227</v>
      </c>
      <c r="EF23" s="33">
        <f t="shared" si="8"/>
        <v>247325.99335370181</v>
      </c>
      <c r="EG23" s="33">
        <f t="shared" si="8"/>
        <v>246378.26156933265</v>
      </c>
      <c r="EH23" s="33">
        <f t="shared" si="8"/>
        <v>245429.34512023302</v>
      </c>
      <c r="EI23" s="33">
        <f t="shared" si="8"/>
        <v>244479.24252557202</v>
      </c>
      <c r="EJ23" s="33">
        <f t="shared" si="8"/>
        <v>243527.95230266769</v>
      </c>
      <c r="EK23" s="33">
        <f t="shared" si="8"/>
        <v>242575.47296698473</v>
      </c>
      <c r="EL23" s="33">
        <f t="shared" si="8"/>
        <v>241621.80303213216</v>
      </c>
      <c r="EM23" s="33">
        <f t="shared" si="8"/>
        <v>240666.94100986104</v>
      </c>
      <c r="EN23" s="33">
        <f t="shared" si="8"/>
        <v>239710.88541006207</v>
      </c>
      <c r="EO23" s="33">
        <f t="shared" si="8"/>
        <v>238753.63474076334</v>
      </c>
      <c r="EP23" s="33">
        <f t="shared" si="8"/>
        <v>237795.187508128</v>
      </c>
      <c r="EQ23" s="33">
        <f t="shared" si="8"/>
        <v>236835.54221645187</v>
      </c>
      <c r="ER23" s="33">
        <f t="shared" si="8"/>
        <v>235874.69736816114</v>
      </c>
      <c r="ES23" s="33">
        <f t="shared" si="8"/>
        <v>234912.65146381006</v>
      </c>
      <c r="ET23" s="33">
        <f t="shared" si="8"/>
        <v>233949.40300207853</v>
      </c>
      <c r="EU23" s="33">
        <f t="shared" si="8"/>
        <v>232984.95047976985</v>
      </c>
      <c r="EV23" s="33">
        <f t="shared" si="8"/>
        <v>232019.29239180827</v>
      </c>
      <c r="EW23" s="33">
        <f t="shared" si="8"/>
        <v>231052.42723123674</v>
      </c>
      <c r="EX23" s="33">
        <f t="shared" si="8"/>
        <v>230084.3534892145</v>
      </c>
      <c r="EY23" s="33">
        <f t="shared" si="8"/>
        <v>229115.06965501473</v>
      </c>
      <c r="EZ23" s="33">
        <f t="shared" si="8"/>
        <v>228144.57421602221</v>
      </c>
      <c r="FA23" s="33">
        <f t="shared" si="8"/>
        <v>227172.86565773096</v>
      </c>
      <c r="FB23" s="33">
        <f t="shared" si="8"/>
        <v>226199.94246374184</v>
      </c>
      <c r="FC23" s="33">
        <f t="shared" si="8"/>
        <v>225225.80311576024</v>
      </c>
      <c r="FD23" s="33">
        <f t="shared" si="8"/>
        <v>224250.44609359364</v>
      </c>
      <c r="FE23" s="33">
        <f t="shared" si="8"/>
        <v>223273.86987514934</v>
      </c>
      <c r="FF23" s="33">
        <f t="shared" si="8"/>
        <v>222296.07293643197</v>
      </c>
      <c r="FG23" s="33">
        <f t="shared" si="8"/>
        <v>221317.05375154121</v>
      </c>
      <c r="FH23" s="33">
        <f t="shared" si="8"/>
        <v>220336.81079266933</v>
      </c>
      <c r="FI23" s="33">
        <f t="shared" si="8"/>
        <v>219355.34253009889</v>
      </c>
      <c r="FJ23" s="33">
        <f t="shared" si="8"/>
        <v>218372.64743220023</v>
      </c>
      <c r="FK23" s="33">
        <f t="shared" si="8"/>
        <v>217388.72396542918</v>
      </c>
      <c r="FL23" s="33">
        <f t="shared" si="8"/>
        <v>216403.57059432467</v>
      </c>
      <c r="FM23" s="33">
        <f t="shared" si="8"/>
        <v>215417.1857815063</v>
      </c>
      <c r="FN23" s="33">
        <f t="shared" si="8"/>
        <v>214429.56798767188</v>
      </c>
      <c r="FO23" s="33">
        <f t="shared" si="8"/>
        <v>213440.71567159519</v>
      </c>
      <c r="FP23" s="33">
        <f t="shared" si="8"/>
        <v>212450.62729012338</v>
      </c>
      <c r="FQ23" s="33">
        <f t="shared" si="8"/>
        <v>211459.30129817475</v>
      </c>
      <c r="FR23" s="33">
        <f t="shared" si="8"/>
        <v>210466.73614873618</v>
      </c>
      <c r="FS23" s="33">
        <f t="shared" si="8"/>
        <v>209472.93029286081</v>
      </c>
      <c r="FT23" s="33">
        <f t="shared" si="8"/>
        <v>208477.88217966558</v>
      </c>
      <c r="FU23" s="33">
        <f t="shared" si="8"/>
        <v>207481.59025632887</v>
      </c>
      <c r="FV23" s="33">
        <f t="shared" si="8"/>
        <v>206484.05296808798</v>
      </c>
      <c r="FW23" s="33">
        <f t="shared" si="8"/>
        <v>205485.26875823681</v>
      </c>
      <c r="FX23" s="33">
        <f t="shared" si="8"/>
        <v>204485.23606812331</v>
      </c>
      <c r="FY23" s="33">
        <f t="shared" si="8"/>
        <v>203483.95333714716</v>
      </c>
      <c r="FZ23" s="33">
        <f t="shared" si="8"/>
        <v>202481.41900275729</v>
      </c>
      <c r="GA23" s="33">
        <f t="shared" si="8"/>
        <v>201477.63150044944</v>
      </c>
      <c r="GB23" s="33">
        <f t="shared" si="8"/>
        <v>200472.58926376372</v>
      </c>
      <c r="GC23" s="33">
        <f t="shared" si="8"/>
        <v>199466.29072428212</v>
      </c>
      <c r="GD23" s="33">
        <f t="shared" si="8"/>
        <v>198458.73431162618</v>
      </c>
      <c r="GE23" s="33">
        <f t="shared" si="8"/>
        <v>197449.91845345442</v>
      </c>
      <c r="GF23" s="33">
        <f t="shared" si="8"/>
        <v>196439.84157545996</v>
      </c>
      <c r="GG23" s="33">
        <f t="shared" si="8"/>
        <v>195428.50210136798</v>
      </c>
      <c r="GH23" s="33">
        <f t="shared" si="8"/>
        <v>194415.89845293338</v>
      </c>
      <c r="GI23" s="33">
        <f t="shared" si="8"/>
        <v>193402.02904993825</v>
      </c>
      <c r="GJ23" s="33">
        <f t="shared" si="8"/>
        <v>192386.89231018937</v>
      </c>
      <c r="GK23" s="33">
        <f t="shared" si="8"/>
        <v>191370.48664951581</v>
      </c>
      <c r="GL23" s="33">
        <f t="shared" si="8"/>
        <v>190352.81048176641</v>
      </c>
      <c r="GM23" s="33">
        <f t="shared" ref="GM23:IX23" si="9">GL23-GM27</f>
        <v>189333.86221880734</v>
      </c>
      <c r="GN23" s="33">
        <f t="shared" si="9"/>
        <v>188313.64027051954</v>
      </c>
      <c r="GO23" s="33">
        <f t="shared" si="9"/>
        <v>187292.14304479639</v>
      </c>
      <c r="GP23" s="33">
        <f t="shared" si="9"/>
        <v>186269.36894754111</v>
      </c>
      <c r="GQ23" s="33">
        <f t="shared" si="9"/>
        <v>185245.31638266423</v>
      </c>
      <c r="GR23" s="33">
        <f t="shared" si="9"/>
        <v>184219.98375208126</v>
      </c>
      <c r="GS23" s="33">
        <f t="shared" si="9"/>
        <v>183193.36945571005</v>
      </c>
      <c r="GT23" s="33">
        <f t="shared" si="9"/>
        <v>182165.47189146839</v>
      </c>
      <c r="GU23" s="33">
        <f t="shared" si="9"/>
        <v>181136.28945527144</v>
      </c>
      <c r="GV23" s="33">
        <f t="shared" si="9"/>
        <v>180105.82054102924</v>
      </c>
      <c r="GW23" s="33">
        <f t="shared" si="9"/>
        <v>179074.06354064425</v>
      </c>
      <c r="GX23" s="33">
        <f t="shared" si="9"/>
        <v>178041.01684400876</v>
      </c>
      <c r="GY23" s="33">
        <f t="shared" si="9"/>
        <v>177006.67883900247</v>
      </c>
      <c r="GZ23" s="33">
        <f t="shared" si="9"/>
        <v>175971.04791148994</v>
      </c>
      <c r="HA23" s="33">
        <f t="shared" si="9"/>
        <v>174934.122445318</v>
      </c>
      <c r="HB23" s="33">
        <f t="shared" si="9"/>
        <v>173895.90082231336</v>
      </c>
      <c r="HC23" s="33">
        <f t="shared" si="9"/>
        <v>172856.38142227996</v>
      </c>
      <c r="HD23" s="33">
        <f t="shared" si="9"/>
        <v>171815.56262299651</v>
      </c>
      <c r="HE23" s="33">
        <f t="shared" si="9"/>
        <v>170773.44280021396</v>
      </c>
      <c r="HF23" s="33">
        <f t="shared" si="9"/>
        <v>169730.02032765292</v>
      </c>
      <c r="HG23" s="33">
        <f t="shared" si="9"/>
        <v>168685.2935770012</v>
      </c>
      <c r="HH23" s="33">
        <f t="shared" si="9"/>
        <v>167639.26091791116</v>
      </c>
      <c r="HI23" s="33">
        <f t="shared" si="9"/>
        <v>166591.92071799724</v>
      </c>
      <c r="HJ23" s="33">
        <f t="shared" si="9"/>
        <v>165543.27134283344</v>
      </c>
      <c r="HK23" s="33">
        <f t="shared" si="9"/>
        <v>164493.31115595068</v>
      </c>
      <c r="HL23" s="33">
        <f t="shared" si="9"/>
        <v>163442.03851883434</v>
      </c>
      <c r="HM23" s="33">
        <f t="shared" si="9"/>
        <v>162389.45179092159</v>
      </c>
      <c r="HN23" s="33">
        <f t="shared" si="9"/>
        <v>161335.54932959896</v>
      </c>
      <c r="HO23" s="33">
        <f t="shared" si="9"/>
        <v>160280.32949019966</v>
      </c>
      <c r="HP23" s="33">
        <f t="shared" si="9"/>
        <v>159223.79062600111</v>
      </c>
      <c r="HQ23" s="33">
        <f t="shared" si="9"/>
        <v>158165.93108822231</v>
      </c>
      <c r="HR23" s="33">
        <f t="shared" si="9"/>
        <v>157106.74922602129</v>
      </c>
      <c r="HS23" s="33">
        <f t="shared" si="9"/>
        <v>156046.24338649251</v>
      </c>
      <c r="HT23" s="33">
        <f t="shared" si="9"/>
        <v>154984.41191466432</v>
      </c>
      <c r="HU23" s="33">
        <f t="shared" si="9"/>
        <v>153921.25315349636</v>
      </c>
      <c r="HV23" s="33">
        <f t="shared" si="9"/>
        <v>152856.76544387694</v>
      </c>
      <c r="HW23" s="33">
        <f t="shared" si="9"/>
        <v>151790.94712462049</v>
      </c>
      <c r="HX23" s="33">
        <f t="shared" si="9"/>
        <v>150723.79653246497</v>
      </c>
      <c r="HY23" s="33">
        <f t="shared" si="9"/>
        <v>149655.31200206926</v>
      </c>
      <c r="HZ23" s="33">
        <f t="shared" si="9"/>
        <v>148585.49186601056</v>
      </c>
      <c r="IA23" s="33">
        <f t="shared" si="9"/>
        <v>147514.33445478178</v>
      </c>
      <c r="IB23" s="33">
        <f t="shared" si="9"/>
        <v>146441.83809678897</v>
      </c>
      <c r="IC23" s="33">
        <f t="shared" si="9"/>
        <v>145368.00111834865</v>
      </c>
      <c r="ID23" s="33">
        <f t="shared" si="9"/>
        <v>144292.82184368529</v>
      </c>
      <c r="IE23" s="33">
        <f t="shared" si="9"/>
        <v>143216.29859492861</v>
      </c>
      <c r="IF23" s="33">
        <f t="shared" si="9"/>
        <v>142138.42969211098</v>
      </c>
      <c r="IG23" s="33">
        <f t="shared" si="9"/>
        <v>141059.21345316482</v>
      </c>
      <c r="IH23" s="33">
        <f t="shared" si="9"/>
        <v>139978.64819391997</v>
      </c>
      <c r="II23" s="33">
        <f t="shared" si="9"/>
        <v>138896.73222810109</v>
      </c>
      <c r="IJ23" s="33">
        <f t="shared" si="9"/>
        <v>137813.46386732493</v>
      </c>
      <c r="IK23" s="33">
        <f t="shared" si="9"/>
        <v>136728.84142109778</v>
      </c>
      <c r="IL23" s="33">
        <f t="shared" si="9"/>
        <v>135642.86319681286</v>
      </c>
      <c r="IM23" s="33">
        <f t="shared" si="9"/>
        <v>134555.52749974758</v>
      </c>
      <c r="IN23" s="33">
        <f t="shared" si="9"/>
        <v>133466.83263306096</v>
      </c>
      <c r="IO23" s="33">
        <f t="shared" si="9"/>
        <v>132376.77689779099</v>
      </c>
      <c r="IP23" s="33">
        <f t="shared" si="9"/>
        <v>131285.35859285193</v>
      </c>
      <c r="IQ23" s="33">
        <f t="shared" si="9"/>
        <v>130192.57601503171</v>
      </c>
      <c r="IR23" s="33">
        <f t="shared" si="9"/>
        <v>129098.4274589892</v>
      </c>
      <c r="IS23" s="33">
        <f t="shared" si="9"/>
        <v>128002.91121725165</v>
      </c>
      <c r="IT23" s="33">
        <f t="shared" si="9"/>
        <v>126906.02558021192</v>
      </c>
      <c r="IU23" s="33">
        <f t="shared" si="9"/>
        <v>125807.76883612589</v>
      </c>
      <c r="IV23" s="33">
        <f t="shared" si="9"/>
        <v>124708.13927110976</v>
      </c>
      <c r="IW23" s="33">
        <f t="shared" si="9"/>
        <v>123607.13516913736</v>
      </c>
      <c r="IX23" s="33">
        <f t="shared" si="9"/>
        <v>122504.75481203748</v>
      </c>
      <c r="IY23" s="33">
        <f t="shared" ref="IY23:LJ23" si="10">IX23-IY27</f>
        <v>121400.99647949124</v>
      </c>
      <c r="IZ23" s="33">
        <f t="shared" si="10"/>
        <v>120295.85844902931</v>
      </c>
      <c r="JA23" s="33">
        <f t="shared" si="10"/>
        <v>119189.33899602931</v>
      </c>
      <c r="JB23" s="33">
        <f t="shared" si="10"/>
        <v>118081.43639371305</v>
      </c>
      <c r="JC23" s="33">
        <f t="shared" si="10"/>
        <v>116972.1489131439</v>
      </c>
      <c r="JD23" s="33">
        <f t="shared" si="10"/>
        <v>115861.47482322404</v>
      </c>
      <c r="JE23" s="33">
        <f t="shared" si="10"/>
        <v>114749.41239069178</v>
      </c>
      <c r="JF23" s="33">
        <f t="shared" si="10"/>
        <v>113635.95988011885</v>
      </c>
      <c r="JG23" s="33">
        <f t="shared" si="10"/>
        <v>112521.11555390772</v>
      </c>
      <c r="JH23" s="33">
        <f t="shared" si="10"/>
        <v>111404.8776722888</v>
      </c>
      <c r="JI23" s="33">
        <f t="shared" si="10"/>
        <v>110287.24449331786</v>
      </c>
      <c r="JJ23" s="33">
        <f t="shared" si="10"/>
        <v>109168.21427287321</v>
      </c>
      <c r="JK23" s="33">
        <f t="shared" si="10"/>
        <v>108047.78526465301</v>
      </c>
      <c r="JL23" s="33">
        <f t="shared" si="10"/>
        <v>106925.95572017253</v>
      </c>
      <c r="JM23" s="33">
        <f t="shared" si="10"/>
        <v>105802.72388876145</v>
      </c>
      <c r="JN23" s="33">
        <f t="shared" si="10"/>
        <v>104678.08801756111</v>
      </c>
      <c r="JO23" s="33">
        <f t="shared" si="10"/>
        <v>103552.04635152177</v>
      </c>
      <c r="JP23" s="33">
        <f t="shared" si="10"/>
        <v>102424.59713339988</v>
      </c>
      <c r="JQ23" s="33">
        <f t="shared" si="10"/>
        <v>101295.73860375534</v>
      </c>
      <c r="JR23" s="33">
        <f t="shared" si="10"/>
        <v>100165.46900094874</v>
      </c>
      <c r="JS23" s="33">
        <f t="shared" si="10"/>
        <v>99033.786561138637</v>
      </c>
      <c r="JT23" s="33">
        <f t="shared" si="10"/>
        <v>97900.68951827877</v>
      </c>
      <c r="JU23" s="33">
        <f t="shared" si="10"/>
        <v>96766.176104115322</v>
      </c>
      <c r="JV23" s="33">
        <f t="shared" si="10"/>
        <v>95630.244548184171</v>
      </c>
      <c r="JW23" s="33">
        <f t="shared" si="10"/>
        <v>94492.893077808112</v>
      </c>
      <c r="JX23" s="33">
        <f t="shared" si="10"/>
        <v>93354.119918094075</v>
      </c>
      <c r="JY23" s="33">
        <f t="shared" si="10"/>
        <v>92213.923291930405</v>
      </c>
      <c r="JZ23" s="33">
        <f t="shared" si="10"/>
        <v>91072.301419984025</v>
      </c>
      <c r="KA23" s="33">
        <f t="shared" si="10"/>
        <v>89929.252520697715</v>
      </c>
      <c r="KB23" s="33">
        <f t="shared" si="10"/>
        <v>88784.774810287287</v>
      </c>
      <c r="KC23" s="33">
        <f t="shared" si="10"/>
        <v>87638.866502738849</v>
      </c>
      <c r="KD23" s="33">
        <f t="shared" si="10"/>
        <v>86491.525809805986</v>
      </c>
      <c r="KE23" s="33">
        <f t="shared" si="10"/>
        <v>85342.750941006947</v>
      </c>
      <c r="KF23" s="33">
        <f t="shared" si="10"/>
        <v>84192.540103621912</v>
      </c>
      <c r="KG23" s="33">
        <f t="shared" si="10"/>
        <v>83040.891502690152</v>
      </c>
      <c r="KH23" s="33">
        <f t="shared" si="10"/>
        <v>81887.803341007224</v>
      </c>
      <c r="KI23" s="33">
        <f t="shared" si="10"/>
        <v>80733.273819122187</v>
      </c>
      <c r="KJ23" s="33">
        <f t="shared" si="10"/>
        <v>79577.301135334797</v>
      </c>
      <c r="KK23" s="33">
        <f t="shared" si="10"/>
        <v>78419.88348569267</v>
      </c>
      <c r="KL23" s="33">
        <f t="shared" si="10"/>
        <v>77261.019063988497</v>
      </c>
      <c r="KM23" s="33">
        <f t="shared" si="10"/>
        <v>76100.706061757184</v>
      </c>
      <c r="KN23" s="33">
        <f t="shared" si="10"/>
        <v>74938.942668273085</v>
      </c>
      <c r="KO23" s="33">
        <f t="shared" si="10"/>
        <v>73775.727070547131</v>
      </c>
      <c r="KP23" s="33">
        <f t="shared" si="10"/>
        <v>72611.057453324014</v>
      </c>
      <c r="KQ23" s="33">
        <f t="shared" si="10"/>
        <v>71444.931999079374</v>
      </c>
      <c r="KR23" s="33">
        <f t="shared" si="10"/>
        <v>70277.348888016932</v>
      </c>
      <c r="KS23" s="33">
        <f t="shared" si="10"/>
        <v>69108.306298065654</v>
      </c>
      <c r="KT23" s="33">
        <f t="shared" si="10"/>
        <v>67937.802404876944</v>
      </c>
      <c r="KU23" s="33">
        <f t="shared" si="10"/>
        <v>66765.835381821744</v>
      </c>
      <c r="KV23" s="33">
        <f t="shared" si="10"/>
        <v>65592.403399987728</v>
      </c>
      <c r="KW23" s="33">
        <f t="shared" si="10"/>
        <v>64417.504628176423</v>
      </c>
      <c r="KX23" s="33">
        <f t="shared" si="10"/>
        <v>63241.13723290035</v>
      </c>
      <c r="KY23" s="33">
        <f t="shared" si="10"/>
        <v>62063.299378380179</v>
      </c>
      <c r="KZ23" s="33">
        <f t="shared" si="10"/>
        <v>60883.98922654186</v>
      </c>
      <c r="LA23" s="33">
        <f t="shared" si="10"/>
        <v>59703.204937013747</v>
      </c>
      <c r="LB23" s="33">
        <f t="shared" si="10"/>
        <v>58520.944667123716</v>
      </c>
      <c r="LC23" s="33">
        <f t="shared" si="10"/>
        <v>57337.206571896328</v>
      </c>
      <c r="LD23" s="33">
        <f t="shared" si="10"/>
        <v>56151.988804049906</v>
      </c>
      <c r="LE23" s="33">
        <f t="shared" si="10"/>
        <v>54965.289513993674</v>
      </c>
      <c r="LF23" s="33">
        <f t="shared" si="10"/>
        <v>53777.106849824871</v>
      </c>
      <c r="LG23" s="33">
        <f t="shared" si="10"/>
        <v>52587.43895732586</v>
      </c>
      <c r="LH23" s="33">
        <f t="shared" si="10"/>
        <v>51396.283979961227</v>
      </c>
      <c r="LI23" s="33">
        <f t="shared" si="10"/>
        <v>50203.640058874887</v>
      </c>
      <c r="LJ23" s="33">
        <f t="shared" si="10"/>
        <v>49009.505332887187</v>
      </c>
      <c r="LK23" s="33">
        <f t="shared" ref="LK23:MX23" si="11">LJ23-LK27</f>
        <v>47813.877938492005</v>
      </c>
      <c r="LL23" s="33">
        <f t="shared" si="11"/>
        <v>46616.756009853823</v>
      </c>
      <c r="LM23" s="33">
        <f t="shared" si="11"/>
        <v>45418.137678804844</v>
      </c>
      <c r="LN23" s="33">
        <f t="shared" si="11"/>
        <v>44218.021074842058</v>
      </c>
      <c r="LO23" s="33">
        <f t="shared" si="11"/>
        <v>43016.404325124313</v>
      </c>
      <c r="LP23" s="33">
        <f t="shared" si="11"/>
        <v>41813.285554469425</v>
      </c>
      <c r="LQ23" s="33">
        <f t="shared" si="11"/>
        <v>40608.662885351216</v>
      </c>
      <c r="LR23" s="33">
        <f t="shared" si="11"/>
        <v>39402.534437896611</v>
      </c>
      <c r="LS23" s="33">
        <f t="shared" si="11"/>
        <v>38194.898329882686</v>
      </c>
      <c r="LT23" s="33">
        <f t="shared" si="11"/>
        <v>36985.752676733748</v>
      </c>
      <c r="LU23" s="33">
        <f t="shared" si="11"/>
        <v>35775.095591518373</v>
      </c>
      <c r="LV23" s="33">
        <f t="shared" si="11"/>
        <v>34562.925184946478</v>
      </c>
      <c r="LW23" s="33">
        <f t="shared" si="11"/>
        <v>33349.23956536637</v>
      </c>
      <c r="LX23" s="33">
        <f t="shared" si="11"/>
        <v>32134.036838761785</v>
      </c>
      <c r="LY23" s="33">
        <f t="shared" si="11"/>
        <v>30917.315108748942</v>
      </c>
      <c r="LZ23" s="33">
        <f t="shared" si="11"/>
        <v>29699.072476573583</v>
      </c>
      <c r="MA23" s="33">
        <f t="shared" si="11"/>
        <v>28479.307041108004</v>
      </c>
      <c r="MB23" s="33">
        <f t="shared" si="11"/>
        <v>27258.016898848095</v>
      </c>
      <c r="MC23" s="33">
        <f t="shared" si="11"/>
        <v>26035.200143910362</v>
      </c>
      <c r="MD23" s="33">
        <f t="shared" si="11"/>
        <v>24810.854868028957</v>
      </c>
      <c r="ME23" s="33">
        <f t="shared" si="11"/>
        <v>23584.979160552699</v>
      </c>
      <c r="MF23" s="33">
        <f t="shared" si="11"/>
        <v>22357.571108442095</v>
      </c>
      <c r="MG23" s="33">
        <f t="shared" si="11"/>
        <v>21128.628796266352</v>
      </c>
      <c r="MH23" s="33">
        <f t="shared" si="11"/>
        <v>19898.15030620039</v>
      </c>
      <c r="MI23" s="33">
        <f t="shared" si="11"/>
        <v>18666.133718021847</v>
      </c>
      <c r="MJ23" s="33">
        <f t="shared" si="11"/>
        <v>17432.577109108079</v>
      </c>
      <c r="MK23" s="33">
        <f t="shared" si="11"/>
        <v>16197.47855443317</v>
      </c>
      <c r="ML23" s="33">
        <f t="shared" si="11"/>
        <v>14960.836126564918</v>
      </c>
      <c r="MM23" s="33">
        <f t="shared" si="11"/>
        <v>13722.64789566183</v>
      </c>
      <c r="MN23" s="33">
        <f t="shared" si="11"/>
        <v>12482.911929470114</v>
      </c>
      <c r="MO23" s="33">
        <f t="shared" si="11"/>
        <v>11241.626293320658</v>
      </c>
      <c r="MP23" s="33">
        <f t="shared" si="11"/>
        <v>9998.7890501260154</v>
      </c>
      <c r="MQ23" s="33">
        <f t="shared" si="11"/>
        <v>8754.3982603773784</v>
      </c>
      <c r="MR23" s="33">
        <f t="shared" si="11"/>
        <v>7508.4519821415561</v>
      </c>
      <c r="MS23" s="33">
        <f t="shared" si="11"/>
        <v>6260.9482710579396</v>
      </c>
      <c r="MT23" s="33">
        <f t="shared" si="11"/>
        <v>5011.8851803354682</v>
      </c>
      <c r="MU23" s="33">
        <f t="shared" si="11"/>
        <v>3761.2607607495938</v>
      </c>
      <c r="MV23" s="33">
        <f t="shared" si="11"/>
        <v>2509.0730606392372</v>
      </c>
      <c r="MW23" s="33">
        <f t="shared" si="11"/>
        <v>1255.3201259037423</v>
      </c>
      <c r="MX23" s="55">
        <f t="shared" si="11"/>
        <v>-1.7189449863508344E-10</v>
      </c>
      <c r="MY23" s="1"/>
      <c r="MZ23" s="1"/>
      <c r="NA23" s="1"/>
      <c r="NB23" s="1"/>
      <c r="NC23" s="1"/>
      <c r="ND23" s="1"/>
      <c r="NE23" s="1"/>
      <c r="NF23" s="1"/>
      <c r="NG23" s="1"/>
      <c r="NH23" s="13">
        <v>0.11</v>
      </c>
      <c r="NI23" s="1">
        <f>Combine!A25</f>
        <v>48224</v>
      </c>
      <c r="NJ23" s="14">
        <f>Combine!F25</f>
        <v>69430.475806403498</v>
      </c>
    </row>
    <row r="24" spans="1:374" ht="12.75" customHeight="1" x14ac:dyDescent="0.3">
      <c r="A24" s="34" t="s">
        <v>865</v>
      </c>
      <c r="B24" s="35">
        <f>B6</f>
        <v>91047.208912705202</v>
      </c>
      <c r="C24" s="36">
        <f t="shared" ref="C24:BN24" si="12">C22-C23</f>
        <v>93745.678996551025</v>
      </c>
      <c r="D24" s="36">
        <f t="shared" si="12"/>
        <v>96453.054550487665</v>
      </c>
      <c r="E24" s="36">
        <f t="shared" si="12"/>
        <v>99169.369757946406</v>
      </c>
      <c r="F24" s="36">
        <f t="shared" si="12"/>
        <v>101894.65894113615</v>
      </c>
      <c r="G24" s="36">
        <f t="shared" si="12"/>
        <v>104628.95656161709</v>
      </c>
      <c r="H24" s="36">
        <f t="shared" si="12"/>
        <v>107372.29722087673</v>
      </c>
      <c r="I24" s="36">
        <f t="shared" si="12"/>
        <v>110124.71566090838</v>
      </c>
      <c r="J24" s="36">
        <f t="shared" si="12"/>
        <v>112886.2467647919</v>
      </c>
      <c r="K24" s="36">
        <f t="shared" si="12"/>
        <v>115656.92555727711</v>
      </c>
      <c r="L24" s="36">
        <f t="shared" si="12"/>
        <v>118436.78720536944</v>
      </c>
      <c r="M24" s="36">
        <f t="shared" si="12"/>
        <v>121225.86701891816</v>
      </c>
      <c r="N24" s="36">
        <f t="shared" si="12"/>
        <v>124024.20045120659</v>
      </c>
      <c r="O24" s="36">
        <f t="shared" si="12"/>
        <v>126831.82309954567</v>
      </c>
      <c r="P24" s="36">
        <f t="shared" si="12"/>
        <v>129648.77070586896</v>
      </c>
      <c r="Q24" s="36">
        <f t="shared" si="12"/>
        <v>132475.07915733091</v>
      </c>
      <c r="R24" s="36">
        <f t="shared" si="12"/>
        <v>135310.78448690724</v>
      </c>
      <c r="S24" s="36">
        <f t="shared" si="12"/>
        <v>138155.92287399794</v>
      </c>
      <c r="T24" s="36">
        <f t="shared" si="12"/>
        <v>141010.53064503259</v>
      </c>
      <c r="U24" s="36">
        <f t="shared" si="12"/>
        <v>143874.64427407848</v>
      </c>
      <c r="V24" s="36">
        <f t="shared" si="12"/>
        <v>146748.30038345099</v>
      </c>
      <c r="W24" s="36">
        <f t="shared" si="12"/>
        <v>149631.53574432677</v>
      </c>
      <c r="X24" s="36">
        <f t="shared" si="12"/>
        <v>152524.38727735914</v>
      </c>
      <c r="Y24" s="36">
        <f t="shared" si="12"/>
        <v>155426.89205329656</v>
      </c>
      <c r="Z24" s="36">
        <f t="shared" si="12"/>
        <v>158339.08729360299</v>
      </c>
      <c r="AA24" s="36">
        <f t="shared" si="12"/>
        <v>161261.01037108136</v>
      </c>
      <c r="AB24" s="36">
        <f t="shared" si="12"/>
        <v>164192.69881049945</v>
      </c>
      <c r="AC24" s="36">
        <f t="shared" si="12"/>
        <v>167134.1902892185</v>
      </c>
      <c r="AD24" s="36">
        <f t="shared" si="12"/>
        <v>170085.52263782406</v>
      </c>
      <c r="AE24" s="36">
        <f t="shared" si="12"/>
        <v>173046.73384075984</v>
      </c>
      <c r="AF24" s="36">
        <f t="shared" si="12"/>
        <v>176017.86203696427</v>
      </c>
      <c r="AG24" s="36">
        <f t="shared" si="12"/>
        <v>178998.94552050909</v>
      </c>
      <c r="AH24" s="36">
        <f t="shared" si="12"/>
        <v>181990.02274124144</v>
      </c>
      <c r="AI24" s="36">
        <f t="shared" si="12"/>
        <v>184991.13230542786</v>
      </c>
      <c r="AJ24" s="36">
        <f t="shared" si="12"/>
        <v>188002.31297640159</v>
      </c>
      <c r="AK24" s="36">
        <f t="shared" si="12"/>
        <v>191023.60367521213</v>
      </c>
      <c r="AL24" s="36">
        <f t="shared" si="12"/>
        <v>194055.04348127753</v>
      </c>
      <c r="AM24" s="36">
        <f t="shared" si="12"/>
        <v>197096.67163303966</v>
      </c>
      <c r="AN24" s="36">
        <f t="shared" si="12"/>
        <v>200148.52752862219</v>
      </c>
      <c r="AO24" s="36">
        <f t="shared" si="12"/>
        <v>203210.65072649071</v>
      </c>
      <c r="AP24" s="36">
        <f t="shared" si="12"/>
        <v>206283.08094611665</v>
      </c>
      <c r="AQ24" s="36">
        <f t="shared" si="12"/>
        <v>209365.85806864273</v>
      </c>
      <c r="AR24" s="36">
        <f t="shared" si="12"/>
        <v>212459.02213755233</v>
      </c>
      <c r="AS24" s="36">
        <f t="shared" si="12"/>
        <v>215562.61335934082</v>
      </c>
      <c r="AT24" s="36">
        <f t="shared" si="12"/>
        <v>218676.6721041901</v>
      </c>
      <c r="AU24" s="36">
        <f t="shared" si="12"/>
        <v>221801.23890664574</v>
      </c>
      <c r="AV24" s="36">
        <f t="shared" si="12"/>
        <v>224936.35446629731</v>
      </c>
      <c r="AW24" s="36">
        <f t="shared" si="12"/>
        <v>228082.05964846071</v>
      </c>
      <c r="AX24" s="36">
        <f t="shared" si="12"/>
        <v>231238.39548486442</v>
      </c>
      <c r="AY24" s="36">
        <f t="shared" si="12"/>
        <v>234405.40317433776</v>
      </c>
      <c r="AZ24" s="36">
        <f t="shared" si="12"/>
        <v>237583.12408350233</v>
      </c>
      <c r="BA24" s="36">
        <f t="shared" si="12"/>
        <v>240771.59974746639</v>
      </c>
      <c r="BB24" s="36">
        <f t="shared" si="12"/>
        <v>243970.87187052204</v>
      </c>
      <c r="BC24" s="36">
        <f t="shared" si="12"/>
        <v>247180.98232684535</v>
      </c>
      <c r="BD24" s="36">
        <f t="shared" si="12"/>
        <v>250401.97316119913</v>
      </c>
      <c r="BE24" s="36">
        <f t="shared" si="12"/>
        <v>253633.88658963918</v>
      </c>
      <c r="BF24" s="36">
        <f t="shared" si="12"/>
        <v>256876.76500022283</v>
      </c>
      <c r="BG24" s="36">
        <f t="shared" si="12"/>
        <v>260130.65095372091</v>
      </c>
      <c r="BH24" s="36">
        <f t="shared" si="12"/>
        <v>263395.58718433243</v>
      </c>
      <c r="BI24" s="36">
        <f t="shared" si="12"/>
        <v>266671.61660040246</v>
      </c>
      <c r="BJ24" s="36">
        <f t="shared" si="12"/>
        <v>269958.78228514269</v>
      </c>
      <c r="BK24" s="36">
        <f t="shared" si="12"/>
        <v>273257.12749735516</v>
      </c>
      <c r="BL24" s="36">
        <f t="shared" si="12"/>
        <v>276566.69567215914</v>
      </c>
      <c r="BM24" s="36">
        <f t="shared" si="12"/>
        <v>279887.53042172076</v>
      </c>
      <c r="BN24" s="36">
        <f t="shared" si="12"/>
        <v>283219.67553598556</v>
      </c>
      <c r="BO24" s="36">
        <f t="shared" ref="BO24:DZ24" si="13">BO22-BO23</f>
        <v>286563.1749834147</v>
      </c>
      <c r="BP24" s="36">
        <f t="shared" si="13"/>
        <v>289918.07291172381</v>
      </c>
      <c r="BQ24" s="36">
        <f t="shared" si="13"/>
        <v>293284.41364862461</v>
      </c>
      <c r="BR24" s="36">
        <f t="shared" si="13"/>
        <v>296662.24170257023</v>
      </c>
      <c r="BS24" s="36">
        <f t="shared" si="13"/>
        <v>300051.60176350339</v>
      </c>
      <c r="BT24" s="36">
        <f t="shared" si="13"/>
        <v>303452.53870360751</v>
      </c>
      <c r="BU24" s="36">
        <f t="shared" si="13"/>
        <v>306865.09757806116</v>
      </c>
      <c r="BV24" s="36">
        <f t="shared" si="13"/>
        <v>310289.32362579537</v>
      </c>
      <c r="BW24" s="36">
        <f t="shared" si="13"/>
        <v>313725.26227025467</v>
      </c>
      <c r="BX24" s="36">
        <f t="shared" si="13"/>
        <v>317172.95912016061</v>
      </c>
      <c r="BY24" s="36">
        <f t="shared" si="13"/>
        <v>320632.45997027901</v>
      </c>
      <c r="BZ24" s="36">
        <f t="shared" si="13"/>
        <v>324103.81080218992</v>
      </c>
      <c r="CA24" s="36">
        <f t="shared" si="13"/>
        <v>327587.05778506107</v>
      </c>
      <c r="CB24" s="36">
        <f t="shared" si="13"/>
        <v>331082.24727642455</v>
      </c>
      <c r="CC24" s="36">
        <f t="shared" si="13"/>
        <v>334589.42582295666</v>
      </c>
      <c r="CD24" s="36">
        <f t="shared" si="13"/>
        <v>338108.64016126108</v>
      </c>
      <c r="CE24" s="36">
        <f t="shared" si="13"/>
        <v>341639.9372186549</v>
      </c>
      <c r="CF24" s="36">
        <f t="shared" si="13"/>
        <v>345183.36411395849</v>
      </c>
      <c r="CG24" s="36">
        <f t="shared" si="13"/>
        <v>348738.96815828833</v>
      </c>
      <c r="CH24" s="36">
        <f t="shared" si="13"/>
        <v>352306.79685585335</v>
      </c>
      <c r="CI24" s="36">
        <f t="shared" si="13"/>
        <v>355886.89790475409</v>
      </c>
      <c r="CJ24" s="36">
        <f t="shared" si="13"/>
        <v>359479.31919778581</v>
      </c>
      <c r="CK24" s="36">
        <f t="shared" si="13"/>
        <v>363084.10882324452</v>
      </c>
      <c r="CL24" s="36">
        <f t="shared" si="13"/>
        <v>366701.31506573682</v>
      </c>
      <c r="CM24" s="36">
        <f t="shared" si="13"/>
        <v>370330.98640699225</v>
      </c>
      <c r="CN24" s="36">
        <f t="shared" si="13"/>
        <v>373973.17152667994</v>
      </c>
      <c r="CO24" s="36">
        <f t="shared" si="13"/>
        <v>377627.91930322809</v>
      </c>
      <c r="CP24" s="36">
        <f t="shared" si="13"/>
        <v>381295.27881464717</v>
      </c>
      <c r="CQ24" s="36">
        <f t="shared" si="13"/>
        <v>384975.29933935654</v>
      </c>
      <c r="CR24" s="36">
        <f t="shared" si="13"/>
        <v>388668.03035701398</v>
      </c>
      <c r="CS24" s="36">
        <f t="shared" si="13"/>
        <v>392373.52154934948</v>
      </c>
      <c r="CT24" s="36">
        <f t="shared" si="13"/>
        <v>396091.82280100178</v>
      </c>
      <c r="CU24" s="36">
        <f t="shared" si="13"/>
        <v>399822.98420035886</v>
      </c>
      <c r="CV24" s="36">
        <f t="shared" si="13"/>
        <v>403567.05604040175</v>
      </c>
      <c r="CW24" s="36">
        <f t="shared" si="13"/>
        <v>407324.08881955198</v>
      </c>
      <c r="CX24" s="36">
        <f t="shared" si="13"/>
        <v>411094.13324252208</v>
      </c>
      <c r="CY24" s="36">
        <f t="shared" si="13"/>
        <v>414877.24022117036</v>
      </c>
      <c r="CZ24" s="36">
        <f t="shared" si="13"/>
        <v>418673.46087535878</v>
      </c>
      <c r="DA24" s="36">
        <f t="shared" si="13"/>
        <v>422482.84653381427</v>
      </c>
      <c r="DB24" s="36">
        <f t="shared" si="13"/>
        <v>426305.44873499416</v>
      </c>
      <c r="DC24" s="36">
        <f t="shared" si="13"/>
        <v>430141.31922795449</v>
      </c>
      <c r="DD24" s="36">
        <f t="shared" si="13"/>
        <v>433990.50997322256</v>
      </c>
      <c r="DE24" s="36">
        <f t="shared" si="13"/>
        <v>437853.07314367295</v>
      </c>
      <c r="DF24" s="36">
        <f t="shared" si="13"/>
        <v>441729.06112540688</v>
      </c>
      <c r="DG24" s="36">
        <f t="shared" si="13"/>
        <v>445618.52651863568</v>
      </c>
      <c r="DH24" s="36">
        <f t="shared" si="13"/>
        <v>449521.52213856747</v>
      </c>
      <c r="DI24" s="36">
        <f t="shared" si="13"/>
        <v>453438.10101629811</v>
      </c>
      <c r="DJ24" s="36">
        <f t="shared" si="13"/>
        <v>457368.31639970507</v>
      </c>
      <c r="DK24" s="36">
        <f t="shared" si="13"/>
        <v>461312.22175434575</v>
      </c>
      <c r="DL24" s="36">
        <f t="shared" si="13"/>
        <v>465269.87076435925</v>
      </c>
      <c r="DM24" s="36">
        <f t="shared" si="13"/>
        <v>469241.31733337173</v>
      </c>
      <c r="DN24" s="36">
        <f t="shared" si="13"/>
        <v>473226.61558540585</v>
      </c>
      <c r="DO24" s="36">
        <f t="shared" si="13"/>
        <v>477225.81986579375</v>
      </c>
      <c r="DP24" s="36">
        <f t="shared" si="13"/>
        <v>481238.98474209401</v>
      </c>
      <c r="DQ24" s="36">
        <f t="shared" si="13"/>
        <v>485266.16500501224</v>
      </c>
      <c r="DR24" s="36">
        <f t="shared" si="13"/>
        <v>489307.41566932551</v>
      </c>
      <c r="DS24" s="36">
        <f t="shared" si="13"/>
        <v>493362.79197481077</v>
      </c>
      <c r="DT24" s="36">
        <f t="shared" si="13"/>
        <v>497432.34938717715</v>
      </c>
      <c r="DU24" s="36">
        <f t="shared" si="13"/>
        <v>501516.14359900216</v>
      </c>
      <c r="DV24" s="36">
        <f t="shared" si="13"/>
        <v>505614.23053067131</v>
      </c>
      <c r="DW24" s="36">
        <f t="shared" si="13"/>
        <v>509726.66633132205</v>
      </c>
      <c r="DX24" s="36">
        <f t="shared" si="13"/>
        <v>513853.50737979205</v>
      </c>
      <c r="DY24" s="36">
        <f t="shared" si="13"/>
        <v>517994.81028557057</v>
      </c>
      <c r="DZ24" s="36">
        <f t="shared" si="13"/>
        <v>522150.63188975421</v>
      </c>
      <c r="EA24" s="36">
        <f t="shared" ref="EA24:GL24" si="14">EA22-EA23</f>
        <v>526321.02926600655</v>
      </c>
      <c r="EB24" s="36">
        <f t="shared" si="14"/>
        <v>530506.05972152238</v>
      </c>
      <c r="EC24" s="36">
        <f t="shared" si="14"/>
        <v>534705.78079799446</v>
      </c>
      <c r="ED24" s="36">
        <f t="shared" si="14"/>
        <v>538920.25027258624</v>
      </c>
      <c r="EE24" s="36">
        <f t="shared" si="14"/>
        <v>543149.52615890687</v>
      </c>
      <c r="EF24" s="36">
        <f t="shared" si="14"/>
        <v>547393.66670799127</v>
      </c>
      <c r="EG24" s="36">
        <f t="shared" si="14"/>
        <v>551652.73040928412</v>
      </c>
      <c r="EH24" s="36">
        <f t="shared" si="14"/>
        <v>555926.77599162806</v>
      </c>
      <c r="EI24" s="36">
        <f t="shared" si="14"/>
        <v>560215.86242425512</v>
      </c>
      <c r="EJ24" s="36">
        <f t="shared" si="14"/>
        <v>564520.04891778377</v>
      </c>
      <c r="EK24" s="36">
        <f t="shared" si="14"/>
        <v>568839.39492521854</v>
      </c>
      <c r="EL24" s="36">
        <f t="shared" si="14"/>
        <v>573173.96014295518</v>
      </c>
      <c r="EM24" s="36">
        <f t="shared" si="14"/>
        <v>577523.80451178923</v>
      </c>
      <c r="EN24" s="36">
        <f t="shared" si="14"/>
        <v>581888.98821792845</v>
      </c>
      <c r="EO24" s="36">
        <f t="shared" si="14"/>
        <v>586269.5716940104</v>
      </c>
      <c r="EP24" s="36">
        <f t="shared" si="14"/>
        <v>590665.61562012392</v>
      </c>
      <c r="EQ24" s="36">
        <f t="shared" si="14"/>
        <v>595077.18092483445</v>
      </c>
      <c r="ER24" s="36">
        <f t="shared" si="14"/>
        <v>599504.32878621377</v>
      </c>
      <c r="ES24" s="36">
        <f t="shared" si="14"/>
        <v>603947.12063287478</v>
      </c>
      <c r="ET24" s="36">
        <f t="shared" si="14"/>
        <v>608405.61814500915</v>
      </c>
      <c r="EU24" s="36">
        <f t="shared" si="14"/>
        <v>612879.88325543073</v>
      </c>
      <c r="EV24" s="36">
        <f t="shared" si="14"/>
        <v>617369.97815062234</v>
      </c>
      <c r="EW24" s="36">
        <f t="shared" si="14"/>
        <v>621875.96527178737</v>
      </c>
      <c r="EX24" s="36">
        <f t="shared" si="14"/>
        <v>626397.90731590544</v>
      </c>
      <c r="EY24" s="36">
        <f t="shared" si="14"/>
        <v>630935.86723679327</v>
      </c>
      <c r="EZ24" s="36">
        <f t="shared" si="14"/>
        <v>635489.90824616817</v>
      </c>
      <c r="FA24" s="36">
        <f t="shared" si="14"/>
        <v>640060.09381471865</v>
      </c>
      <c r="FB24" s="36">
        <f t="shared" si="14"/>
        <v>644646.48767317622</v>
      </c>
      <c r="FC24" s="36">
        <f t="shared" si="14"/>
        <v>649249.15381339507</v>
      </c>
      <c r="FD24" s="36">
        <f t="shared" si="14"/>
        <v>653868.15648943314</v>
      </c>
      <c r="FE24" s="36">
        <f t="shared" si="14"/>
        <v>658503.56021864002</v>
      </c>
      <c r="FF24" s="36">
        <f t="shared" si="14"/>
        <v>663155.42978274811</v>
      </c>
      <c r="FG24" s="36">
        <f t="shared" si="14"/>
        <v>667823.83022896876</v>
      </c>
      <c r="FH24" s="36">
        <f t="shared" si="14"/>
        <v>672508.82687109278</v>
      </c>
      <c r="FI24" s="36">
        <f t="shared" si="14"/>
        <v>677210.48529059556</v>
      </c>
      <c r="FJ24" s="36">
        <f t="shared" si="14"/>
        <v>681928.87133774708</v>
      </c>
      <c r="FK24" s="36">
        <f t="shared" si="14"/>
        <v>686664.05113272625</v>
      </c>
      <c r="FL24" s="36">
        <f t="shared" si="14"/>
        <v>691416.09106673975</v>
      </c>
      <c r="FM24" s="36">
        <f t="shared" si="14"/>
        <v>696185.05780314584</v>
      </c>
      <c r="FN24" s="36">
        <f t="shared" si="14"/>
        <v>700971.01827858295</v>
      </c>
      <c r="FO24" s="36">
        <f t="shared" si="14"/>
        <v>705774.03970410244</v>
      </c>
      <c r="FP24" s="36">
        <f t="shared" si="14"/>
        <v>710594.1895663063</v>
      </c>
      <c r="FQ24" s="36">
        <f t="shared" si="14"/>
        <v>715431.53562849003</v>
      </c>
      <c r="FR24" s="36">
        <f t="shared" si="14"/>
        <v>720286.14593178965</v>
      </c>
      <c r="FS24" s="36">
        <f t="shared" si="14"/>
        <v>725158.08879633388</v>
      </c>
      <c r="FT24" s="36">
        <f t="shared" si="14"/>
        <v>730047.4328224007</v>
      </c>
      <c r="FU24" s="36">
        <f t="shared" si="14"/>
        <v>734954.24689157936</v>
      </c>
      <c r="FV24" s="36">
        <f t="shared" si="14"/>
        <v>739878.60016793665</v>
      </c>
      <c r="FW24" s="36">
        <f t="shared" si="14"/>
        <v>744820.56209918787</v>
      </c>
      <c r="FX24" s="36">
        <f t="shared" si="14"/>
        <v>749780.20241787401</v>
      </c>
      <c r="FY24" s="36">
        <f t="shared" si="14"/>
        <v>754757.59114254173</v>
      </c>
      <c r="FZ24" s="36">
        <f t="shared" si="14"/>
        <v>759752.7985789302</v>
      </c>
      <c r="GA24" s="36">
        <f t="shared" si="14"/>
        <v>764765.89532116172</v>
      </c>
      <c r="GB24" s="36">
        <f t="shared" si="14"/>
        <v>769796.95225293748</v>
      </c>
      <c r="GC24" s="36">
        <f t="shared" si="14"/>
        <v>774846.04054873867</v>
      </c>
      <c r="GD24" s="36">
        <f t="shared" si="14"/>
        <v>779913.23167503218</v>
      </c>
      <c r="GE24" s="36">
        <f t="shared" si="14"/>
        <v>784998.59739148174</v>
      </c>
      <c r="GF24" s="36">
        <f t="shared" si="14"/>
        <v>790102.20975216338</v>
      </c>
      <c r="GG24" s="36">
        <f t="shared" si="14"/>
        <v>795224.14110678714</v>
      </c>
      <c r="GH24" s="36">
        <f t="shared" si="14"/>
        <v>800364.46410192223</v>
      </c>
      <c r="GI24" s="36">
        <f t="shared" si="14"/>
        <v>805523.25168222934</v>
      </c>
      <c r="GJ24" s="36">
        <f t="shared" si="14"/>
        <v>810700.57709169551</v>
      </c>
      <c r="GK24" s="36">
        <f t="shared" si="14"/>
        <v>815896.51387487701</v>
      </c>
      <c r="GL24" s="36">
        <f t="shared" si="14"/>
        <v>821111.13587814476</v>
      </c>
      <c r="GM24" s="36">
        <f t="shared" ref="GM24:IX24" si="15">GM22-GM23</f>
        <v>826344.51725093671</v>
      </c>
      <c r="GN24" s="36">
        <f t="shared" si="15"/>
        <v>831596.73244701512</v>
      </c>
      <c r="GO24" s="36">
        <f t="shared" si="15"/>
        <v>836867.85622572794</v>
      </c>
      <c r="GP24" s="36">
        <f t="shared" si="15"/>
        <v>842157.96365327714</v>
      </c>
      <c r="GQ24" s="36">
        <f t="shared" si="15"/>
        <v>847467.13010399067</v>
      </c>
      <c r="GR24" s="36">
        <f t="shared" si="15"/>
        <v>852795.43126160139</v>
      </c>
      <c r="GS24" s="36">
        <f t="shared" si="15"/>
        <v>858142.94312052964</v>
      </c>
      <c r="GT24" s="36">
        <f t="shared" si="15"/>
        <v>863509.74198717228</v>
      </c>
      <c r="GU24" s="36">
        <f t="shared" si="15"/>
        <v>868895.90448119689</v>
      </c>
      <c r="GV24" s="36">
        <f t="shared" si="15"/>
        <v>874301.50753684097</v>
      </c>
      <c r="GW24" s="36">
        <f t="shared" si="15"/>
        <v>879726.62840421707</v>
      </c>
      <c r="GX24" s="36">
        <f t="shared" si="15"/>
        <v>885171.34465062269</v>
      </c>
      <c r="GY24" s="36">
        <f t="shared" si="15"/>
        <v>890635.73416185658</v>
      </c>
      <c r="GZ24" s="36">
        <f t="shared" si="15"/>
        <v>896119.87514353928</v>
      </c>
      <c r="HA24" s="36">
        <f t="shared" si="15"/>
        <v>901623.84612244053</v>
      </c>
      <c r="HB24" s="36">
        <f t="shared" si="15"/>
        <v>907147.72594781092</v>
      </c>
      <c r="HC24" s="36">
        <f t="shared" si="15"/>
        <v>912691.59379271988</v>
      </c>
      <c r="HD24" s="36">
        <f t="shared" si="15"/>
        <v>918255.52915539918</v>
      </c>
      <c r="HE24" s="36">
        <f t="shared" si="15"/>
        <v>923839.6118605918</v>
      </c>
      <c r="HF24" s="36">
        <f t="shared" si="15"/>
        <v>929443.92206090607</v>
      </c>
      <c r="HG24" s="36">
        <f t="shared" si="15"/>
        <v>935068.54023817671</v>
      </c>
      <c r="HH24" s="36">
        <f t="shared" si="15"/>
        <v>940713.54720482987</v>
      </c>
      <c r="HI24" s="36">
        <f t="shared" si="15"/>
        <v>946379.02410525526</v>
      </c>
      <c r="HJ24" s="36">
        <f t="shared" si="15"/>
        <v>952065.05241718271</v>
      </c>
      <c r="HK24" s="36">
        <f t="shared" si="15"/>
        <v>957771.71395306545</v>
      </c>
      <c r="HL24" s="36">
        <f t="shared" si="15"/>
        <v>963499.09086146927</v>
      </c>
      <c r="HM24" s="36">
        <f t="shared" si="15"/>
        <v>969247.26562846662</v>
      </c>
      <c r="HN24" s="36">
        <f t="shared" si="15"/>
        <v>975016.32107903669</v>
      </c>
      <c r="HO24" s="36">
        <f t="shared" si="15"/>
        <v>980806.34037847188</v>
      </c>
      <c r="HP24" s="36">
        <f t="shared" si="15"/>
        <v>986617.4070337899</v>
      </c>
      <c r="HQ24" s="36">
        <f t="shared" si="15"/>
        <v>992449.6048951511</v>
      </c>
      <c r="HR24" s="36">
        <f t="shared" si="15"/>
        <v>998303.01815728284</v>
      </c>
      <c r="HS24" s="36">
        <f t="shared" si="15"/>
        <v>1004177.7313609087</v>
      </c>
      <c r="HT24" s="36">
        <f t="shared" si="15"/>
        <v>1010073.8293941843</v>
      </c>
      <c r="HU24" s="36">
        <f t="shared" si="15"/>
        <v>1015991.3974941391</v>
      </c>
      <c r="HV24" s="36">
        <f t="shared" si="15"/>
        <v>1021930.5212481237</v>
      </c>
      <c r="HW24" s="36">
        <f t="shared" si="15"/>
        <v>1027891.2865952635</v>
      </c>
      <c r="HX24" s="36">
        <f t="shared" si="15"/>
        <v>1033873.7798279186</v>
      </c>
      <c r="HY24" s="36">
        <f t="shared" si="15"/>
        <v>1039878.0875931492</v>
      </c>
      <c r="HZ24" s="36">
        <f t="shared" si="15"/>
        <v>1045904.2968941879</v>
      </c>
      <c r="IA24" s="36">
        <f t="shared" si="15"/>
        <v>1051952.4950919175</v>
      </c>
      <c r="IB24" s="36">
        <f t="shared" si="15"/>
        <v>1058022.7699063551</v>
      </c>
      <c r="IC24" s="36">
        <f t="shared" si="15"/>
        <v>1064115.2094181417</v>
      </c>
      <c r="ID24" s="36">
        <f t="shared" si="15"/>
        <v>1070229.9020700403</v>
      </c>
      <c r="IE24" s="36">
        <f t="shared" si="15"/>
        <v>1076366.9366684377</v>
      </c>
      <c r="IF24" s="36">
        <f t="shared" si="15"/>
        <v>1082526.4023848525</v>
      </c>
      <c r="IG24" s="36">
        <f t="shared" si="15"/>
        <v>1088708.3887574526</v>
      </c>
      <c r="IH24" s="36">
        <f t="shared" si="15"/>
        <v>1094912.9856925749</v>
      </c>
      <c r="II24" s="36">
        <f t="shared" si="15"/>
        <v>1101140.2834662544</v>
      </c>
      <c r="IJ24" s="36">
        <f t="shared" si="15"/>
        <v>1107390.3727257568</v>
      </c>
      <c r="IK24" s="36">
        <f t="shared" si="15"/>
        <v>1113663.3444911218</v>
      </c>
      <c r="IL24" s="36">
        <f t="shared" si="15"/>
        <v>1119959.2901567076</v>
      </c>
      <c r="IM24" s="36">
        <f t="shared" si="15"/>
        <v>1126278.301492746</v>
      </c>
      <c r="IN24" s="36">
        <f t="shared" si="15"/>
        <v>1132620.4706469013</v>
      </c>
      <c r="IO24" s="36">
        <f t="shared" si="15"/>
        <v>1138985.8901458376</v>
      </c>
      <c r="IP24" s="36">
        <f t="shared" si="15"/>
        <v>1145374.6528967917</v>
      </c>
      <c r="IQ24" s="36">
        <f t="shared" si="15"/>
        <v>1151786.8521891523</v>
      </c>
      <c r="IR24" s="36">
        <f t="shared" si="15"/>
        <v>1158222.5816960456</v>
      </c>
      <c r="IS24" s="36">
        <f t="shared" si="15"/>
        <v>1164681.9354759292</v>
      </c>
      <c r="IT24" s="36">
        <f t="shared" si="15"/>
        <v>1171165.0079741904</v>
      </c>
      <c r="IU24" s="36">
        <f t="shared" si="15"/>
        <v>1177671.894024753</v>
      </c>
      <c r="IV24" s="36">
        <f t="shared" si="15"/>
        <v>1184202.6888516895</v>
      </c>
      <c r="IW24" s="36">
        <f t="shared" si="15"/>
        <v>1190757.4880708402</v>
      </c>
      <c r="IX24" s="36">
        <f t="shared" si="15"/>
        <v>1197336.3876914398</v>
      </c>
      <c r="IY24" s="36">
        <f t="shared" ref="IY24:LJ24" si="16">IY22-IY23</f>
        <v>1203939.4841177505</v>
      </c>
      <c r="IZ24" s="36">
        <f t="shared" si="16"/>
        <v>1210566.8741507011</v>
      </c>
      <c r="JA24" s="36">
        <f t="shared" si="16"/>
        <v>1217218.6549895334</v>
      </c>
      <c r="JB24" s="36">
        <f t="shared" si="16"/>
        <v>1223894.9242334559</v>
      </c>
      <c r="JC24" s="36">
        <f t="shared" si="16"/>
        <v>1230595.7798833051</v>
      </c>
      <c r="JD24" s="36">
        <f t="shared" si="16"/>
        <v>1237321.3203432101</v>
      </c>
      <c r="JE24" s="36">
        <f t="shared" si="16"/>
        <v>1244071.6444222694</v>
      </c>
      <c r="JF24" s="36">
        <f t="shared" si="16"/>
        <v>1250846.8513362296</v>
      </c>
      <c r="JG24" s="36">
        <f t="shared" si="16"/>
        <v>1257647.0407091754</v>
      </c>
      <c r="JH24" s="36">
        <f t="shared" si="16"/>
        <v>1264472.3125752239</v>
      </c>
      <c r="JI24" s="36">
        <f t="shared" si="16"/>
        <v>1271322.7673802262</v>
      </c>
      <c r="JJ24" s="36">
        <f t="shared" si="16"/>
        <v>1278198.5059834772</v>
      </c>
      <c r="JK24" s="36">
        <f t="shared" si="16"/>
        <v>1285099.6296594322</v>
      </c>
      <c r="JL24" s="36">
        <f t="shared" si="16"/>
        <v>1292026.2400994296</v>
      </c>
      <c r="JM24" s="36">
        <f t="shared" si="16"/>
        <v>1298978.4394134225</v>
      </c>
      <c r="JN24" s="36">
        <f t="shared" si="16"/>
        <v>1305956.3301317152</v>
      </c>
      <c r="JO24" s="36">
        <f t="shared" si="16"/>
        <v>1312960.0152067097</v>
      </c>
      <c r="JP24" s="36">
        <f t="shared" si="16"/>
        <v>1319989.5980146576</v>
      </c>
      <c r="JQ24" s="36">
        <f t="shared" si="16"/>
        <v>1327045.182357419</v>
      </c>
      <c r="JR24" s="36">
        <f t="shared" si="16"/>
        <v>1334126.8724642305</v>
      </c>
      <c r="JS24" s="36">
        <f t="shared" si="16"/>
        <v>1341234.7729934789</v>
      </c>
      <c r="JT24" s="36">
        <f t="shared" si="16"/>
        <v>1348368.9890344832</v>
      </c>
      <c r="JU24" s="36">
        <f t="shared" si="16"/>
        <v>1355529.6261092832</v>
      </c>
      <c r="JV24" s="36">
        <f t="shared" si="16"/>
        <v>1362716.790174437</v>
      </c>
      <c r="JW24" s="36">
        <f t="shared" si="16"/>
        <v>1369930.5876228239</v>
      </c>
      <c r="JX24" s="36">
        <f t="shared" si="16"/>
        <v>1377171.1252854574</v>
      </c>
      <c r="JY24" s="36">
        <f t="shared" si="16"/>
        <v>1384438.5104333023</v>
      </c>
      <c r="JZ24" s="36">
        <f t="shared" si="16"/>
        <v>1391732.8507791038</v>
      </c>
      <c r="KA24" s="36">
        <f t="shared" si="16"/>
        <v>1399054.2544792197</v>
      </c>
      <c r="KB24" s="36">
        <f t="shared" si="16"/>
        <v>1406402.8301354628</v>
      </c>
      <c r="KC24" s="36">
        <f t="shared" si="16"/>
        <v>1413778.686796952</v>
      </c>
      <c r="KD24" s="36">
        <f t="shared" si="16"/>
        <v>1421181.9339619668</v>
      </c>
      <c r="KE24" s="36">
        <f t="shared" si="16"/>
        <v>1428612.681579815</v>
      </c>
      <c r="KF24" s="36">
        <f t="shared" si="16"/>
        <v>1436071.0400527033</v>
      </c>
      <c r="KG24" s="36">
        <f t="shared" si="16"/>
        <v>1443557.1202376201</v>
      </c>
      <c r="KH24" s="36">
        <f t="shared" si="16"/>
        <v>1451071.0334482207</v>
      </c>
      <c r="KI24" s="36">
        <f t="shared" si="16"/>
        <v>1458612.8914567276</v>
      </c>
      <c r="KJ24" s="36">
        <f t="shared" si="16"/>
        <v>1466182.8064958311</v>
      </c>
      <c r="KK24" s="36">
        <f t="shared" si="16"/>
        <v>1473780.891260603</v>
      </c>
      <c r="KL24" s="36">
        <f t="shared" si="16"/>
        <v>1481407.2589104169</v>
      </c>
      <c r="KM24" s="36">
        <f t="shared" si="16"/>
        <v>1489062.0230708749</v>
      </c>
      <c r="KN24" s="36">
        <f t="shared" si="16"/>
        <v>1496745.2978357449</v>
      </c>
      <c r="KO24" s="36">
        <f t="shared" si="16"/>
        <v>1504457.1977689043</v>
      </c>
      <c r="KP24" s="36">
        <f t="shared" si="16"/>
        <v>1512197.8379062917</v>
      </c>
      <c r="KQ24" s="36">
        <f t="shared" si="16"/>
        <v>1519967.333757868</v>
      </c>
      <c r="KR24" s="36">
        <f t="shared" si="16"/>
        <v>1527765.8013095844</v>
      </c>
      <c r="KS24" s="36">
        <f t="shared" si="16"/>
        <v>1535593.3570253591</v>
      </c>
      <c r="KT24" s="36">
        <f t="shared" si="16"/>
        <v>1543450.117849062</v>
      </c>
      <c r="KU24" s="36">
        <f t="shared" si="16"/>
        <v>1551336.2012065086</v>
      </c>
      <c r="KV24" s="36">
        <f t="shared" si="16"/>
        <v>1559251.7250074605</v>
      </c>
      <c r="KW24" s="36">
        <f t="shared" si="16"/>
        <v>1567196.8076476364</v>
      </c>
      <c r="KX24" s="36">
        <f t="shared" si="16"/>
        <v>1575171.5680107283</v>
      </c>
      <c r="KY24" s="36">
        <f t="shared" si="16"/>
        <v>1583176.1254704304</v>
      </c>
      <c r="KZ24" s="36">
        <f t="shared" si="16"/>
        <v>1591210.5998924719</v>
      </c>
      <c r="LA24" s="36">
        <f t="shared" si="16"/>
        <v>1599275.1116366626</v>
      </c>
      <c r="LB24" s="36">
        <f t="shared" si="16"/>
        <v>1607369.781558943</v>
      </c>
      <c r="LC24" s="36">
        <f t="shared" si="16"/>
        <v>1615494.7310134456</v>
      </c>
      <c r="LD24" s="36">
        <f t="shared" si="16"/>
        <v>1623650.0818545641</v>
      </c>
      <c r="LE24" s="36">
        <f t="shared" si="16"/>
        <v>1631835.9564390313</v>
      </c>
      <c r="LF24" s="36">
        <f t="shared" si="16"/>
        <v>1640052.4776280045</v>
      </c>
      <c r="LG24" s="36">
        <f t="shared" si="16"/>
        <v>1648299.768789161</v>
      </c>
      <c r="LH24" s="36">
        <f t="shared" si="16"/>
        <v>1656577.9537988028</v>
      </c>
      <c r="LI24" s="36">
        <f t="shared" si="16"/>
        <v>1664887.1570439674</v>
      </c>
      <c r="LJ24" s="36">
        <f t="shared" si="16"/>
        <v>1673227.5034245502</v>
      </c>
      <c r="LK24" s="36">
        <f t="shared" ref="LK24:NV24" si="17">LK22-LK23</f>
        <v>1681599.1183554346</v>
      </c>
      <c r="LL24" s="36">
        <f t="shared" si="17"/>
        <v>1690002.1277686306</v>
      </c>
      <c r="LM24" s="36">
        <f t="shared" si="17"/>
        <v>1698436.6581154233</v>
      </c>
      <c r="LN24" s="36">
        <f t="shared" si="17"/>
        <v>1706902.8363685287</v>
      </c>
      <c r="LO24" s="36">
        <f t="shared" si="17"/>
        <v>1715400.7900242603</v>
      </c>
      <c r="LP24" s="36">
        <f t="shared" si="17"/>
        <v>1723930.6471047043</v>
      </c>
      <c r="LQ24" s="36">
        <f t="shared" si="17"/>
        <v>1732492.5361599023</v>
      </c>
      <c r="LR24" s="36">
        <f t="shared" si="17"/>
        <v>1741086.5862700453</v>
      </c>
      <c r="LS24" s="36">
        <f t="shared" si="17"/>
        <v>1749712.9270476757</v>
      </c>
      <c r="LT24" s="36">
        <f t="shared" si="17"/>
        <v>1758371.6886398976</v>
      </c>
      <c r="LU24" s="36">
        <f t="shared" si="17"/>
        <v>1767063.001730599</v>
      </c>
      <c r="LV24" s="36">
        <f t="shared" si="17"/>
        <v>1775786.9975426795</v>
      </c>
      <c r="LW24" s="36">
        <f t="shared" si="17"/>
        <v>1784543.8078402914</v>
      </c>
      <c r="LX24" s="36">
        <f t="shared" si="17"/>
        <v>1793333.5649310863</v>
      </c>
      <c r="LY24" s="36">
        <f t="shared" si="17"/>
        <v>1802156.4016684736</v>
      </c>
      <c r="LZ24" s="36">
        <f t="shared" si="17"/>
        <v>1811012.4514538874</v>
      </c>
      <c r="MA24" s="36">
        <f t="shared" si="17"/>
        <v>1819901.8482390633</v>
      </c>
      <c r="MB24" s="36">
        <f t="shared" si="17"/>
        <v>1828824.7265283237</v>
      </c>
      <c r="MC24" s="36">
        <f t="shared" si="17"/>
        <v>1837781.2213808745</v>
      </c>
      <c r="MD24" s="36">
        <f t="shared" si="17"/>
        <v>1846771.4684131092</v>
      </c>
      <c r="ME24" s="36">
        <f t="shared" si="17"/>
        <v>1855795.6038009236</v>
      </c>
      <c r="MF24" s="36">
        <f t="shared" si="17"/>
        <v>1864853.7642820403</v>
      </c>
      <c r="MG24" s="36">
        <f t="shared" si="17"/>
        <v>1873946.0871583428</v>
      </c>
      <c r="MH24" s="36">
        <f t="shared" si="17"/>
        <v>1883072.7102982197</v>
      </c>
      <c r="MI24" s="36">
        <f t="shared" si="17"/>
        <v>1892233.7721389167</v>
      </c>
      <c r="MJ24" s="36">
        <f t="shared" si="17"/>
        <v>1901429.4116889013</v>
      </c>
      <c r="MK24" s="36">
        <f t="shared" si="17"/>
        <v>1910659.7685302345</v>
      </c>
      <c r="ML24" s="36">
        <f t="shared" si="17"/>
        <v>1919924.9828209553</v>
      </c>
      <c r="MM24" s="36">
        <f t="shared" si="17"/>
        <v>1929225.1952974731</v>
      </c>
      <c r="MN24" s="36">
        <f t="shared" si="17"/>
        <v>1938560.5472769698</v>
      </c>
      <c r="MO24" s="36">
        <f t="shared" si="17"/>
        <v>1947931.1806598126</v>
      </c>
      <c r="MP24" s="36">
        <f t="shared" si="17"/>
        <v>1957337.2379319787</v>
      </c>
      <c r="MQ24" s="36">
        <f t="shared" si="17"/>
        <v>1966778.862167486</v>
      </c>
      <c r="MR24" s="36">
        <f t="shared" si="17"/>
        <v>1976256.1970308379</v>
      </c>
      <c r="MS24" s="36">
        <f t="shared" si="17"/>
        <v>1985769.3867794753</v>
      </c>
      <c r="MT24" s="36">
        <f t="shared" si="17"/>
        <v>1995318.5762662417</v>
      </c>
      <c r="MU24" s="36">
        <f t="shared" si="17"/>
        <v>2004903.9109418548</v>
      </c>
      <c r="MV24" s="36">
        <f t="shared" si="17"/>
        <v>2014525.5368573929</v>
      </c>
      <c r="MW24" s="36">
        <f t="shared" si="17"/>
        <v>2024183.6006667868</v>
      </c>
      <c r="MX24" s="56">
        <f t="shared" si="17"/>
        <v>2033878.2496293269</v>
      </c>
      <c r="MY24" s="1"/>
      <c r="MZ24" s="1"/>
      <c r="NA24" s="1"/>
      <c r="NB24" s="1"/>
      <c r="NC24" s="1"/>
      <c r="ND24" s="1"/>
      <c r="NE24" s="1"/>
      <c r="NF24" s="1"/>
      <c r="NG24" s="1"/>
      <c r="NH24" s="13">
        <v>0.115</v>
      </c>
      <c r="NI24" s="1">
        <f>Combine!A26</f>
        <v>48188</v>
      </c>
      <c r="NJ24" s="14">
        <f>Combine!F26</f>
        <v>400386.22997990402</v>
      </c>
    </row>
    <row r="25" spans="1:374" ht="12.75" customHeight="1" x14ac:dyDescent="0.3">
      <c r="A25" s="31" t="s">
        <v>866</v>
      </c>
      <c r="B25" s="32"/>
      <c r="C25" s="33">
        <f t="shared" ref="C25:BN25" si="18">B23*$B$7/12</f>
        <v>455.23604456352604</v>
      </c>
      <c r="D25" s="33">
        <f t="shared" si="18"/>
        <v>454.23397802415371</v>
      </c>
      <c r="E25" s="33">
        <f t="shared" si="18"/>
        <v>453.23065890160728</v>
      </c>
      <c r="F25" s="33">
        <f t="shared" si="18"/>
        <v>452.22608563015768</v>
      </c>
      <c r="G25" s="33">
        <f t="shared" si="18"/>
        <v>451.22025664211878</v>
      </c>
      <c r="H25" s="33">
        <f t="shared" si="18"/>
        <v>450.21317036784473</v>
      </c>
      <c r="I25" s="33">
        <f t="shared" si="18"/>
        <v>449.20482523572792</v>
      </c>
      <c r="J25" s="33">
        <f t="shared" si="18"/>
        <v>448.19521967219606</v>
      </c>
      <c r="K25" s="33">
        <f t="shared" si="18"/>
        <v>447.18435210170964</v>
      </c>
      <c r="L25" s="33">
        <f t="shared" si="18"/>
        <v>446.17222094676021</v>
      </c>
      <c r="M25" s="33">
        <f t="shared" si="18"/>
        <v>445.15882462786703</v>
      </c>
      <c r="N25" s="33">
        <f t="shared" si="18"/>
        <v>444.14416156357521</v>
      </c>
      <c r="O25" s="33">
        <f t="shared" si="18"/>
        <v>443.12823017045304</v>
      </c>
      <c r="P25" s="33">
        <f t="shared" si="18"/>
        <v>442.11102886308953</v>
      </c>
      <c r="Q25" s="33">
        <f t="shared" si="18"/>
        <v>441.09255605409174</v>
      </c>
      <c r="R25" s="33">
        <f t="shared" si="18"/>
        <v>440.07281015408279</v>
      </c>
      <c r="S25" s="33">
        <f t="shared" si="18"/>
        <v>439.05178957169875</v>
      </c>
      <c r="T25" s="33">
        <f t="shared" si="18"/>
        <v>438.02949271358671</v>
      </c>
      <c r="U25" s="33">
        <f t="shared" si="18"/>
        <v>437.00591798440206</v>
      </c>
      <c r="V25" s="33">
        <f t="shared" si="18"/>
        <v>435.98106378680592</v>
      </c>
      <c r="W25" s="33">
        <f t="shared" si="18"/>
        <v>434.95492852146282</v>
      </c>
      <c r="X25" s="33">
        <f t="shared" si="18"/>
        <v>433.92751058703806</v>
      </c>
      <c r="Y25" s="33">
        <f t="shared" si="18"/>
        <v>432.89880838019525</v>
      </c>
      <c r="Z25" s="33">
        <f t="shared" si="18"/>
        <v>431.86882029559388</v>
      </c>
      <c r="AA25" s="33">
        <f t="shared" si="18"/>
        <v>430.83754472588674</v>
      </c>
      <c r="AB25" s="33">
        <f t="shared" si="18"/>
        <v>429.80498006171752</v>
      </c>
      <c r="AC25" s="33">
        <f t="shared" si="18"/>
        <v>428.77112469171806</v>
      </c>
      <c r="AD25" s="33">
        <f t="shared" si="18"/>
        <v>427.7359770025061</v>
      </c>
      <c r="AE25" s="33">
        <f t="shared" si="18"/>
        <v>426.69953537868264</v>
      </c>
      <c r="AF25" s="33">
        <f t="shared" si="18"/>
        <v>425.6617982028294</v>
      </c>
      <c r="AG25" s="33">
        <f t="shared" si="18"/>
        <v>424.62276385550626</v>
      </c>
      <c r="AH25" s="33">
        <f t="shared" si="18"/>
        <v>423.58243071524907</v>
      </c>
      <c r="AI25" s="33">
        <f t="shared" si="18"/>
        <v>422.54079715856648</v>
      </c>
      <c r="AJ25" s="33">
        <f t="shared" si="18"/>
        <v>421.49786155993803</v>
      </c>
      <c r="AK25" s="33">
        <f t="shared" si="18"/>
        <v>420.45362229181137</v>
      </c>
      <c r="AL25" s="33">
        <f t="shared" si="18"/>
        <v>419.40807772459954</v>
      </c>
      <c r="AM25" s="33">
        <f t="shared" si="18"/>
        <v>418.36122622667864</v>
      </c>
      <c r="AN25" s="33">
        <f t="shared" si="18"/>
        <v>417.31306616438542</v>
      </c>
      <c r="AO25" s="33">
        <f t="shared" si="18"/>
        <v>416.26359590201429</v>
      </c>
      <c r="AP25" s="33">
        <f t="shared" si="18"/>
        <v>415.21281380181523</v>
      </c>
      <c r="AQ25" s="33">
        <f t="shared" si="18"/>
        <v>414.1607182239909</v>
      </c>
      <c r="AR25" s="33">
        <f t="shared" si="18"/>
        <v>413.10730752669429</v>
      </c>
      <c r="AS25" s="33">
        <f t="shared" si="18"/>
        <v>412.052580066026</v>
      </c>
      <c r="AT25" s="33">
        <f t="shared" si="18"/>
        <v>410.99653419603197</v>
      </c>
      <c r="AU25" s="33">
        <f t="shared" si="18"/>
        <v>409.93916826870048</v>
      </c>
      <c r="AV25" s="33">
        <f t="shared" si="18"/>
        <v>408.88048063395973</v>
      </c>
      <c r="AW25" s="33">
        <f t="shared" si="18"/>
        <v>407.82046963967559</v>
      </c>
      <c r="AX25" s="33">
        <f t="shared" si="18"/>
        <v>406.75913363164858</v>
      </c>
      <c r="AY25" s="33">
        <f t="shared" si="18"/>
        <v>405.69647095361148</v>
      </c>
      <c r="AZ25" s="33">
        <f t="shared" si="18"/>
        <v>404.63247994722684</v>
      </c>
      <c r="BA25" s="33">
        <f t="shared" si="18"/>
        <v>403.5671589520843</v>
      </c>
      <c r="BB25" s="33">
        <f t="shared" si="18"/>
        <v>402.5005063056978</v>
      </c>
      <c r="BC25" s="33">
        <f t="shared" si="18"/>
        <v>401.43252034350326</v>
      </c>
      <c r="BD25" s="33">
        <f t="shared" si="18"/>
        <v>400.36319939885601</v>
      </c>
      <c r="BE25" s="33">
        <f t="shared" si="18"/>
        <v>399.29254180302797</v>
      </c>
      <c r="BF25" s="33">
        <f t="shared" si="18"/>
        <v>398.22054588520513</v>
      </c>
      <c r="BG25" s="33">
        <f t="shared" si="18"/>
        <v>397.14720997248497</v>
      </c>
      <c r="BH25" s="33">
        <f t="shared" si="18"/>
        <v>396.07253238987391</v>
      </c>
      <c r="BI25" s="33">
        <f t="shared" si="18"/>
        <v>394.99651146028464</v>
      </c>
      <c r="BJ25" s="33">
        <f t="shared" si="18"/>
        <v>393.91914550453345</v>
      </c>
      <c r="BK25" s="33">
        <f t="shared" si="18"/>
        <v>392.84043284133742</v>
      </c>
      <c r="BL25" s="33">
        <f t="shared" si="18"/>
        <v>391.76037178731252</v>
      </c>
      <c r="BM25" s="33">
        <f t="shared" si="18"/>
        <v>390.67896065697005</v>
      </c>
      <c r="BN25" s="33">
        <f t="shared" si="18"/>
        <v>389.59619776271461</v>
      </c>
      <c r="BO25" s="33">
        <f t="shared" ref="BO25:DZ25" si="19">BN23*$B$7/12</f>
        <v>388.51208141484148</v>
      </c>
      <c r="BP25" s="33">
        <f t="shared" si="19"/>
        <v>387.42660992153338</v>
      </c>
      <c r="BQ25" s="33">
        <f t="shared" si="19"/>
        <v>386.33978158885867</v>
      </c>
      <c r="BR25" s="33">
        <f t="shared" si="19"/>
        <v>385.25159472076808</v>
      </c>
      <c r="BS25" s="33">
        <f t="shared" si="19"/>
        <v>384.16204761909245</v>
      </c>
      <c r="BT25" s="33">
        <f t="shared" si="19"/>
        <v>383.07113858353972</v>
      </c>
      <c r="BU25" s="33">
        <f t="shared" si="19"/>
        <v>381.97886591169254</v>
      </c>
      <c r="BV25" s="33">
        <f t="shared" si="19"/>
        <v>380.88522789900554</v>
      </c>
      <c r="BW25" s="33">
        <f t="shared" si="19"/>
        <v>379.79022283880266</v>
      </c>
      <c r="BX25" s="33">
        <f t="shared" si="19"/>
        <v>378.69384902227449</v>
      </c>
      <c r="BY25" s="33">
        <f t="shared" si="19"/>
        <v>377.59610473847579</v>
      </c>
      <c r="BZ25" s="33">
        <f t="shared" si="19"/>
        <v>376.49698827432218</v>
      </c>
      <c r="CA25" s="33">
        <f t="shared" si="19"/>
        <v>375.39649791458845</v>
      </c>
      <c r="CB25" s="33">
        <f t="shared" si="19"/>
        <v>374.29463194190504</v>
      </c>
      <c r="CC25" s="33">
        <f t="shared" si="19"/>
        <v>373.19138863675585</v>
      </c>
      <c r="CD25" s="33">
        <f t="shared" si="19"/>
        <v>372.08676627747514</v>
      </c>
      <c r="CE25" s="33">
        <f t="shared" si="19"/>
        <v>370.98076314024541</v>
      </c>
      <c r="CF25" s="33">
        <f t="shared" si="19"/>
        <v>369.87337749909403</v>
      </c>
      <c r="CG25" s="33">
        <f t="shared" si="19"/>
        <v>368.7646076258913</v>
      </c>
      <c r="CH25" s="33">
        <f t="shared" si="19"/>
        <v>367.65445179034697</v>
      </c>
      <c r="CI25" s="33">
        <f t="shared" si="19"/>
        <v>366.54290826000829</v>
      </c>
      <c r="CJ25" s="33">
        <f t="shared" si="19"/>
        <v>365.42997530025667</v>
      </c>
      <c r="CK25" s="33">
        <f t="shared" si="19"/>
        <v>364.3156511743054</v>
      </c>
      <c r="CL25" s="33">
        <f t="shared" si="19"/>
        <v>363.19993414319669</v>
      </c>
      <c r="CM25" s="33">
        <f t="shared" si="19"/>
        <v>362.08282246579898</v>
      </c>
      <c r="CN25" s="33">
        <f t="shared" si="19"/>
        <v>360.96431439880462</v>
      </c>
      <c r="CO25" s="33">
        <f t="shared" si="19"/>
        <v>359.84440819672653</v>
      </c>
      <c r="CP25" s="33">
        <f t="shared" si="19"/>
        <v>358.72310211189574</v>
      </c>
      <c r="CQ25" s="33">
        <f t="shared" si="19"/>
        <v>357.60039439445904</v>
      </c>
      <c r="CR25" s="33">
        <f t="shared" si="19"/>
        <v>356.47628329237551</v>
      </c>
      <c r="CS25" s="33">
        <f t="shared" si="19"/>
        <v>355.35076705141432</v>
      </c>
      <c r="CT25" s="33">
        <f t="shared" si="19"/>
        <v>354.22384391515203</v>
      </c>
      <c r="CU25" s="33">
        <f t="shared" si="19"/>
        <v>353.09551212496928</v>
      </c>
      <c r="CV25" s="33">
        <f t="shared" si="19"/>
        <v>351.9657699200489</v>
      </c>
      <c r="CW25" s="33">
        <f t="shared" si="19"/>
        <v>350.83461553737237</v>
      </c>
      <c r="CX25" s="33">
        <f t="shared" si="19"/>
        <v>349.7020472117174</v>
      </c>
      <c r="CY25" s="33">
        <f t="shared" si="19"/>
        <v>348.56806317565548</v>
      </c>
      <c r="CZ25" s="33">
        <f t="shared" si="19"/>
        <v>347.4326616595485</v>
      </c>
      <c r="DA25" s="33">
        <f t="shared" si="19"/>
        <v>346.29584089154622</v>
      </c>
      <c r="DB25" s="33">
        <f t="shared" si="19"/>
        <v>345.15759909758407</v>
      </c>
      <c r="DC25" s="33">
        <f t="shared" si="19"/>
        <v>344.01793450137944</v>
      </c>
      <c r="DD25" s="33">
        <f t="shared" si="19"/>
        <v>342.87684532442955</v>
      </c>
      <c r="DE25" s="33">
        <f t="shared" si="19"/>
        <v>341.73432978600857</v>
      </c>
      <c r="DF25" s="33">
        <f t="shared" si="19"/>
        <v>340.59038610316441</v>
      </c>
      <c r="DG25" s="33">
        <f t="shared" si="19"/>
        <v>339.44501249071675</v>
      </c>
      <c r="DH25" s="33">
        <f t="shared" si="19"/>
        <v>338.29820716125352</v>
      </c>
      <c r="DI25" s="33">
        <f t="shared" si="19"/>
        <v>337.1499683251285</v>
      </c>
      <c r="DJ25" s="33">
        <f t="shared" si="19"/>
        <v>336.00029419045831</v>
      </c>
      <c r="DK25" s="33">
        <f t="shared" si="19"/>
        <v>334.84918296311974</v>
      </c>
      <c r="DL25" s="33">
        <f t="shared" si="19"/>
        <v>333.69663284674704</v>
      </c>
      <c r="DM25" s="33">
        <f t="shared" si="19"/>
        <v>332.5426420427288</v>
      </c>
      <c r="DN25" s="33">
        <f t="shared" si="19"/>
        <v>331.38720875020562</v>
      </c>
      <c r="DO25" s="33">
        <f t="shared" si="19"/>
        <v>330.23033116606672</v>
      </c>
      <c r="DP25" s="33">
        <f t="shared" si="19"/>
        <v>329.07200748494773</v>
      </c>
      <c r="DQ25" s="33">
        <f t="shared" si="19"/>
        <v>327.91223589922731</v>
      </c>
      <c r="DR25" s="33">
        <f t="shared" si="19"/>
        <v>326.7510145990247</v>
      </c>
      <c r="DS25" s="33">
        <f t="shared" si="19"/>
        <v>325.58834177219688</v>
      </c>
      <c r="DT25" s="33">
        <f t="shared" si="19"/>
        <v>324.42421560433553</v>
      </c>
      <c r="DU25" s="33">
        <f t="shared" si="19"/>
        <v>323.2586342787643</v>
      </c>
      <c r="DV25" s="33">
        <f t="shared" si="19"/>
        <v>322.09159597653615</v>
      </c>
      <c r="DW25" s="33">
        <f t="shared" si="19"/>
        <v>320.92309887643017</v>
      </c>
      <c r="DX25" s="33">
        <f t="shared" si="19"/>
        <v>319.75314115494911</v>
      </c>
      <c r="DY25" s="33">
        <f t="shared" si="19"/>
        <v>318.58172098631616</v>
      </c>
      <c r="DZ25" s="33">
        <f t="shared" si="19"/>
        <v>317.40883654247244</v>
      </c>
      <c r="EA25" s="33">
        <f t="shared" ref="EA25:GL25" si="20">DZ23*$B$7/12</f>
        <v>316.23448599307392</v>
      </c>
      <c r="EB25" s="33">
        <f t="shared" si="20"/>
        <v>315.05866750548864</v>
      </c>
      <c r="EC25" s="33">
        <f t="shared" si="20"/>
        <v>313.88137924479389</v>
      </c>
      <c r="ED25" s="33">
        <f t="shared" si="20"/>
        <v>312.70261937377325</v>
      </c>
      <c r="EE25" s="33">
        <f t="shared" si="20"/>
        <v>311.52238605291387</v>
      </c>
      <c r="EF25" s="33">
        <f t="shared" si="20"/>
        <v>310.34067744040334</v>
      </c>
      <c r="EG25" s="33">
        <f t="shared" si="20"/>
        <v>309.15749169212728</v>
      </c>
      <c r="EH25" s="33">
        <f t="shared" si="20"/>
        <v>307.97282696166582</v>
      </c>
      <c r="EI25" s="33">
        <f t="shared" si="20"/>
        <v>306.78668140029123</v>
      </c>
      <c r="EJ25" s="33">
        <f t="shared" si="20"/>
        <v>305.599053156965</v>
      </c>
      <c r="EK25" s="33">
        <f t="shared" si="20"/>
        <v>304.40994037833462</v>
      </c>
      <c r="EL25" s="33">
        <f t="shared" si="20"/>
        <v>303.2193412087309</v>
      </c>
      <c r="EM25" s="33">
        <f t="shared" si="20"/>
        <v>302.02725379016516</v>
      </c>
      <c r="EN25" s="33">
        <f t="shared" si="20"/>
        <v>300.83367626232626</v>
      </c>
      <c r="EO25" s="33">
        <f t="shared" si="20"/>
        <v>299.63860676257758</v>
      </c>
      <c r="EP25" s="33">
        <f t="shared" si="20"/>
        <v>298.44204342595418</v>
      </c>
      <c r="EQ25" s="33">
        <f t="shared" si="20"/>
        <v>297.24398438515999</v>
      </c>
      <c r="ER25" s="33">
        <f t="shared" si="20"/>
        <v>296.04442777056482</v>
      </c>
      <c r="ES25" s="33">
        <f t="shared" si="20"/>
        <v>294.84337171020144</v>
      </c>
      <c r="ET25" s="33">
        <f t="shared" si="20"/>
        <v>293.64081432976258</v>
      </c>
      <c r="EU25" s="33">
        <f t="shared" si="20"/>
        <v>292.43675375259812</v>
      </c>
      <c r="EV25" s="33">
        <f t="shared" si="20"/>
        <v>291.23118809971231</v>
      </c>
      <c r="EW25" s="33">
        <f t="shared" si="20"/>
        <v>290.02411548976033</v>
      </c>
      <c r="EX25" s="33">
        <f t="shared" si="20"/>
        <v>288.81553403904593</v>
      </c>
      <c r="EY25" s="33">
        <f t="shared" si="20"/>
        <v>287.6054418615181</v>
      </c>
      <c r="EZ25" s="33">
        <f t="shared" si="20"/>
        <v>286.39383706876839</v>
      </c>
      <c r="FA25" s="33">
        <f t="shared" si="20"/>
        <v>285.18071777002774</v>
      </c>
      <c r="FB25" s="33">
        <f t="shared" si="20"/>
        <v>283.96608207216372</v>
      </c>
      <c r="FC25" s="33">
        <f t="shared" si="20"/>
        <v>282.74992807967732</v>
      </c>
      <c r="FD25" s="33">
        <f t="shared" si="20"/>
        <v>281.53225389470032</v>
      </c>
      <c r="FE25" s="33">
        <f t="shared" si="20"/>
        <v>280.31305761699201</v>
      </c>
      <c r="FF25" s="33">
        <f t="shared" si="20"/>
        <v>279.09233734393666</v>
      </c>
      <c r="FG25" s="33">
        <f t="shared" si="20"/>
        <v>277.87009117053998</v>
      </c>
      <c r="FH25" s="33">
        <f t="shared" si="20"/>
        <v>276.6463171894265</v>
      </c>
      <c r="FI25" s="33">
        <f t="shared" si="20"/>
        <v>275.42101349083663</v>
      </c>
      <c r="FJ25" s="33">
        <f t="shared" si="20"/>
        <v>274.19417816262359</v>
      </c>
      <c r="FK25" s="33">
        <f t="shared" si="20"/>
        <v>272.96580929025026</v>
      </c>
      <c r="FL25" s="33">
        <f t="shared" si="20"/>
        <v>271.73590495678644</v>
      </c>
      <c r="FM25" s="33">
        <f t="shared" si="20"/>
        <v>270.50446324290584</v>
      </c>
      <c r="FN25" s="33">
        <f t="shared" si="20"/>
        <v>269.27148222688282</v>
      </c>
      <c r="FO25" s="33">
        <f t="shared" si="20"/>
        <v>268.03695998458983</v>
      </c>
      <c r="FP25" s="33">
        <f t="shared" si="20"/>
        <v>266.80089458949396</v>
      </c>
      <c r="FQ25" s="33">
        <f t="shared" si="20"/>
        <v>265.56328411265423</v>
      </c>
      <c r="FR25" s="33">
        <f t="shared" si="20"/>
        <v>264.32412662271844</v>
      </c>
      <c r="FS25" s="33">
        <f t="shared" si="20"/>
        <v>263.0834201859202</v>
      </c>
      <c r="FT25" s="33">
        <f t="shared" si="20"/>
        <v>261.84116286607599</v>
      </c>
      <c r="FU25" s="33">
        <f t="shared" si="20"/>
        <v>260.59735272458198</v>
      </c>
      <c r="FV25" s="33">
        <f t="shared" si="20"/>
        <v>259.35198782041107</v>
      </c>
      <c r="FW25" s="33">
        <f t="shared" si="20"/>
        <v>258.10506621010995</v>
      </c>
      <c r="FX25" s="33">
        <f t="shared" si="20"/>
        <v>256.85658594779602</v>
      </c>
      <c r="FY25" s="33">
        <f t="shared" si="20"/>
        <v>255.60654508515412</v>
      </c>
      <c r="FZ25" s="33">
        <f t="shared" si="20"/>
        <v>254.35494167143395</v>
      </c>
      <c r="GA25" s="33">
        <f t="shared" si="20"/>
        <v>253.10177375344662</v>
      </c>
      <c r="GB25" s="33">
        <f t="shared" si="20"/>
        <v>251.84703937556176</v>
      </c>
      <c r="GC25" s="33">
        <f t="shared" si="20"/>
        <v>250.59073657970464</v>
      </c>
      <c r="GD25" s="33">
        <f t="shared" si="20"/>
        <v>249.33286340535264</v>
      </c>
      <c r="GE25" s="33">
        <f t="shared" si="20"/>
        <v>248.07341788953272</v>
      </c>
      <c r="GF25" s="33">
        <f t="shared" si="20"/>
        <v>246.81239806681802</v>
      </c>
      <c r="GG25" s="33">
        <f t="shared" si="20"/>
        <v>245.54980196932493</v>
      </c>
      <c r="GH25" s="33">
        <f t="shared" si="20"/>
        <v>244.28562762670995</v>
      </c>
      <c r="GI25" s="33">
        <f t="shared" si="20"/>
        <v>243.01987306616672</v>
      </c>
      <c r="GJ25" s="33">
        <f t="shared" si="20"/>
        <v>241.75253631242279</v>
      </c>
      <c r="GK25" s="33">
        <f t="shared" si="20"/>
        <v>240.48361538773671</v>
      </c>
      <c r="GL25" s="33">
        <f t="shared" si="20"/>
        <v>239.21310831189476</v>
      </c>
      <c r="GM25" s="33">
        <f t="shared" ref="GM25:IX25" si="21">GL23*$B$7/12</f>
        <v>237.94101310220799</v>
      </c>
      <c r="GN25" s="33">
        <f t="shared" si="21"/>
        <v>236.66732777350919</v>
      </c>
      <c r="GO25" s="33">
        <f t="shared" si="21"/>
        <v>235.3920503381494</v>
      </c>
      <c r="GP25" s="33">
        <f t="shared" si="21"/>
        <v>234.11517880599547</v>
      </c>
      <c r="GQ25" s="33">
        <f t="shared" si="21"/>
        <v>232.83671118442638</v>
      </c>
      <c r="GR25" s="33">
        <f t="shared" si="21"/>
        <v>231.5566454783303</v>
      </c>
      <c r="GS25" s="33">
        <f t="shared" si="21"/>
        <v>230.27497969010156</v>
      </c>
      <c r="GT25" s="33">
        <f t="shared" si="21"/>
        <v>228.99171181963754</v>
      </c>
      <c r="GU25" s="33">
        <f t="shared" si="21"/>
        <v>227.70683986433548</v>
      </c>
      <c r="GV25" s="33">
        <f t="shared" si="21"/>
        <v>226.42036181908929</v>
      </c>
      <c r="GW25" s="33">
        <f t="shared" si="21"/>
        <v>225.13227567628655</v>
      </c>
      <c r="GX25" s="33">
        <f t="shared" si="21"/>
        <v>223.8425794258053</v>
      </c>
      <c r="GY25" s="33">
        <f t="shared" si="21"/>
        <v>222.55127105501094</v>
      </c>
      <c r="GZ25" s="33">
        <f t="shared" si="21"/>
        <v>221.2583485487531</v>
      </c>
      <c r="HA25" s="33">
        <f t="shared" si="21"/>
        <v>219.96380988936241</v>
      </c>
      <c r="HB25" s="33">
        <f t="shared" si="21"/>
        <v>218.66765305664751</v>
      </c>
      <c r="HC25" s="33">
        <f t="shared" si="21"/>
        <v>217.36987602789168</v>
      </c>
      <c r="HD25" s="33">
        <f t="shared" si="21"/>
        <v>216.07047677784996</v>
      </c>
      <c r="HE25" s="33">
        <f t="shared" si="21"/>
        <v>214.76945327874566</v>
      </c>
      <c r="HF25" s="33">
        <f t="shared" si="21"/>
        <v>213.46680350026745</v>
      </c>
      <c r="HG25" s="33">
        <f t="shared" si="21"/>
        <v>212.16252540956614</v>
      </c>
      <c r="HH25" s="33">
        <f t="shared" si="21"/>
        <v>210.8566169712515</v>
      </c>
      <c r="HI25" s="33">
        <f t="shared" si="21"/>
        <v>209.54907614738894</v>
      </c>
      <c r="HJ25" s="33">
        <f t="shared" si="21"/>
        <v>208.23990089749654</v>
      </c>
      <c r="HK25" s="33">
        <f t="shared" si="21"/>
        <v>206.92908917854177</v>
      </c>
      <c r="HL25" s="33">
        <f t="shared" si="21"/>
        <v>205.61663894493836</v>
      </c>
      <c r="HM25" s="33">
        <f t="shared" si="21"/>
        <v>204.30254814854291</v>
      </c>
      <c r="HN25" s="33">
        <f t="shared" si="21"/>
        <v>202.98681473865199</v>
      </c>
      <c r="HO25" s="33">
        <f t="shared" si="21"/>
        <v>201.6694366619987</v>
      </c>
      <c r="HP25" s="33">
        <f t="shared" si="21"/>
        <v>200.35041186274955</v>
      </c>
      <c r="HQ25" s="33">
        <f t="shared" si="21"/>
        <v>199.02973828250137</v>
      </c>
      <c r="HR25" s="33">
        <f t="shared" si="21"/>
        <v>197.70741386027785</v>
      </c>
      <c r="HS25" s="33">
        <f t="shared" si="21"/>
        <v>196.38343653252662</v>
      </c>
      <c r="HT25" s="33">
        <f t="shared" si="21"/>
        <v>195.0578042331156</v>
      </c>
      <c r="HU25" s="33">
        <f t="shared" si="21"/>
        <v>193.73051489333037</v>
      </c>
      <c r="HV25" s="33">
        <f t="shared" si="21"/>
        <v>192.40156644187047</v>
      </c>
      <c r="HW25" s="33">
        <f t="shared" si="21"/>
        <v>191.07095680484619</v>
      </c>
      <c r="HX25" s="33">
        <f t="shared" si="21"/>
        <v>189.73868390577562</v>
      </c>
      <c r="HY25" s="33">
        <f t="shared" si="21"/>
        <v>188.4047456655812</v>
      </c>
      <c r="HZ25" s="33">
        <f t="shared" si="21"/>
        <v>187.06914000258655</v>
      </c>
      <c r="IA25" s="33">
        <f t="shared" si="21"/>
        <v>185.7318648325132</v>
      </c>
      <c r="IB25" s="33">
        <f t="shared" si="21"/>
        <v>184.39291806847723</v>
      </c>
      <c r="IC25" s="33">
        <f t="shared" si="21"/>
        <v>183.0522976209862</v>
      </c>
      <c r="ID25" s="33">
        <f t="shared" si="21"/>
        <v>181.7100013979358</v>
      </c>
      <c r="IE25" s="33">
        <f t="shared" si="21"/>
        <v>180.3660273046066</v>
      </c>
      <c r="IF25" s="33">
        <f t="shared" si="21"/>
        <v>179.02037324366074</v>
      </c>
      <c r="IG25" s="33">
        <f t="shared" si="21"/>
        <v>177.67303711513873</v>
      </c>
      <c r="IH25" s="33">
        <f t="shared" si="21"/>
        <v>176.32401681645601</v>
      </c>
      <c r="II25" s="33">
        <f t="shared" si="21"/>
        <v>174.97331024239998</v>
      </c>
      <c r="IJ25" s="33">
        <f t="shared" si="21"/>
        <v>173.62091528512636</v>
      </c>
      <c r="IK25" s="33">
        <f t="shared" si="21"/>
        <v>172.26682983415617</v>
      </c>
      <c r="IL25" s="33">
        <f t="shared" si="21"/>
        <v>170.91105177637223</v>
      </c>
      <c r="IM25" s="33">
        <f t="shared" si="21"/>
        <v>169.55357899601606</v>
      </c>
      <c r="IN25" s="33">
        <f t="shared" si="21"/>
        <v>168.19440937468445</v>
      </c>
      <c r="IO25" s="33">
        <f t="shared" si="21"/>
        <v>166.83354079132619</v>
      </c>
      <c r="IP25" s="33">
        <f t="shared" si="21"/>
        <v>165.47097112223872</v>
      </c>
      <c r="IQ25" s="33">
        <f t="shared" si="21"/>
        <v>164.10669824106489</v>
      </c>
      <c r="IR25" s="33">
        <f t="shared" si="21"/>
        <v>162.74072001878963</v>
      </c>
      <c r="IS25" s="33">
        <f t="shared" si="21"/>
        <v>161.3730343237365</v>
      </c>
      <c r="IT25" s="33">
        <f t="shared" si="21"/>
        <v>160.00363902156457</v>
      </c>
      <c r="IU25" s="33">
        <f t="shared" si="21"/>
        <v>158.6325319752649</v>
      </c>
      <c r="IV25" s="33">
        <f t="shared" si="21"/>
        <v>157.25971104515736</v>
      </c>
      <c r="IW25" s="33">
        <f t="shared" si="21"/>
        <v>155.8851740888872</v>
      </c>
      <c r="IX25" s="33">
        <f t="shared" si="21"/>
        <v>154.5089189614217</v>
      </c>
      <c r="IY25" s="33">
        <f t="shared" ref="IY25:LJ25" si="22">IX23*$B$7/12</f>
        <v>153.13094351504685</v>
      </c>
      <c r="IZ25" s="33">
        <f t="shared" si="22"/>
        <v>151.75124559936404</v>
      </c>
      <c r="JA25" s="33">
        <f t="shared" si="22"/>
        <v>150.36982306128664</v>
      </c>
      <c r="JB25" s="33">
        <f t="shared" si="22"/>
        <v>148.98667374503665</v>
      </c>
      <c r="JC25" s="33">
        <f t="shared" si="22"/>
        <v>147.60179549214132</v>
      </c>
      <c r="JD25" s="33">
        <f t="shared" si="22"/>
        <v>146.21518614142988</v>
      </c>
      <c r="JE25" s="33">
        <f t="shared" si="22"/>
        <v>144.82684352903004</v>
      </c>
      <c r="JF25" s="33">
        <f t="shared" si="22"/>
        <v>143.43676548836473</v>
      </c>
      <c r="JG25" s="33">
        <f t="shared" si="22"/>
        <v>142.04494985014856</v>
      </c>
      <c r="JH25" s="33">
        <f t="shared" si="22"/>
        <v>140.65139444238466</v>
      </c>
      <c r="JI25" s="33">
        <f t="shared" si="22"/>
        <v>139.25609709036101</v>
      </c>
      <c r="JJ25" s="33">
        <f t="shared" si="22"/>
        <v>137.85905561664734</v>
      </c>
      <c r="JK25" s="33">
        <f t="shared" si="22"/>
        <v>136.46026784109151</v>
      </c>
      <c r="JL25" s="33">
        <f t="shared" si="22"/>
        <v>135.05973158081625</v>
      </c>
      <c r="JM25" s="33">
        <f t="shared" si="22"/>
        <v>133.65744465021564</v>
      </c>
      <c r="JN25" s="33">
        <f t="shared" si="22"/>
        <v>132.2534048609518</v>
      </c>
      <c r="JO25" s="33">
        <f t="shared" si="22"/>
        <v>130.8476100219514</v>
      </c>
      <c r="JP25" s="33">
        <f t="shared" si="22"/>
        <v>129.44005793940221</v>
      </c>
      <c r="JQ25" s="33">
        <f t="shared" si="22"/>
        <v>128.03074641674985</v>
      </c>
      <c r="JR25" s="33">
        <f t="shared" si="22"/>
        <v>126.61967325469418</v>
      </c>
      <c r="JS25" s="33">
        <f t="shared" si="22"/>
        <v>125.20683625118592</v>
      </c>
      <c r="JT25" s="33">
        <f t="shared" si="22"/>
        <v>123.7922332014233</v>
      </c>
      <c r="JU25" s="33">
        <f t="shared" si="22"/>
        <v>122.37586189784845</v>
      </c>
      <c r="JV25" s="33">
        <f t="shared" si="22"/>
        <v>120.95772013014414</v>
      </c>
      <c r="JW25" s="33">
        <f t="shared" si="22"/>
        <v>119.5378056852302</v>
      </c>
      <c r="JX25" s="33">
        <f t="shared" si="22"/>
        <v>118.11611634726013</v>
      </c>
      <c r="JY25" s="33">
        <f t="shared" si="22"/>
        <v>116.69264989761758</v>
      </c>
      <c r="JZ25" s="33">
        <f t="shared" si="22"/>
        <v>115.26740411491301</v>
      </c>
      <c r="KA25" s="33">
        <f t="shared" si="22"/>
        <v>113.84037677498003</v>
      </c>
      <c r="KB25" s="33">
        <f t="shared" si="22"/>
        <v>112.41156565087215</v>
      </c>
      <c r="KC25" s="33">
        <f t="shared" si="22"/>
        <v>110.98096851285909</v>
      </c>
      <c r="KD25" s="33">
        <f t="shared" si="22"/>
        <v>109.54858312842356</v>
      </c>
      <c r="KE25" s="33">
        <f t="shared" si="22"/>
        <v>108.11440726225749</v>
      </c>
      <c r="KF25" s="33">
        <f t="shared" si="22"/>
        <v>106.67843867625868</v>
      </c>
      <c r="KG25" s="33">
        <f t="shared" si="22"/>
        <v>105.24067512952739</v>
      </c>
      <c r="KH25" s="33">
        <f t="shared" si="22"/>
        <v>103.80111437836268</v>
      </c>
      <c r="KI25" s="33">
        <f t="shared" si="22"/>
        <v>102.35975417625902</v>
      </c>
      <c r="KJ25" s="33">
        <f t="shared" si="22"/>
        <v>100.91659227390272</v>
      </c>
      <c r="KK25" s="33">
        <f t="shared" si="22"/>
        <v>99.471626419168501</v>
      </c>
      <c r="KL25" s="33">
        <f t="shared" si="22"/>
        <v>98.024854357115828</v>
      </c>
      <c r="KM25" s="33">
        <f t="shared" si="22"/>
        <v>96.57627382998561</v>
      </c>
      <c r="KN25" s="33">
        <f t="shared" si="22"/>
        <v>95.125882577196478</v>
      </c>
      <c r="KO25" s="33">
        <f t="shared" si="22"/>
        <v>93.673678335341364</v>
      </c>
      <c r="KP25" s="33">
        <f t="shared" si="22"/>
        <v>92.219658838183918</v>
      </c>
      <c r="KQ25" s="33">
        <f t="shared" si="22"/>
        <v>90.76382181665501</v>
      </c>
      <c r="KR25" s="33">
        <f t="shared" si="22"/>
        <v>89.306164998849212</v>
      </c>
      <c r="KS25" s="33">
        <f t="shared" si="22"/>
        <v>87.846686110021153</v>
      </c>
      <c r="KT25" s="33">
        <f t="shared" si="22"/>
        <v>86.385382872582056</v>
      </c>
      <c r="KU25" s="33">
        <f t="shared" si="22"/>
        <v>84.92225300609617</v>
      </c>
      <c r="KV25" s="33">
        <f t="shared" si="22"/>
        <v>83.457294227277174</v>
      </c>
      <c r="KW25" s="33">
        <f t="shared" si="22"/>
        <v>81.990504249984653</v>
      </c>
      <c r="KX25" s="33">
        <f t="shared" si="22"/>
        <v>80.521880785220517</v>
      </c>
      <c r="KY25" s="33">
        <f t="shared" si="22"/>
        <v>79.051421541125436</v>
      </c>
      <c r="KZ25" s="33">
        <f t="shared" si="22"/>
        <v>77.579124222975224</v>
      </c>
      <c r="LA25" s="33">
        <f t="shared" si="22"/>
        <v>76.104986533177325</v>
      </c>
      <c r="LB25" s="33">
        <f t="shared" si="22"/>
        <v>74.629006171267179</v>
      </c>
      <c r="LC25" s="33">
        <f t="shared" si="22"/>
        <v>73.151180833904647</v>
      </c>
      <c r="LD25" s="33">
        <f t="shared" si="22"/>
        <v>71.6715082148704</v>
      </c>
      <c r="LE25" s="33">
        <f t="shared" si="22"/>
        <v>70.18998600506238</v>
      </c>
      <c r="LF25" s="33">
        <f t="shared" si="22"/>
        <v>68.706611892492091</v>
      </c>
      <c r="LG25" s="33">
        <f t="shared" si="22"/>
        <v>67.22138356228109</v>
      </c>
      <c r="LH25" s="33">
        <f t="shared" si="22"/>
        <v>65.734298696657319</v>
      </c>
      <c r="LI25" s="33">
        <f t="shared" si="22"/>
        <v>64.245354974951525</v>
      </c>
      <c r="LJ25" s="33">
        <f t="shared" si="22"/>
        <v>62.754550073593606</v>
      </c>
      <c r="LK25" s="33">
        <f t="shared" ref="LK25:MX25" si="23">LJ23*$B$7/12</f>
        <v>61.261881666108984</v>
      </c>
      <c r="LL25" s="33">
        <f t="shared" si="23"/>
        <v>59.767347423115005</v>
      </c>
      <c r="LM25" s="33">
        <f t="shared" si="23"/>
        <v>58.270945012317277</v>
      </c>
      <c r="LN25" s="33">
        <f t="shared" si="23"/>
        <v>56.772672098506057</v>
      </c>
      <c r="LO25" s="33">
        <f t="shared" si="23"/>
        <v>55.272526343552563</v>
      </c>
      <c r="LP25" s="33">
        <f t="shared" si="23"/>
        <v>53.770505406405391</v>
      </c>
      <c r="LQ25" s="33">
        <f t="shared" si="23"/>
        <v>52.266606943086778</v>
      </c>
      <c r="LR25" s="33">
        <f t="shared" si="23"/>
        <v>50.760828606689017</v>
      </c>
      <c r="LS25" s="33">
        <f t="shared" si="23"/>
        <v>49.253168047370764</v>
      </c>
      <c r="LT25" s="33">
        <f t="shared" si="23"/>
        <v>47.743622912353352</v>
      </c>
      <c r="LU25" s="33">
        <f t="shared" si="23"/>
        <v>46.232190845917181</v>
      </c>
      <c r="LV25" s="33">
        <f t="shared" si="23"/>
        <v>44.718869489397967</v>
      </c>
      <c r="LW25" s="33">
        <f t="shared" si="23"/>
        <v>43.203656481183096</v>
      </c>
      <c r="LX25" s="33">
        <f t="shared" si="23"/>
        <v>41.686549456707958</v>
      </c>
      <c r="LY25" s="33">
        <f t="shared" si="23"/>
        <v>40.16754604845223</v>
      </c>
      <c r="LZ25" s="33">
        <f t="shared" si="23"/>
        <v>38.646643885936179</v>
      </c>
      <c r="MA25" s="33">
        <f t="shared" si="23"/>
        <v>37.123840595716977</v>
      </c>
      <c r="MB25" s="33">
        <f t="shared" si="23"/>
        <v>35.599133801385001</v>
      </c>
      <c r="MC25" s="33">
        <f t="shared" si="23"/>
        <v>34.072521123560115</v>
      </c>
      <c r="MD25" s="33">
        <f t="shared" si="23"/>
        <v>32.544000179887952</v>
      </c>
      <c r="ME25" s="33">
        <f t="shared" si="23"/>
        <v>31.013568585036197</v>
      </c>
      <c r="MF25" s="33">
        <f t="shared" si="23"/>
        <v>29.481223950690872</v>
      </c>
      <c r="MG25" s="33">
        <f t="shared" si="23"/>
        <v>27.946963885552616</v>
      </c>
      <c r="MH25" s="33">
        <f t="shared" si="23"/>
        <v>26.41078599533294</v>
      </c>
      <c r="MI25" s="33">
        <f t="shared" si="23"/>
        <v>24.872687882750487</v>
      </c>
      <c r="MJ25" s="33">
        <f t="shared" si="23"/>
        <v>23.332667147527307</v>
      </c>
      <c r="MK25" s="33">
        <f t="shared" si="23"/>
        <v>21.790721386385098</v>
      </c>
      <c r="ML25" s="33">
        <f t="shared" si="23"/>
        <v>20.246848193041462</v>
      </c>
      <c r="MM25" s="33">
        <f t="shared" si="23"/>
        <v>18.701045158206146</v>
      </c>
      <c r="MN25" s="33">
        <f t="shared" si="23"/>
        <v>17.153309869577289</v>
      </c>
      <c r="MO25" s="33">
        <f t="shared" si="23"/>
        <v>15.603639911837641</v>
      </c>
      <c r="MP25" s="33">
        <f t="shared" si="23"/>
        <v>14.052032866650821</v>
      </c>
      <c r="MQ25" s="33">
        <f t="shared" si="23"/>
        <v>12.498486312657519</v>
      </c>
      <c r="MR25" s="33">
        <f t="shared" si="23"/>
        <v>10.942997825471723</v>
      </c>
      <c r="MS25" s="33">
        <f t="shared" si="23"/>
        <v>9.3855649776769443</v>
      </c>
      <c r="MT25" s="33">
        <f t="shared" si="23"/>
        <v>7.8261853388224241</v>
      </c>
      <c r="MU25" s="33">
        <f t="shared" si="23"/>
        <v>6.264856475419335</v>
      </c>
      <c r="MV25" s="33">
        <f t="shared" si="23"/>
        <v>4.7015759509369923</v>
      </c>
      <c r="MW25" s="33">
        <f t="shared" si="23"/>
        <v>3.1363413257990462</v>
      </c>
      <c r="MX25" s="55">
        <f t="shared" si="23"/>
        <v>1.5691501573796778</v>
      </c>
      <c r="MY25" s="1"/>
      <c r="MZ25" s="1"/>
      <c r="NA25" s="1"/>
      <c r="NB25" s="1"/>
      <c r="NC25" s="1"/>
      <c r="ND25" s="1"/>
      <c r="NE25" s="1"/>
      <c r="NF25" s="1"/>
      <c r="NG25" s="1"/>
      <c r="NH25" s="13">
        <v>0.12</v>
      </c>
      <c r="NI25" s="1">
        <f>Combine!A27</f>
        <v>48183</v>
      </c>
      <c r="NJ25" s="14">
        <f>Combine!F27</f>
        <v>227304.19453739701</v>
      </c>
    </row>
    <row r="26" spans="1:374" ht="12.75" customHeight="1" x14ac:dyDescent="0.3">
      <c r="A26" s="31" t="s">
        <v>867</v>
      </c>
      <c r="B26" s="32"/>
      <c r="C26" s="33">
        <f t="shared" ref="C26:BN26" si="24">$B$15</f>
        <v>1256.8892760612939</v>
      </c>
      <c r="D26" s="33">
        <f t="shared" si="24"/>
        <v>1256.8892760612939</v>
      </c>
      <c r="E26" s="33">
        <f t="shared" si="24"/>
        <v>1256.8892760612939</v>
      </c>
      <c r="F26" s="33">
        <f t="shared" si="24"/>
        <v>1256.8892760612939</v>
      </c>
      <c r="G26" s="33">
        <f t="shared" si="24"/>
        <v>1256.8892760612939</v>
      </c>
      <c r="H26" s="33">
        <f t="shared" si="24"/>
        <v>1256.8892760612939</v>
      </c>
      <c r="I26" s="33">
        <f t="shared" si="24"/>
        <v>1256.8892760612939</v>
      </c>
      <c r="J26" s="33">
        <f t="shared" si="24"/>
        <v>1256.8892760612939</v>
      </c>
      <c r="K26" s="33">
        <f t="shared" si="24"/>
        <v>1256.8892760612939</v>
      </c>
      <c r="L26" s="33">
        <f t="shared" si="24"/>
        <v>1256.8892760612939</v>
      </c>
      <c r="M26" s="33">
        <f t="shared" si="24"/>
        <v>1256.8892760612939</v>
      </c>
      <c r="N26" s="33">
        <f t="shared" si="24"/>
        <v>1256.8892760612939</v>
      </c>
      <c r="O26" s="33">
        <f t="shared" si="24"/>
        <v>1256.8892760612939</v>
      </c>
      <c r="P26" s="33">
        <f t="shared" si="24"/>
        <v>1256.8892760612939</v>
      </c>
      <c r="Q26" s="33">
        <f t="shared" si="24"/>
        <v>1256.8892760612939</v>
      </c>
      <c r="R26" s="33">
        <f t="shared" si="24"/>
        <v>1256.8892760612939</v>
      </c>
      <c r="S26" s="33">
        <f t="shared" si="24"/>
        <v>1256.8892760612939</v>
      </c>
      <c r="T26" s="33">
        <f t="shared" si="24"/>
        <v>1256.8892760612939</v>
      </c>
      <c r="U26" s="33">
        <f t="shared" si="24"/>
        <v>1256.8892760612939</v>
      </c>
      <c r="V26" s="33">
        <f t="shared" si="24"/>
        <v>1256.8892760612939</v>
      </c>
      <c r="W26" s="33">
        <f t="shared" si="24"/>
        <v>1256.8892760612939</v>
      </c>
      <c r="X26" s="33">
        <f t="shared" si="24"/>
        <v>1256.8892760612939</v>
      </c>
      <c r="Y26" s="33">
        <f t="shared" si="24"/>
        <v>1256.8892760612939</v>
      </c>
      <c r="Z26" s="33">
        <f t="shared" si="24"/>
        <v>1256.8892760612939</v>
      </c>
      <c r="AA26" s="33">
        <f t="shared" si="24"/>
        <v>1256.8892760612939</v>
      </c>
      <c r="AB26" s="33">
        <f t="shared" si="24"/>
        <v>1256.8892760612939</v>
      </c>
      <c r="AC26" s="33">
        <f t="shared" si="24"/>
        <v>1256.8892760612939</v>
      </c>
      <c r="AD26" s="33">
        <f t="shared" si="24"/>
        <v>1256.8892760612939</v>
      </c>
      <c r="AE26" s="33">
        <f t="shared" si="24"/>
        <v>1256.8892760612939</v>
      </c>
      <c r="AF26" s="33">
        <f t="shared" si="24"/>
        <v>1256.8892760612939</v>
      </c>
      <c r="AG26" s="33">
        <f t="shared" si="24"/>
        <v>1256.8892760612939</v>
      </c>
      <c r="AH26" s="33">
        <f t="shared" si="24"/>
        <v>1256.8892760612939</v>
      </c>
      <c r="AI26" s="33">
        <f t="shared" si="24"/>
        <v>1256.8892760612939</v>
      </c>
      <c r="AJ26" s="33">
        <f t="shared" si="24"/>
        <v>1256.8892760612939</v>
      </c>
      <c r="AK26" s="33">
        <f t="shared" si="24"/>
        <v>1256.8892760612939</v>
      </c>
      <c r="AL26" s="33">
        <f t="shared" si="24"/>
        <v>1256.8892760612939</v>
      </c>
      <c r="AM26" s="33">
        <f t="shared" si="24"/>
        <v>1256.8892760612939</v>
      </c>
      <c r="AN26" s="33">
        <f t="shared" si="24"/>
        <v>1256.8892760612939</v>
      </c>
      <c r="AO26" s="33">
        <f t="shared" si="24"/>
        <v>1256.8892760612939</v>
      </c>
      <c r="AP26" s="33">
        <f t="shared" si="24"/>
        <v>1256.8892760612939</v>
      </c>
      <c r="AQ26" s="33">
        <f t="shared" si="24"/>
        <v>1256.8892760612939</v>
      </c>
      <c r="AR26" s="33">
        <f t="shared" si="24"/>
        <v>1256.8892760612939</v>
      </c>
      <c r="AS26" s="33">
        <f t="shared" si="24"/>
        <v>1256.8892760612939</v>
      </c>
      <c r="AT26" s="33">
        <f t="shared" si="24"/>
        <v>1256.8892760612939</v>
      </c>
      <c r="AU26" s="33">
        <f t="shared" si="24"/>
        <v>1256.8892760612939</v>
      </c>
      <c r="AV26" s="33">
        <f t="shared" si="24"/>
        <v>1256.8892760612939</v>
      </c>
      <c r="AW26" s="33">
        <f t="shared" si="24"/>
        <v>1256.8892760612939</v>
      </c>
      <c r="AX26" s="33">
        <f t="shared" si="24"/>
        <v>1256.8892760612939</v>
      </c>
      <c r="AY26" s="33">
        <f t="shared" si="24"/>
        <v>1256.8892760612939</v>
      </c>
      <c r="AZ26" s="33">
        <f t="shared" si="24"/>
        <v>1256.8892760612939</v>
      </c>
      <c r="BA26" s="33">
        <f t="shared" si="24"/>
        <v>1256.8892760612939</v>
      </c>
      <c r="BB26" s="33">
        <f t="shared" si="24"/>
        <v>1256.8892760612939</v>
      </c>
      <c r="BC26" s="33">
        <f t="shared" si="24"/>
        <v>1256.8892760612939</v>
      </c>
      <c r="BD26" s="33">
        <f t="shared" si="24"/>
        <v>1256.8892760612939</v>
      </c>
      <c r="BE26" s="33">
        <f t="shared" si="24"/>
        <v>1256.8892760612939</v>
      </c>
      <c r="BF26" s="33">
        <f t="shared" si="24"/>
        <v>1256.8892760612939</v>
      </c>
      <c r="BG26" s="33">
        <f t="shared" si="24"/>
        <v>1256.8892760612939</v>
      </c>
      <c r="BH26" s="33">
        <f t="shared" si="24"/>
        <v>1256.8892760612939</v>
      </c>
      <c r="BI26" s="33">
        <f t="shared" si="24"/>
        <v>1256.8892760612939</v>
      </c>
      <c r="BJ26" s="33">
        <f t="shared" si="24"/>
        <v>1256.8892760612939</v>
      </c>
      <c r="BK26" s="33">
        <f t="shared" si="24"/>
        <v>1256.8892760612939</v>
      </c>
      <c r="BL26" s="33">
        <f t="shared" si="24"/>
        <v>1256.8892760612939</v>
      </c>
      <c r="BM26" s="33">
        <f t="shared" si="24"/>
        <v>1256.8892760612939</v>
      </c>
      <c r="BN26" s="33">
        <f t="shared" si="24"/>
        <v>1256.8892760612939</v>
      </c>
      <c r="BO26" s="33">
        <f t="shared" ref="BO26:DZ26" si="25">$B$15</f>
        <v>1256.8892760612939</v>
      </c>
      <c r="BP26" s="33">
        <f t="shared" si="25"/>
        <v>1256.8892760612939</v>
      </c>
      <c r="BQ26" s="33">
        <f t="shared" si="25"/>
        <v>1256.8892760612939</v>
      </c>
      <c r="BR26" s="33">
        <f t="shared" si="25"/>
        <v>1256.8892760612939</v>
      </c>
      <c r="BS26" s="33">
        <f t="shared" si="25"/>
        <v>1256.8892760612939</v>
      </c>
      <c r="BT26" s="33">
        <f t="shared" si="25"/>
        <v>1256.8892760612939</v>
      </c>
      <c r="BU26" s="33">
        <f t="shared" si="25"/>
        <v>1256.8892760612939</v>
      </c>
      <c r="BV26" s="33">
        <f t="shared" si="25"/>
        <v>1256.8892760612939</v>
      </c>
      <c r="BW26" s="33">
        <f t="shared" si="25"/>
        <v>1256.8892760612939</v>
      </c>
      <c r="BX26" s="33">
        <f t="shared" si="25"/>
        <v>1256.8892760612939</v>
      </c>
      <c r="BY26" s="33">
        <f t="shared" si="25"/>
        <v>1256.8892760612939</v>
      </c>
      <c r="BZ26" s="33">
        <f t="shared" si="25"/>
        <v>1256.8892760612939</v>
      </c>
      <c r="CA26" s="33">
        <f t="shared" si="25"/>
        <v>1256.8892760612939</v>
      </c>
      <c r="CB26" s="33">
        <f t="shared" si="25"/>
        <v>1256.8892760612939</v>
      </c>
      <c r="CC26" s="33">
        <f t="shared" si="25"/>
        <v>1256.8892760612939</v>
      </c>
      <c r="CD26" s="33">
        <f t="shared" si="25"/>
        <v>1256.8892760612939</v>
      </c>
      <c r="CE26" s="33">
        <f t="shared" si="25"/>
        <v>1256.8892760612939</v>
      </c>
      <c r="CF26" s="33">
        <f t="shared" si="25"/>
        <v>1256.8892760612939</v>
      </c>
      <c r="CG26" s="33">
        <f t="shared" si="25"/>
        <v>1256.8892760612939</v>
      </c>
      <c r="CH26" s="33">
        <f t="shared" si="25"/>
        <v>1256.8892760612939</v>
      </c>
      <c r="CI26" s="33">
        <f t="shared" si="25"/>
        <v>1256.8892760612939</v>
      </c>
      <c r="CJ26" s="33">
        <f t="shared" si="25"/>
        <v>1256.8892760612939</v>
      </c>
      <c r="CK26" s="33">
        <f t="shared" si="25"/>
        <v>1256.8892760612939</v>
      </c>
      <c r="CL26" s="33">
        <f t="shared" si="25"/>
        <v>1256.8892760612939</v>
      </c>
      <c r="CM26" s="33">
        <f t="shared" si="25"/>
        <v>1256.8892760612939</v>
      </c>
      <c r="CN26" s="33">
        <f t="shared" si="25"/>
        <v>1256.8892760612939</v>
      </c>
      <c r="CO26" s="33">
        <f t="shared" si="25"/>
        <v>1256.8892760612939</v>
      </c>
      <c r="CP26" s="33">
        <f t="shared" si="25"/>
        <v>1256.8892760612939</v>
      </c>
      <c r="CQ26" s="33">
        <f t="shared" si="25"/>
        <v>1256.8892760612939</v>
      </c>
      <c r="CR26" s="33">
        <f t="shared" si="25"/>
        <v>1256.8892760612939</v>
      </c>
      <c r="CS26" s="33">
        <f t="shared" si="25"/>
        <v>1256.8892760612939</v>
      </c>
      <c r="CT26" s="33">
        <f t="shared" si="25"/>
        <v>1256.8892760612939</v>
      </c>
      <c r="CU26" s="33">
        <f t="shared" si="25"/>
        <v>1256.8892760612939</v>
      </c>
      <c r="CV26" s="33">
        <f t="shared" si="25"/>
        <v>1256.8892760612939</v>
      </c>
      <c r="CW26" s="33">
        <f t="shared" si="25"/>
        <v>1256.8892760612939</v>
      </c>
      <c r="CX26" s="33">
        <f t="shared" si="25"/>
        <v>1256.8892760612939</v>
      </c>
      <c r="CY26" s="33">
        <f t="shared" si="25"/>
        <v>1256.8892760612939</v>
      </c>
      <c r="CZ26" s="33">
        <f t="shared" si="25"/>
        <v>1256.8892760612939</v>
      </c>
      <c r="DA26" s="33">
        <f t="shared" si="25"/>
        <v>1256.8892760612939</v>
      </c>
      <c r="DB26" s="33">
        <f t="shared" si="25"/>
        <v>1256.8892760612939</v>
      </c>
      <c r="DC26" s="33">
        <f t="shared" si="25"/>
        <v>1256.8892760612939</v>
      </c>
      <c r="DD26" s="33">
        <f t="shared" si="25"/>
        <v>1256.8892760612939</v>
      </c>
      <c r="DE26" s="33">
        <f t="shared" si="25"/>
        <v>1256.8892760612939</v>
      </c>
      <c r="DF26" s="33">
        <f t="shared" si="25"/>
        <v>1256.8892760612939</v>
      </c>
      <c r="DG26" s="33">
        <f t="shared" si="25"/>
        <v>1256.8892760612939</v>
      </c>
      <c r="DH26" s="33">
        <f t="shared" si="25"/>
        <v>1256.8892760612939</v>
      </c>
      <c r="DI26" s="33">
        <f t="shared" si="25"/>
        <v>1256.8892760612939</v>
      </c>
      <c r="DJ26" s="33">
        <f t="shared" si="25"/>
        <v>1256.8892760612939</v>
      </c>
      <c r="DK26" s="33">
        <f t="shared" si="25"/>
        <v>1256.8892760612939</v>
      </c>
      <c r="DL26" s="33">
        <f t="shared" si="25"/>
        <v>1256.8892760612939</v>
      </c>
      <c r="DM26" s="33">
        <f t="shared" si="25"/>
        <v>1256.8892760612939</v>
      </c>
      <c r="DN26" s="33">
        <f t="shared" si="25"/>
        <v>1256.8892760612939</v>
      </c>
      <c r="DO26" s="33">
        <f t="shared" si="25"/>
        <v>1256.8892760612939</v>
      </c>
      <c r="DP26" s="33">
        <f t="shared" si="25"/>
        <v>1256.8892760612939</v>
      </c>
      <c r="DQ26" s="33">
        <f t="shared" si="25"/>
        <v>1256.8892760612939</v>
      </c>
      <c r="DR26" s="33">
        <f t="shared" si="25"/>
        <v>1256.8892760612939</v>
      </c>
      <c r="DS26" s="33">
        <f t="shared" si="25"/>
        <v>1256.8892760612939</v>
      </c>
      <c r="DT26" s="33">
        <f t="shared" si="25"/>
        <v>1256.8892760612939</v>
      </c>
      <c r="DU26" s="33">
        <f t="shared" si="25"/>
        <v>1256.8892760612939</v>
      </c>
      <c r="DV26" s="33">
        <f t="shared" si="25"/>
        <v>1256.8892760612939</v>
      </c>
      <c r="DW26" s="33">
        <f t="shared" si="25"/>
        <v>1256.8892760612939</v>
      </c>
      <c r="DX26" s="33">
        <f t="shared" si="25"/>
        <v>1256.8892760612939</v>
      </c>
      <c r="DY26" s="33">
        <f t="shared" si="25"/>
        <v>1256.8892760612939</v>
      </c>
      <c r="DZ26" s="33">
        <f t="shared" si="25"/>
        <v>1256.8892760612939</v>
      </c>
      <c r="EA26" s="33">
        <f t="shared" ref="EA26:GL26" si="26">$B$15</f>
        <v>1256.8892760612939</v>
      </c>
      <c r="EB26" s="33">
        <f t="shared" si="26"/>
        <v>1256.8892760612939</v>
      </c>
      <c r="EC26" s="33">
        <f t="shared" si="26"/>
        <v>1256.8892760612939</v>
      </c>
      <c r="ED26" s="33">
        <f t="shared" si="26"/>
        <v>1256.8892760612939</v>
      </c>
      <c r="EE26" s="33">
        <f t="shared" si="26"/>
        <v>1256.8892760612939</v>
      </c>
      <c r="EF26" s="33">
        <f t="shared" si="26"/>
        <v>1256.8892760612939</v>
      </c>
      <c r="EG26" s="33">
        <f t="shared" si="26"/>
        <v>1256.8892760612939</v>
      </c>
      <c r="EH26" s="33">
        <f t="shared" si="26"/>
        <v>1256.8892760612939</v>
      </c>
      <c r="EI26" s="33">
        <f t="shared" si="26"/>
        <v>1256.8892760612939</v>
      </c>
      <c r="EJ26" s="33">
        <f t="shared" si="26"/>
        <v>1256.8892760612939</v>
      </c>
      <c r="EK26" s="33">
        <f t="shared" si="26"/>
        <v>1256.8892760612939</v>
      </c>
      <c r="EL26" s="33">
        <f t="shared" si="26"/>
        <v>1256.8892760612939</v>
      </c>
      <c r="EM26" s="33">
        <f t="shared" si="26"/>
        <v>1256.8892760612939</v>
      </c>
      <c r="EN26" s="33">
        <f t="shared" si="26"/>
        <v>1256.8892760612939</v>
      </c>
      <c r="EO26" s="33">
        <f t="shared" si="26"/>
        <v>1256.8892760612939</v>
      </c>
      <c r="EP26" s="33">
        <f t="shared" si="26"/>
        <v>1256.8892760612939</v>
      </c>
      <c r="EQ26" s="33">
        <f t="shared" si="26"/>
        <v>1256.8892760612939</v>
      </c>
      <c r="ER26" s="33">
        <f t="shared" si="26"/>
        <v>1256.8892760612939</v>
      </c>
      <c r="ES26" s="33">
        <f t="shared" si="26"/>
        <v>1256.8892760612939</v>
      </c>
      <c r="ET26" s="33">
        <f t="shared" si="26"/>
        <v>1256.8892760612939</v>
      </c>
      <c r="EU26" s="33">
        <f t="shared" si="26"/>
        <v>1256.8892760612939</v>
      </c>
      <c r="EV26" s="33">
        <f t="shared" si="26"/>
        <v>1256.8892760612939</v>
      </c>
      <c r="EW26" s="33">
        <f t="shared" si="26"/>
        <v>1256.8892760612939</v>
      </c>
      <c r="EX26" s="33">
        <f t="shared" si="26"/>
        <v>1256.8892760612939</v>
      </c>
      <c r="EY26" s="33">
        <f t="shared" si="26"/>
        <v>1256.8892760612939</v>
      </c>
      <c r="EZ26" s="33">
        <f t="shared" si="26"/>
        <v>1256.8892760612939</v>
      </c>
      <c r="FA26" s="33">
        <f t="shared" si="26"/>
        <v>1256.8892760612939</v>
      </c>
      <c r="FB26" s="33">
        <f t="shared" si="26"/>
        <v>1256.8892760612939</v>
      </c>
      <c r="FC26" s="33">
        <f t="shared" si="26"/>
        <v>1256.8892760612939</v>
      </c>
      <c r="FD26" s="33">
        <f t="shared" si="26"/>
        <v>1256.8892760612939</v>
      </c>
      <c r="FE26" s="33">
        <f t="shared" si="26"/>
        <v>1256.8892760612939</v>
      </c>
      <c r="FF26" s="33">
        <f t="shared" si="26"/>
        <v>1256.8892760612939</v>
      </c>
      <c r="FG26" s="33">
        <f t="shared" si="26"/>
        <v>1256.8892760612939</v>
      </c>
      <c r="FH26" s="33">
        <f t="shared" si="26"/>
        <v>1256.8892760612939</v>
      </c>
      <c r="FI26" s="33">
        <f t="shared" si="26"/>
        <v>1256.8892760612939</v>
      </c>
      <c r="FJ26" s="33">
        <f t="shared" si="26"/>
        <v>1256.8892760612939</v>
      </c>
      <c r="FK26" s="33">
        <f t="shared" si="26"/>
        <v>1256.8892760612939</v>
      </c>
      <c r="FL26" s="33">
        <f t="shared" si="26"/>
        <v>1256.8892760612939</v>
      </c>
      <c r="FM26" s="33">
        <f t="shared" si="26"/>
        <v>1256.8892760612939</v>
      </c>
      <c r="FN26" s="33">
        <f t="shared" si="26"/>
        <v>1256.8892760612939</v>
      </c>
      <c r="FO26" s="33">
        <f t="shared" si="26"/>
        <v>1256.8892760612939</v>
      </c>
      <c r="FP26" s="33">
        <f t="shared" si="26"/>
        <v>1256.8892760612939</v>
      </c>
      <c r="FQ26" s="33">
        <f t="shared" si="26"/>
        <v>1256.8892760612939</v>
      </c>
      <c r="FR26" s="33">
        <f t="shared" si="26"/>
        <v>1256.8892760612939</v>
      </c>
      <c r="FS26" s="33">
        <f t="shared" si="26"/>
        <v>1256.8892760612939</v>
      </c>
      <c r="FT26" s="33">
        <f t="shared" si="26"/>
        <v>1256.8892760612939</v>
      </c>
      <c r="FU26" s="33">
        <f t="shared" si="26"/>
        <v>1256.8892760612939</v>
      </c>
      <c r="FV26" s="33">
        <f t="shared" si="26"/>
        <v>1256.8892760612939</v>
      </c>
      <c r="FW26" s="33">
        <f t="shared" si="26"/>
        <v>1256.8892760612939</v>
      </c>
      <c r="FX26" s="33">
        <f t="shared" si="26"/>
        <v>1256.8892760612939</v>
      </c>
      <c r="FY26" s="33">
        <f t="shared" si="26"/>
        <v>1256.8892760612939</v>
      </c>
      <c r="FZ26" s="33">
        <f t="shared" si="26"/>
        <v>1256.8892760612939</v>
      </c>
      <c r="GA26" s="33">
        <f t="shared" si="26"/>
        <v>1256.8892760612939</v>
      </c>
      <c r="GB26" s="33">
        <f t="shared" si="26"/>
        <v>1256.8892760612939</v>
      </c>
      <c r="GC26" s="33">
        <f t="shared" si="26"/>
        <v>1256.8892760612939</v>
      </c>
      <c r="GD26" s="33">
        <f t="shared" si="26"/>
        <v>1256.8892760612939</v>
      </c>
      <c r="GE26" s="33">
        <f t="shared" si="26"/>
        <v>1256.8892760612939</v>
      </c>
      <c r="GF26" s="33">
        <f t="shared" si="26"/>
        <v>1256.8892760612939</v>
      </c>
      <c r="GG26" s="33">
        <f t="shared" si="26"/>
        <v>1256.8892760612939</v>
      </c>
      <c r="GH26" s="33">
        <f t="shared" si="26"/>
        <v>1256.8892760612939</v>
      </c>
      <c r="GI26" s="33">
        <f t="shared" si="26"/>
        <v>1256.8892760612939</v>
      </c>
      <c r="GJ26" s="33">
        <f t="shared" si="26"/>
        <v>1256.8892760612939</v>
      </c>
      <c r="GK26" s="33">
        <f t="shared" si="26"/>
        <v>1256.8892760612939</v>
      </c>
      <c r="GL26" s="33">
        <f t="shared" si="26"/>
        <v>1256.8892760612939</v>
      </c>
      <c r="GM26" s="33">
        <f t="shared" ref="GM26:IX26" si="27">$B$15</f>
        <v>1256.8892760612939</v>
      </c>
      <c r="GN26" s="33">
        <f t="shared" si="27"/>
        <v>1256.8892760612939</v>
      </c>
      <c r="GO26" s="33">
        <f t="shared" si="27"/>
        <v>1256.8892760612939</v>
      </c>
      <c r="GP26" s="33">
        <f t="shared" si="27"/>
        <v>1256.8892760612939</v>
      </c>
      <c r="GQ26" s="33">
        <f t="shared" si="27"/>
        <v>1256.8892760612939</v>
      </c>
      <c r="GR26" s="33">
        <f t="shared" si="27"/>
        <v>1256.8892760612939</v>
      </c>
      <c r="GS26" s="33">
        <f t="shared" si="27"/>
        <v>1256.8892760612939</v>
      </c>
      <c r="GT26" s="33">
        <f t="shared" si="27"/>
        <v>1256.8892760612939</v>
      </c>
      <c r="GU26" s="33">
        <f t="shared" si="27"/>
        <v>1256.8892760612939</v>
      </c>
      <c r="GV26" s="33">
        <f t="shared" si="27"/>
        <v>1256.8892760612939</v>
      </c>
      <c r="GW26" s="33">
        <f t="shared" si="27"/>
        <v>1256.8892760612939</v>
      </c>
      <c r="GX26" s="33">
        <f t="shared" si="27"/>
        <v>1256.8892760612939</v>
      </c>
      <c r="GY26" s="33">
        <f t="shared" si="27"/>
        <v>1256.8892760612939</v>
      </c>
      <c r="GZ26" s="33">
        <f t="shared" si="27"/>
        <v>1256.8892760612939</v>
      </c>
      <c r="HA26" s="33">
        <f t="shared" si="27"/>
        <v>1256.8892760612939</v>
      </c>
      <c r="HB26" s="33">
        <f t="shared" si="27"/>
        <v>1256.8892760612939</v>
      </c>
      <c r="HC26" s="33">
        <f t="shared" si="27"/>
        <v>1256.8892760612939</v>
      </c>
      <c r="HD26" s="33">
        <f t="shared" si="27"/>
        <v>1256.8892760612939</v>
      </c>
      <c r="HE26" s="33">
        <f t="shared" si="27"/>
        <v>1256.8892760612939</v>
      </c>
      <c r="HF26" s="33">
        <f t="shared" si="27"/>
        <v>1256.8892760612939</v>
      </c>
      <c r="HG26" s="33">
        <f t="shared" si="27"/>
        <v>1256.8892760612939</v>
      </c>
      <c r="HH26" s="33">
        <f t="shared" si="27"/>
        <v>1256.8892760612939</v>
      </c>
      <c r="HI26" s="33">
        <f t="shared" si="27"/>
        <v>1256.8892760612939</v>
      </c>
      <c r="HJ26" s="33">
        <f t="shared" si="27"/>
        <v>1256.8892760612939</v>
      </c>
      <c r="HK26" s="33">
        <f t="shared" si="27"/>
        <v>1256.8892760612939</v>
      </c>
      <c r="HL26" s="33">
        <f t="shared" si="27"/>
        <v>1256.8892760612939</v>
      </c>
      <c r="HM26" s="33">
        <f t="shared" si="27"/>
        <v>1256.8892760612939</v>
      </c>
      <c r="HN26" s="33">
        <f t="shared" si="27"/>
        <v>1256.8892760612939</v>
      </c>
      <c r="HO26" s="33">
        <f t="shared" si="27"/>
        <v>1256.8892760612939</v>
      </c>
      <c r="HP26" s="33">
        <f t="shared" si="27"/>
        <v>1256.8892760612939</v>
      </c>
      <c r="HQ26" s="33">
        <f t="shared" si="27"/>
        <v>1256.8892760612939</v>
      </c>
      <c r="HR26" s="33">
        <f t="shared" si="27"/>
        <v>1256.8892760612939</v>
      </c>
      <c r="HS26" s="33">
        <f t="shared" si="27"/>
        <v>1256.8892760612939</v>
      </c>
      <c r="HT26" s="33">
        <f t="shared" si="27"/>
        <v>1256.8892760612939</v>
      </c>
      <c r="HU26" s="33">
        <f t="shared" si="27"/>
        <v>1256.8892760612939</v>
      </c>
      <c r="HV26" s="33">
        <f t="shared" si="27"/>
        <v>1256.8892760612939</v>
      </c>
      <c r="HW26" s="33">
        <f t="shared" si="27"/>
        <v>1256.8892760612939</v>
      </c>
      <c r="HX26" s="33">
        <f t="shared" si="27"/>
        <v>1256.8892760612939</v>
      </c>
      <c r="HY26" s="33">
        <f t="shared" si="27"/>
        <v>1256.8892760612939</v>
      </c>
      <c r="HZ26" s="33">
        <f t="shared" si="27"/>
        <v>1256.8892760612939</v>
      </c>
      <c r="IA26" s="33">
        <f t="shared" si="27"/>
        <v>1256.8892760612939</v>
      </c>
      <c r="IB26" s="33">
        <f t="shared" si="27"/>
        <v>1256.8892760612939</v>
      </c>
      <c r="IC26" s="33">
        <f t="shared" si="27"/>
        <v>1256.8892760612939</v>
      </c>
      <c r="ID26" s="33">
        <f t="shared" si="27"/>
        <v>1256.8892760612939</v>
      </c>
      <c r="IE26" s="33">
        <f t="shared" si="27"/>
        <v>1256.8892760612939</v>
      </c>
      <c r="IF26" s="33">
        <f t="shared" si="27"/>
        <v>1256.8892760612939</v>
      </c>
      <c r="IG26" s="33">
        <f t="shared" si="27"/>
        <v>1256.8892760612939</v>
      </c>
      <c r="IH26" s="33">
        <f t="shared" si="27"/>
        <v>1256.8892760612939</v>
      </c>
      <c r="II26" s="33">
        <f t="shared" si="27"/>
        <v>1256.8892760612939</v>
      </c>
      <c r="IJ26" s="33">
        <f t="shared" si="27"/>
        <v>1256.8892760612939</v>
      </c>
      <c r="IK26" s="33">
        <f t="shared" si="27"/>
        <v>1256.8892760612939</v>
      </c>
      <c r="IL26" s="33">
        <f t="shared" si="27"/>
        <v>1256.8892760612939</v>
      </c>
      <c r="IM26" s="33">
        <f t="shared" si="27"/>
        <v>1256.8892760612939</v>
      </c>
      <c r="IN26" s="33">
        <f t="shared" si="27"/>
        <v>1256.8892760612939</v>
      </c>
      <c r="IO26" s="33">
        <f t="shared" si="27"/>
        <v>1256.8892760612939</v>
      </c>
      <c r="IP26" s="33">
        <f t="shared" si="27"/>
        <v>1256.8892760612939</v>
      </c>
      <c r="IQ26" s="33">
        <f t="shared" si="27"/>
        <v>1256.8892760612939</v>
      </c>
      <c r="IR26" s="33">
        <f t="shared" si="27"/>
        <v>1256.8892760612939</v>
      </c>
      <c r="IS26" s="33">
        <f t="shared" si="27"/>
        <v>1256.8892760612939</v>
      </c>
      <c r="IT26" s="33">
        <f t="shared" si="27"/>
        <v>1256.8892760612939</v>
      </c>
      <c r="IU26" s="33">
        <f t="shared" si="27"/>
        <v>1256.8892760612939</v>
      </c>
      <c r="IV26" s="33">
        <f t="shared" si="27"/>
        <v>1256.8892760612939</v>
      </c>
      <c r="IW26" s="33">
        <f t="shared" si="27"/>
        <v>1256.8892760612939</v>
      </c>
      <c r="IX26" s="33">
        <f t="shared" si="27"/>
        <v>1256.8892760612939</v>
      </c>
      <c r="IY26" s="33">
        <f t="shared" ref="IY26:LJ26" si="28">$B$15</f>
        <v>1256.8892760612939</v>
      </c>
      <c r="IZ26" s="33">
        <f t="shared" si="28"/>
        <v>1256.8892760612939</v>
      </c>
      <c r="JA26" s="33">
        <f t="shared" si="28"/>
        <v>1256.8892760612939</v>
      </c>
      <c r="JB26" s="33">
        <f t="shared" si="28"/>
        <v>1256.8892760612939</v>
      </c>
      <c r="JC26" s="33">
        <f t="shared" si="28"/>
        <v>1256.8892760612939</v>
      </c>
      <c r="JD26" s="33">
        <f t="shared" si="28"/>
        <v>1256.8892760612939</v>
      </c>
      <c r="JE26" s="33">
        <f t="shared" si="28"/>
        <v>1256.8892760612939</v>
      </c>
      <c r="JF26" s="33">
        <f t="shared" si="28"/>
        <v>1256.8892760612939</v>
      </c>
      <c r="JG26" s="33">
        <f t="shared" si="28"/>
        <v>1256.8892760612939</v>
      </c>
      <c r="JH26" s="33">
        <f t="shared" si="28"/>
        <v>1256.8892760612939</v>
      </c>
      <c r="JI26" s="33">
        <f t="shared" si="28"/>
        <v>1256.8892760612939</v>
      </c>
      <c r="JJ26" s="33">
        <f t="shared" si="28"/>
        <v>1256.8892760612939</v>
      </c>
      <c r="JK26" s="33">
        <f t="shared" si="28"/>
        <v>1256.8892760612939</v>
      </c>
      <c r="JL26" s="33">
        <f t="shared" si="28"/>
        <v>1256.8892760612939</v>
      </c>
      <c r="JM26" s="33">
        <f t="shared" si="28"/>
        <v>1256.8892760612939</v>
      </c>
      <c r="JN26" s="33">
        <f t="shared" si="28"/>
        <v>1256.8892760612939</v>
      </c>
      <c r="JO26" s="33">
        <f t="shared" si="28"/>
        <v>1256.8892760612939</v>
      </c>
      <c r="JP26" s="33">
        <f t="shared" si="28"/>
        <v>1256.8892760612939</v>
      </c>
      <c r="JQ26" s="33">
        <f t="shared" si="28"/>
        <v>1256.8892760612939</v>
      </c>
      <c r="JR26" s="33">
        <f t="shared" si="28"/>
        <v>1256.8892760612939</v>
      </c>
      <c r="JS26" s="33">
        <f t="shared" si="28"/>
        <v>1256.8892760612939</v>
      </c>
      <c r="JT26" s="33">
        <f t="shared" si="28"/>
        <v>1256.8892760612939</v>
      </c>
      <c r="JU26" s="33">
        <f t="shared" si="28"/>
        <v>1256.8892760612939</v>
      </c>
      <c r="JV26" s="33">
        <f t="shared" si="28"/>
        <v>1256.8892760612939</v>
      </c>
      <c r="JW26" s="33">
        <f t="shared" si="28"/>
        <v>1256.8892760612939</v>
      </c>
      <c r="JX26" s="33">
        <f t="shared" si="28"/>
        <v>1256.8892760612939</v>
      </c>
      <c r="JY26" s="33">
        <f t="shared" si="28"/>
        <v>1256.8892760612939</v>
      </c>
      <c r="JZ26" s="33">
        <f t="shared" si="28"/>
        <v>1256.8892760612939</v>
      </c>
      <c r="KA26" s="33">
        <f t="shared" si="28"/>
        <v>1256.8892760612939</v>
      </c>
      <c r="KB26" s="33">
        <f t="shared" si="28"/>
        <v>1256.8892760612939</v>
      </c>
      <c r="KC26" s="33">
        <f t="shared" si="28"/>
        <v>1256.8892760612939</v>
      </c>
      <c r="KD26" s="33">
        <f t="shared" si="28"/>
        <v>1256.8892760612939</v>
      </c>
      <c r="KE26" s="33">
        <f t="shared" si="28"/>
        <v>1256.8892760612939</v>
      </c>
      <c r="KF26" s="33">
        <f t="shared" si="28"/>
        <v>1256.8892760612939</v>
      </c>
      <c r="KG26" s="33">
        <f t="shared" si="28"/>
        <v>1256.8892760612939</v>
      </c>
      <c r="KH26" s="33">
        <f t="shared" si="28"/>
        <v>1256.8892760612939</v>
      </c>
      <c r="KI26" s="33">
        <f t="shared" si="28"/>
        <v>1256.8892760612939</v>
      </c>
      <c r="KJ26" s="33">
        <f t="shared" si="28"/>
        <v>1256.8892760612939</v>
      </c>
      <c r="KK26" s="33">
        <f t="shared" si="28"/>
        <v>1256.8892760612939</v>
      </c>
      <c r="KL26" s="33">
        <f t="shared" si="28"/>
        <v>1256.8892760612939</v>
      </c>
      <c r="KM26" s="33">
        <f t="shared" si="28"/>
        <v>1256.8892760612939</v>
      </c>
      <c r="KN26" s="33">
        <f t="shared" si="28"/>
        <v>1256.8892760612939</v>
      </c>
      <c r="KO26" s="33">
        <f t="shared" si="28"/>
        <v>1256.8892760612939</v>
      </c>
      <c r="KP26" s="33">
        <f t="shared" si="28"/>
        <v>1256.8892760612939</v>
      </c>
      <c r="KQ26" s="33">
        <f t="shared" si="28"/>
        <v>1256.8892760612939</v>
      </c>
      <c r="KR26" s="33">
        <f t="shared" si="28"/>
        <v>1256.8892760612939</v>
      </c>
      <c r="KS26" s="33">
        <f t="shared" si="28"/>
        <v>1256.8892760612939</v>
      </c>
      <c r="KT26" s="33">
        <f t="shared" si="28"/>
        <v>1256.8892760612939</v>
      </c>
      <c r="KU26" s="33">
        <f t="shared" si="28"/>
        <v>1256.8892760612939</v>
      </c>
      <c r="KV26" s="33">
        <f t="shared" si="28"/>
        <v>1256.8892760612939</v>
      </c>
      <c r="KW26" s="33">
        <f t="shared" si="28"/>
        <v>1256.8892760612939</v>
      </c>
      <c r="KX26" s="33">
        <f t="shared" si="28"/>
        <v>1256.8892760612939</v>
      </c>
      <c r="KY26" s="33">
        <f t="shared" si="28"/>
        <v>1256.8892760612939</v>
      </c>
      <c r="KZ26" s="33">
        <f t="shared" si="28"/>
        <v>1256.8892760612939</v>
      </c>
      <c r="LA26" s="33">
        <f t="shared" si="28"/>
        <v>1256.8892760612939</v>
      </c>
      <c r="LB26" s="33">
        <f t="shared" si="28"/>
        <v>1256.8892760612939</v>
      </c>
      <c r="LC26" s="33">
        <f t="shared" si="28"/>
        <v>1256.8892760612939</v>
      </c>
      <c r="LD26" s="33">
        <f t="shared" si="28"/>
        <v>1256.8892760612939</v>
      </c>
      <c r="LE26" s="33">
        <f t="shared" si="28"/>
        <v>1256.8892760612939</v>
      </c>
      <c r="LF26" s="33">
        <f t="shared" si="28"/>
        <v>1256.8892760612939</v>
      </c>
      <c r="LG26" s="33">
        <f t="shared" si="28"/>
        <v>1256.8892760612939</v>
      </c>
      <c r="LH26" s="33">
        <f t="shared" si="28"/>
        <v>1256.8892760612939</v>
      </c>
      <c r="LI26" s="33">
        <f t="shared" si="28"/>
        <v>1256.8892760612939</v>
      </c>
      <c r="LJ26" s="33">
        <f t="shared" si="28"/>
        <v>1256.8892760612939</v>
      </c>
      <c r="LK26" s="33">
        <f t="shared" ref="LK26:MX26" si="29">$B$15</f>
        <v>1256.8892760612939</v>
      </c>
      <c r="LL26" s="33">
        <f t="shared" si="29"/>
        <v>1256.8892760612939</v>
      </c>
      <c r="LM26" s="33">
        <f t="shared" si="29"/>
        <v>1256.8892760612939</v>
      </c>
      <c r="LN26" s="33">
        <f t="shared" si="29"/>
        <v>1256.8892760612939</v>
      </c>
      <c r="LO26" s="33">
        <f t="shared" si="29"/>
        <v>1256.8892760612939</v>
      </c>
      <c r="LP26" s="33">
        <f t="shared" si="29"/>
        <v>1256.8892760612939</v>
      </c>
      <c r="LQ26" s="33">
        <f t="shared" si="29"/>
        <v>1256.8892760612939</v>
      </c>
      <c r="LR26" s="33">
        <f t="shared" si="29"/>
        <v>1256.8892760612939</v>
      </c>
      <c r="LS26" s="33">
        <f t="shared" si="29"/>
        <v>1256.8892760612939</v>
      </c>
      <c r="LT26" s="33">
        <f t="shared" si="29"/>
        <v>1256.8892760612939</v>
      </c>
      <c r="LU26" s="33">
        <f t="shared" si="29"/>
        <v>1256.8892760612939</v>
      </c>
      <c r="LV26" s="33">
        <f t="shared" si="29"/>
        <v>1256.8892760612939</v>
      </c>
      <c r="LW26" s="33">
        <f t="shared" si="29"/>
        <v>1256.8892760612939</v>
      </c>
      <c r="LX26" s="33">
        <f t="shared" si="29"/>
        <v>1256.8892760612939</v>
      </c>
      <c r="LY26" s="33">
        <f t="shared" si="29"/>
        <v>1256.8892760612939</v>
      </c>
      <c r="LZ26" s="33">
        <f t="shared" si="29"/>
        <v>1256.8892760612939</v>
      </c>
      <c r="MA26" s="33">
        <f t="shared" si="29"/>
        <v>1256.8892760612939</v>
      </c>
      <c r="MB26" s="33">
        <f t="shared" si="29"/>
        <v>1256.8892760612939</v>
      </c>
      <c r="MC26" s="33">
        <f t="shared" si="29"/>
        <v>1256.8892760612939</v>
      </c>
      <c r="MD26" s="33">
        <f t="shared" si="29"/>
        <v>1256.8892760612939</v>
      </c>
      <c r="ME26" s="33">
        <f t="shared" si="29"/>
        <v>1256.8892760612939</v>
      </c>
      <c r="MF26" s="33">
        <f t="shared" si="29"/>
        <v>1256.8892760612939</v>
      </c>
      <c r="MG26" s="33">
        <f t="shared" si="29"/>
        <v>1256.8892760612939</v>
      </c>
      <c r="MH26" s="33">
        <f t="shared" si="29"/>
        <v>1256.8892760612939</v>
      </c>
      <c r="MI26" s="33">
        <f t="shared" si="29"/>
        <v>1256.8892760612939</v>
      </c>
      <c r="MJ26" s="33">
        <f t="shared" si="29"/>
        <v>1256.8892760612939</v>
      </c>
      <c r="MK26" s="33">
        <f t="shared" si="29"/>
        <v>1256.8892760612939</v>
      </c>
      <c r="ML26" s="33">
        <f t="shared" si="29"/>
        <v>1256.8892760612939</v>
      </c>
      <c r="MM26" s="33">
        <f t="shared" si="29"/>
        <v>1256.8892760612939</v>
      </c>
      <c r="MN26" s="33">
        <f t="shared" si="29"/>
        <v>1256.8892760612939</v>
      </c>
      <c r="MO26" s="33">
        <f t="shared" si="29"/>
        <v>1256.8892760612939</v>
      </c>
      <c r="MP26" s="33">
        <f t="shared" si="29"/>
        <v>1256.8892760612939</v>
      </c>
      <c r="MQ26" s="33">
        <f t="shared" si="29"/>
        <v>1256.8892760612939</v>
      </c>
      <c r="MR26" s="33">
        <f t="shared" si="29"/>
        <v>1256.8892760612939</v>
      </c>
      <c r="MS26" s="33">
        <f t="shared" si="29"/>
        <v>1256.8892760612939</v>
      </c>
      <c r="MT26" s="33">
        <f t="shared" si="29"/>
        <v>1256.8892760612939</v>
      </c>
      <c r="MU26" s="33">
        <f t="shared" si="29"/>
        <v>1256.8892760612939</v>
      </c>
      <c r="MV26" s="33">
        <f t="shared" si="29"/>
        <v>1256.8892760612939</v>
      </c>
      <c r="MW26" s="33">
        <f t="shared" si="29"/>
        <v>1256.8892760612939</v>
      </c>
      <c r="MX26" s="55">
        <f t="shared" si="29"/>
        <v>1256.8892760612939</v>
      </c>
      <c r="MY26" s="1"/>
      <c r="MZ26" s="1"/>
      <c r="NA26" s="1"/>
      <c r="NB26" s="1"/>
      <c r="NC26" s="1"/>
      <c r="ND26" s="1"/>
      <c r="NE26" s="1"/>
      <c r="NF26" s="1"/>
      <c r="NG26" s="1"/>
      <c r="NH26" s="13">
        <v>0.125</v>
      </c>
      <c r="NI26" s="1">
        <f>Combine!A28</f>
        <v>48038</v>
      </c>
      <c r="NJ26" s="14">
        <f>Combine!F28</f>
        <v>300291.63964488101</v>
      </c>
    </row>
    <row r="27" spans="1:374" ht="12.75" customHeight="1" x14ac:dyDescent="0.3">
      <c r="A27" s="31" t="s">
        <v>868</v>
      </c>
      <c r="B27" s="32"/>
      <c r="C27" s="33">
        <f t="shared" ref="C27:BN27" si="30">C26-C25</f>
        <v>801.65323149776782</v>
      </c>
      <c r="D27" s="33">
        <f t="shared" si="30"/>
        <v>802.65529803714026</v>
      </c>
      <c r="E27" s="33">
        <f t="shared" si="30"/>
        <v>803.65861715968663</v>
      </c>
      <c r="F27" s="33">
        <f t="shared" si="30"/>
        <v>804.66319043113617</v>
      </c>
      <c r="G27" s="33">
        <f t="shared" si="30"/>
        <v>805.66901941917513</v>
      </c>
      <c r="H27" s="33">
        <f t="shared" si="30"/>
        <v>806.67610569344924</v>
      </c>
      <c r="I27" s="33">
        <f t="shared" si="30"/>
        <v>807.68445082556605</v>
      </c>
      <c r="J27" s="33">
        <f t="shared" si="30"/>
        <v>808.6940563890978</v>
      </c>
      <c r="K27" s="33">
        <f t="shared" si="30"/>
        <v>809.70492395958422</v>
      </c>
      <c r="L27" s="33">
        <f t="shared" si="30"/>
        <v>810.71705511453365</v>
      </c>
      <c r="M27" s="33">
        <f t="shared" si="30"/>
        <v>811.73045143342688</v>
      </c>
      <c r="N27" s="33">
        <f t="shared" si="30"/>
        <v>812.74511449771876</v>
      </c>
      <c r="O27" s="33">
        <f t="shared" si="30"/>
        <v>813.76104589084093</v>
      </c>
      <c r="P27" s="33">
        <f t="shared" si="30"/>
        <v>814.77824719820433</v>
      </c>
      <c r="Q27" s="33">
        <f t="shared" si="30"/>
        <v>815.79672000720211</v>
      </c>
      <c r="R27" s="33">
        <f t="shared" si="30"/>
        <v>816.81646590721107</v>
      </c>
      <c r="S27" s="33">
        <f t="shared" si="30"/>
        <v>817.83748648959522</v>
      </c>
      <c r="T27" s="33">
        <f t="shared" si="30"/>
        <v>818.85978334770721</v>
      </c>
      <c r="U27" s="33">
        <f t="shared" si="30"/>
        <v>819.88335807689191</v>
      </c>
      <c r="V27" s="33">
        <f t="shared" si="30"/>
        <v>820.90821227448805</v>
      </c>
      <c r="W27" s="33">
        <f t="shared" si="30"/>
        <v>821.93434753983115</v>
      </c>
      <c r="X27" s="33">
        <f t="shared" si="30"/>
        <v>822.9617654742558</v>
      </c>
      <c r="Y27" s="33">
        <f t="shared" si="30"/>
        <v>823.99046768109861</v>
      </c>
      <c r="Z27" s="33">
        <f t="shared" si="30"/>
        <v>825.02045576570004</v>
      </c>
      <c r="AA27" s="33">
        <f t="shared" si="30"/>
        <v>826.05173133540711</v>
      </c>
      <c r="AB27" s="33">
        <f t="shared" si="30"/>
        <v>827.0842959995764</v>
      </c>
      <c r="AC27" s="33">
        <f t="shared" si="30"/>
        <v>828.1181513695758</v>
      </c>
      <c r="AD27" s="33">
        <f t="shared" si="30"/>
        <v>829.15329905878775</v>
      </c>
      <c r="AE27" s="33">
        <f t="shared" si="30"/>
        <v>830.18974068261127</v>
      </c>
      <c r="AF27" s="33">
        <f t="shared" si="30"/>
        <v>831.22747785846445</v>
      </c>
      <c r="AG27" s="33">
        <f t="shared" si="30"/>
        <v>832.26651220578765</v>
      </c>
      <c r="AH27" s="33">
        <f t="shared" si="30"/>
        <v>833.30684534604484</v>
      </c>
      <c r="AI27" s="33">
        <f t="shared" si="30"/>
        <v>834.34847890272749</v>
      </c>
      <c r="AJ27" s="33">
        <f t="shared" si="30"/>
        <v>835.39141450135594</v>
      </c>
      <c r="AK27" s="33">
        <f t="shared" si="30"/>
        <v>836.43565376948254</v>
      </c>
      <c r="AL27" s="33">
        <f t="shared" si="30"/>
        <v>837.48119833669443</v>
      </c>
      <c r="AM27" s="33">
        <f t="shared" si="30"/>
        <v>838.52804983461533</v>
      </c>
      <c r="AN27" s="33">
        <f t="shared" si="30"/>
        <v>839.57620989690849</v>
      </c>
      <c r="AO27" s="33">
        <f t="shared" si="30"/>
        <v>840.62568015927968</v>
      </c>
      <c r="AP27" s="33">
        <f t="shared" si="30"/>
        <v>841.67646225947874</v>
      </c>
      <c r="AQ27" s="33">
        <f t="shared" si="30"/>
        <v>842.72855783730301</v>
      </c>
      <c r="AR27" s="33">
        <f t="shared" si="30"/>
        <v>843.78196853459963</v>
      </c>
      <c r="AS27" s="33">
        <f t="shared" si="30"/>
        <v>844.83669599526797</v>
      </c>
      <c r="AT27" s="33">
        <f t="shared" si="30"/>
        <v>845.892741865262</v>
      </c>
      <c r="AU27" s="33">
        <f t="shared" si="30"/>
        <v>846.95010779259337</v>
      </c>
      <c r="AV27" s="33">
        <f t="shared" si="30"/>
        <v>848.00879542733423</v>
      </c>
      <c r="AW27" s="33">
        <f t="shared" si="30"/>
        <v>849.06880642161832</v>
      </c>
      <c r="AX27" s="33">
        <f t="shared" si="30"/>
        <v>850.13014242964528</v>
      </c>
      <c r="AY27" s="33">
        <f t="shared" si="30"/>
        <v>851.19280510768249</v>
      </c>
      <c r="AZ27" s="33">
        <f t="shared" si="30"/>
        <v>852.25679611406713</v>
      </c>
      <c r="BA27" s="33">
        <f t="shared" si="30"/>
        <v>853.32211710920956</v>
      </c>
      <c r="BB27" s="33">
        <f t="shared" si="30"/>
        <v>854.38876975559606</v>
      </c>
      <c r="BC27" s="33">
        <f t="shared" si="30"/>
        <v>855.45675571779066</v>
      </c>
      <c r="BD27" s="33">
        <f t="shared" si="30"/>
        <v>856.52607666243784</v>
      </c>
      <c r="BE27" s="33">
        <f t="shared" si="30"/>
        <v>857.596734258266</v>
      </c>
      <c r="BF27" s="33">
        <f t="shared" si="30"/>
        <v>858.66873017608873</v>
      </c>
      <c r="BG27" s="33">
        <f t="shared" si="30"/>
        <v>859.742066088809</v>
      </c>
      <c r="BH27" s="33">
        <f t="shared" si="30"/>
        <v>860.81674367142</v>
      </c>
      <c r="BI27" s="33">
        <f t="shared" si="30"/>
        <v>861.89276460100928</v>
      </c>
      <c r="BJ27" s="33">
        <f t="shared" si="30"/>
        <v>862.97013055676052</v>
      </c>
      <c r="BK27" s="33">
        <f t="shared" si="30"/>
        <v>864.04884321995655</v>
      </c>
      <c r="BL27" s="33">
        <f t="shared" si="30"/>
        <v>865.12890427398133</v>
      </c>
      <c r="BM27" s="33">
        <f t="shared" si="30"/>
        <v>866.21031540432386</v>
      </c>
      <c r="BN27" s="33">
        <f t="shared" si="30"/>
        <v>867.2930782985793</v>
      </c>
      <c r="BO27" s="33">
        <f t="shared" ref="BO27:DZ27" si="31">BO26-BO25</f>
        <v>868.37719464645238</v>
      </c>
      <c r="BP27" s="33">
        <f t="shared" si="31"/>
        <v>869.46266613976059</v>
      </c>
      <c r="BQ27" s="33">
        <f t="shared" si="31"/>
        <v>870.5494944724353</v>
      </c>
      <c r="BR27" s="33">
        <f t="shared" si="31"/>
        <v>871.63768134052589</v>
      </c>
      <c r="BS27" s="33">
        <f t="shared" si="31"/>
        <v>872.72722844220152</v>
      </c>
      <c r="BT27" s="33">
        <f t="shared" si="31"/>
        <v>873.81813747775414</v>
      </c>
      <c r="BU27" s="33">
        <f t="shared" si="31"/>
        <v>874.91041014960138</v>
      </c>
      <c r="BV27" s="33">
        <f t="shared" si="31"/>
        <v>876.00404816228843</v>
      </c>
      <c r="BW27" s="33">
        <f t="shared" si="31"/>
        <v>877.09905322249119</v>
      </c>
      <c r="BX27" s="33">
        <f t="shared" si="31"/>
        <v>878.19542703901948</v>
      </c>
      <c r="BY27" s="33">
        <f t="shared" si="31"/>
        <v>879.29317132281813</v>
      </c>
      <c r="BZ27" s="33">
        <f t="shared" si="31"/>
        <v>880.39228778697179</v>
      </c>
      <c r="CA27" s="33">
        <f t="shared" si="31"/>
        <v>881.4927781467054</v>
      </c>
      <c r="CB27" s="33">
        <f t="shared" si="31"/>
        <v>882.59464411938893</v>
      </c>
      <c r="CC27" s="33">
        <f t="shared" si="31"/>
        <v>883.69788742453807</v>
      </c>
      <c r="CD27" s="33">
        <f t="shared" si="31"/>
        <v>884.80250978381878</v>
      </c>
      <c r="CE27" s="33">
        <f t="shared" si="31"/>
        <v>885.90851292104844</v>
      </c>
      <c r="CF27" s="33">
        <f t="shared" si="31"/>
        <v>887.01589856219994</v>
      </c>
      <c r="CG27" s="33">
        <f t="shared" si="31"/>
        <v>888.12466843540255</v>
      </c>
      <c r="CH27" s="33">
        <f t="shared" si="31"/>
        <v>889.234824270947</v>
      </c>
      <c r="CI27" s="33">
        <f t="shared" si="31"/>
        <v>890.34636780128562</v>
      </c>
      <c r="CJ27" s="33">
        <f t="shared" si="31"/>
        <v>891.45930076103718</v>
      </c>
      <c r="CK27" s="33">
        <f t="shared" si="31"/>
        <v>892.57362488698845</v>
      </c>
      <c r="CL27" s="33">
        <f t="shared" si="31"/>
        <v>893.68934191809717</v>
      </c>
      <c r="CM27" s="33">
        <f t="shared" si="31"/>
        <v>894.80645359549499</v>
      </c>
      <c r="CN27" s="33">
        <f t="shared" si="31"/>
        <v>895.9249616624893</v>
      </c>
      <c r="CO27" s="33">
        <f t="shared" si="31"/>
        <v>897.04486786456732</v>
      </c>
      <c r="CP27" s="33">
        <f t="shared" si="31"/>
        <v>898.16617394939817</v>
      </c>
      <c r="CQ27" s="33">
        <f t="shared" si="31"/>
        <v>899.28888166683487</v>
      </c>
      <c r="CR27" s="33">
        <f t="shared" si="31"/>
        <v>900.41299276891846</v>
      </c>
      <c r="CS27" s="33">
        <f t="shared" si="31"/>
        <v>901.53850900987959</v>
      </c>
      <c r="CT27" s="33">
        <f t="shared" si="31"/>
        <v>902.66543214614194</v>
      </c>
      <c r="CU27" s="33">
        <f t="shared" si="31"/>
        <v>903.79376393632469</v>
      </c>
      <c r="CV27" s="33">
        <f t="shared" si="31"/>
        <v>904.92350614124507</v>
      </c>
      <c r="CW27" s="33">
        <f t="shared" si="31"/>
        <v>906.05466052392148</v>
      </c>
      <c r="CX27" s="33">
        <f t="shared" si="31"/>
        <v>907.18722884957651</v>
      </c>
      <c r="CY27" s="33">
        <f t="shared" si="31"/>
        <v>908.32121288563849</v>
      </c>
      <c r="CZ27" s="33">
        <f t="shared" si="31"/>
        <v>909.45661440174536</v>
      </c>
      <c r="DA27" s="33">
        <f t="shared" si="31"/>
        <v>910.59343516974764</v>
      </c>
      <c r="DB27" s="33">
        <f t="shared" si="31"/>
        <v>911.73167696370979</v>
      </c>
      <c r="DC27" s="33">
        <f t="shared" si="31"/>
        <v>912.87134155991453</v>
      </c>
      <c r="DD27" s="33">
        <f t="shared" si="31"/>
        <v>914.01243073686442</v>
      </c>
      <c r="DE27" s="33">
        <f t="shared" si="31"/>
        <v>915.15494627528528</v>
      </c>
      <c r="DF27" s="33">
        <f t="shared" si="31"/>
        <v>916.29888995812951</v>
      </c>
      <c r="DG27" s="33">
        <f t="shared" si="31"/>
        <v>917.44426357057716</v>
      </c>
      <c r="DH27" s="33">
        <f t="shared" si="31"/>
        <v>918.59106890004045</v>
      </c>
      <c r="DI27" s="33">
        <f t="shared" si="31"/>
        <v>919.73930773616542</v>
      </c>
      <c r="DJ27" s="33">
        <f t="shared" si="31"/>
        <v>920.88898187083555</v>
      </c>
      <c r="DK27" s="33">
        <f t="shared" si="31"/>
        <v>922.04009309817411</v>
      </c>
      <c r="DL27" s="33">
        <f t="shared" si="31"/>
        <v>923.19264321454693</v>
      </c>
      <c r="DM27" s="33">
        <f t="shared" si="31"/>
        <v>924.34663401856506</v>
      </c>
      <c r="DN27" s="33">
        <f t="shared" si="31"/>
        <v>925.50206731108824</v>
      </c>
      <c r="DO27" s="33">
        <f t="shared" si="31"/>
        <v>926.65894489522725</v>
      </c>
      <c r="DP27" s="33">
        <f t="shared" si="31"/>
        <v>927.81726857634612</v>
      </c>
      <c r="DQ27" s="33">
        <f t="shared" si="31"/>
        <v>928.9770401620666</v>
      </c>
      <c r="DR27" s="33">
        <f t="shared" si="31"/>
        <v>930.13826146226916</v>
      </c>
      <c r="DS27" s="33">
        <f t="shared" si="31"/>
        <v>931.30093428909709</v>
      </c>
      <c r="DT27" s="33">
        <f t="shared" si="31"/>
        <v>932.46506045695833</v>
      </c>
      <c r="DU27" s="33">
        <f t="shared" si="31"/>
        <v>933.63064178252966</v>
      </c>
      <c r="DV27" s="33">
        <f t="shared" si="31"/>
        <v>934.79768008475776</v>
      </c>
      <c r="DW27" s="33">
        <f t="shared" si="31"/>
        <v>935.96617718486368</v>
      </c>
      <c r="DX27" s="33">
        <f t="shared" si="31"/>
        <v>937.13613490634475</v>
      </c>
      <c r="DY27" s="33">
        <f t="shared" si="31"/>
        <v>938.3075550749777</v>
      </c>
      <c r="DZ27" s="33">
        <f t="shared" si="31"/>
        <v>939.48043951882141</v>
      </c>
      <c r="EA27" s="33">
        <f t="shared" ref="EA27:GL27" si="32">EA26-EA25</f>
        <v>940.65479006822</v>
      </c>
      <c r="EB27" s="33">
        <f t="shared" si="32"/>
        <v>941.83060855580527</v>
      </c>
      <c r="EC27" s="33">
        <f t="shared" si="32"/>
        <v>943.00789681650008</v>
      </c>
      <c r="ED27" s="33">
        <f t="shared" si="32"/>
        <v>944.18665668752067</v>
      </c>
      <c r="EE27" s="33">
        <f t="shared" si="32"/>
        <v>945.3668900083801</v>
      </c>
      <c r="EF27" s="33">
        <f t="shared" si="32"/>
        <v>946.54859862089052</v>
      </c>
      <c r="EG27" s="33">
        <f t="shared" si="32"/>
        <v>947.73178436916669</v>
      </c>
      <c r="EH27" s="33">
        <f t="shared" si="32"/>
        <v>948.91644909962815</v>
      </c>
      <c r="EI27" s="33">
        <f t="shared" si="32"/>
        <v>950.10259466100274</v>
      </c>
      <c r="EJ27" s="33">
        <f t="shared" si="32"/>
        <v>951.29022290432886</v>
      </c>
      <c r="EK27" s="33">
        <f t="shared" si="32"/>
        <v>952.47933568295934</v>
      </c>
      <c r="EL27" s="33">
        <f t="shared" si="32"/>
        <v>953.66993485256307</v>
      </c>
      <c r="EM27" s="33">
        <f t="shared" si="32"/>
        <v>954.86202227112881</v>
      </c>
      <c r="EN27" s="33">
        <f t="shared" si="32"/>
        <v>956.05559979896771</v>
      </c>
      <c r="EO27" s="33">
        <f t="shared" si="32"/>
        <v>957.25066929871628</v>
      </c>
      <c r="EP27" s="33">
        <f t="shared" si="32"/>
        <v>958.44723263533979</v>
      </c>
      <c r="EQ27" s="33">
        <f t="shared" si="32"/>
        <v>959.64529167613387</v>
      </c>
      <c r="ER27" s="33">
        <f t="shared" si="32"/>
        <v>960.84484829072903</v>
      </c>
      <c r="ES27" s="33">
        <f t="shared" si="32"/>
        <v>962.04590435109253</v>
      </c>
      <c r="ET27" s="33">
        <f t="shared" si="32"/>
        <v>963.24846173153128</v>
      </c>
      <c r="EU27" s="33">
        <f t="shared" si="32"/>
        <v>964.45252230869573</v>
      </c>
      <c r="EV27" s="33">
        <f t="shared" si="32"/>
        <v>965.6580879615816</v>
      </c>
      <c r="EW27" s="33">
        <f t="shared" si="32"/>
        <v>966.86516057153358</v>
      </c>
      <c r="EX27" s="33">
        <f t="shared" si="32"/>
        <v>968.07374202224798</v>
      </c>
      <c r="EY27" s="33">
        <f t="shared" si="32"/>
        <v>969.28383419977581</v>
      </c>
      <c r="EZ27" s="33">
        <f t="shared" si="32"/>
        <v>970.49543899252558</v>
      </c>
      <c r="FA27" s="33">
        <f t="shared" si="32"/>
        <v>971.70855829126617</v>
      </c>
      <c r="FB27" s="33">
        <f t="shared" si="32"/>
        <v>972.92319398913014</v>
      </c>
      <c r="FC27" s="33">
        <f t="shared" si="32"/>
        <v>974.13934798161654</v>
      </c>
      <c r="FD27" s="33">
        <f t="shared" si="32"/>
        <v>975.35702216659365</v>
      </c>
      <c r="FE27" s="33">
        <f t="shared" si="32"/>
        <v>976.57621844430196</v>
      </c>
      <c r="FF27" s="33">
        <f t="shared" si="32"/>
        <v>977.79693871735731</v>
      </c>
      <c r="FG27" s="33">
        <f t="shared" si="32"/>
        <v>979.01918489075388</v>
      </c>
      <c r="FH27" s="33">
        <f t="shared" si="32"/>
        <v>980.24295887186736</v>
      </c>
      <c r="FI27" s="33">
        <f t="shared" si="32"/>
        <v>981.46826257045723</v>
      </c>
      <c r="FJ27" s="33">
        <f t="shared" si="32"/>
        <v>982.69509789867038</v>
      </c>
      <c r="FK27" s="33">
        <f t="shared" si="32"/>
        <v>983.92346677104365</v>
      </c>
      <c r="FL27" s="33">
        <f t="shared" si="32"/>
        <v>985.15337110450741</v>
      </c>
      <c r="FM27" s="33">
        <f t="shared" si="32"/>
        <v>986.38481281838813</v>
      </c>
      <c r="FN27" s="33">
        <f t="shared" si="32"/>
        <v>987.61779383441103</v>
      </c>
      <c r="FO27" s="33">
        <f t="shared" si="32"/>
        <v>988.85231607670403</v>
      </c>
      <c r="FP27" s="33">
        <f t="shared" si="32"/>
        <v>990.08838147179995</v>
      </c>
      <c r="FQ27" s="33">
        <f t="shared" si="32"/>
        <v>991.32599194863974</v>
      </c>
      <c r="FR27" s="33">
        <f t="shared" si="32"/>
        <v>992.56514943857542</v>
      </c>
      <c r="FS27" s="33">
        <f t="shared" si="32"/>
        <v>993.80585587537371</v>
      </c>
      <c r="FT27" s="33">
        <f t="shared" si="32"/>
        <v>995.04811319521787</v>
      </c>
      <c r="FU27" s="33">
        <f t="shared" si="32"/>
        <v>996.29192333671199</v>
      </c>
      <c r="FV27" s="33">
        <f t="shared" si="32"/>
        <v>997.53728824088284</v>
      </c>
      <c r="FW27" s="33">
        <f t="shared" si="32"/>
        <v>998.78420985118396</v>
      </c>
      <c r="FX27" s="33">
        <f t="shared" si="32"/>
        <v>1000.0326901134979</v>
      </c>
      <c r="FY27" s="33">
        <f t="shared" si="32"/>
        <v>1001.2827309761398</v>
      </c>
      <c r="FZ27" s="33">
        <f t="shared" si="32"/>
        <v>1002.53433438986</v>
      </c>
      <c r="GA27" s="33">
        <f t="shared" si="32"/>
        <v>1003.7875023078473</v>
      </c>
      <c r="GB27" s="33">
        <f t="shared" si="32"/>
        <v>1005.0422366857322</v>
      </c>
      <c r="GC27" s="33">
        <f t="shared" si="32"/>
        <v>1006.2985394815893</v>
      </c>
      <c r="GD27" s="33">
        <f t="shared" si="32"/>
        <v>1007.5564126559412</v>
      </c>
      <c r="GE27" s="33">
        <f t="shared" si="32"/>
        <v>1008.8158581717612</v>
      </c>
      <c r="GF27" s="33">
        <f t="shared" si="32"/>
        <v>1010.0768779944759</v>
      </c>
      <c r="GG27" s="33">
        <f t="shared" si="32"/>
        <v>1011.339474091969</v>
      </c>
      <c r="GH27" s="33">
        <f t="shared" si="32"/>
        <v>1012.603648434584</v>
      </c>
      <c r="GI27" s="33">
        <f t="shared" si="32"/>
        <v>1013.8694029951272</v>
      </c>
      <c r="GJ27" s="33">
        <f t="shared" si="32"/>
        <v>1015.1367397488712</v>
      </c>
      <c r="GK27" s="33">
        <f t="shared" si="32"/>
        <v>1016.4056606735572</v>
      </c>
      <c r="GL27" s="33">
        <f t="shared" si="32"/>
        <v>1017.6761677493992</v>
      </c>
      <c r="GM27" s="33">
        <f t="shared" ref="GM27:IX27" si="33">GM26-GM25</f>
        <v>1018.9482629590859</v>
      </c>
      <c r="GN27" s="33">
        <f t="shared" si="33"/>
        <v>1020.2219482877847</v>
      </c>
      <c r="GO27" s="33">
        <f t="shared" si="33"/>
        <v>1021.4972257231445</v>
      </c>
      <c r="GP27" s="33">
        <f t="shared" si="33"/>
        <v>1022.7740972552984</v>
      </c>
      <c r="GQ27" s="33">
        <f t="shared" si="33"/>
        <v>1024.0525648768676</v>
      </c>
      <c r="GR27" s="33">
        <f t="shared" si="33"/>
        <v>1025.3326305829637</v>
      </c>
      <c r="GS27" s="33">
        <f t="shared" si="33"/>
        <v>1026.6142963711923</v>
      </c>
      <c r="GT27" s="33">
        <f t="shared" si="33"/>
        <v>1027.8975642416563</v>
      </c>
      <c r="GU27" s="33">
        <f t="shared" si="33"/>
        <v>1029.1824361969584</v>
      </c>
      <c r="GV27" s="33">
        <f t="shared" si="33"/>
        <v>1030.4689142422046</v>
      </c>
      <c r="GW27" s="33">
        <f t="shared" si="33"/>
        <v>1031.7570003850074</v>
      </c>
      <c r="GX27" s="33">
        <f t="shared" si="33"/>
        <v>1033.0466966354886</v>
      </c>
      <c r="GY27" s="33">
        <f t="shared" si="33"/>
        <v>1034.3380050062829</v>
      </c>
      <c r="GZ27" s="33">
        <f t="shared" si="33"/>
        <v>1035.6309275125409</v>
      </c>
      <c r="HA27" s="33">
        <f t="shared" si="33"/>
        <v>1036.9254661719315</v>
      </c>
      <c r="HB27" s="33">
        <f t="shared" si="33"/>
        <v>1038.2216230046465</v>
      </c>
      <c r="HC27" s="33">
        <f t="shared" si="33"/>
        <v>1039.5194000334022</v>
      </c>
      <c r="HD27" s="33">
        <f t="shared" si="33"/>
        <v>1040.8187992834439</v>
      </c>
      <c r="HE27" s="33">
        <f t="shared" si="33"/>
        <v>1042.1198227825482</v>
      </c>
      <c r="HF27" s="33">
        <f t="shared" si="33"/>
        <v>1043.4224725610266</v>
      </c>
      <c r="HG27" s="33">
        <f t="shared" si="33"/>
        <v>1044.7267506517278</v>
      </c>
      <c r="HH27" s="33">
        <f t="shared" si="33"/>
        <v>1046.0326590900424</v>
      </c>
      <c r="HI27" s="33">
        <f t="shared" si="33"/>
        <v>1047.3401999139051</v>
      </c>
      <c r="HJ27" s="33">
        <f t="shared" si="33"/>
        <v>1048.6493751637975</v>
      </c>
      <c r="HK27" s="33">
        <f t="shared" si="33"/>
        <v>1049.9601868827522</v>
      </c>
      <c r="HL27" s="33">
        <f t="shared" si="33"/>
        <v>1051.2726371163556</v>
      </c>
      <c r="HM27" s="33">
        <f t="shared" si="33"/>
        <v>1052.586727912751</v>
      </c>
      <c r="HN27" s="33">
        <f t="shared" si="33"/>
        <v>1053.902461322642</v>
      </c>
      <c r="HO27" s="33">
        <f t="shared" si="33"/>
        <v>1055.2198393992953</v>
      </c>
      <c r="HP27" s="33">
        <f t="shared" si="33"/>
        <v>1056.5388641985444</v>
      </c>
      <c r="HQ27" s="33">
        <f t="shared" si="33"/>
        <v>1057.8595377787926</v>
      </c>
      <c r="HR27" s="33">
        <f t="shared" si="33"/>
        <v>1059.181862201016</v>
      </c>
      <c r="HS27" s="33">
        <f t="shared" si="33"/>
        <v>1060.5058395287674</v>
      </c>
      <c r="HT27" s="33">
        <f t="shared" si="33"/>
        <v>1061.8314718281783</v>
      </c>
      <c r="HU27" s="33">
        <f t="shared" si="33"/>
        <v>1063.1587611679636</v>
      </c>
      <c r="HV27" s="33">
        <f t="shared" si="33"/>
        <v>1064.4877096194234</v>
      </c>
      <c r="HW27" s="33">
        <f t="shared" si="33"/>
        <v>1065.8183192564477</v>
      </c>
      <c r="HX27" s="33">
        <f t="shared" si="33"/>
        <v>1067.1505921555183</v>
      </c>
      <c r="HY27" s="33">
        <f t="shared" si="33"/>
        <v>1068.4845303957127</v>
      </c>
      <c r="HZ27" s="33">
        <f t="shared" si="33"/>
        <v>1069.8201360587072</v>
      </c>
      <c r="IA27" s="33">
        <f t="shared" si="33"/>
        <v>1071.1574112287808</v>
      </c>
      <c r="IB27" s="33">
        <f t="shared" si="33"/>
        <v>1072.4963579928167</v>
      </c>
      <c r="IC27" s="33">
        <f t="shared" si="33"/>
        <v>1073.8369784403078</v>
      </c>
      <c r="ID27" s="33">
        <f t="shared" si="33"/>
        <v>1075.1792746633582</v>
      </c>
      <c r="IE27" s="33">
        <f t="shared" si="33"/>
        <v>1076.5232487566873</v>
      </c>
      <c r="IF27" s="33">
        <f t="shared" si="33"/>
        <v>1077.8689028176332</v>
      </c>
      <c r="IG27" s="33">
        <f t="shared" si="33"/>
        <v>1079.2162389461553</v>
      </c>
      <c r="IH27" s="33">
        <f t="shared" si="33"/>
        <v>1080.565259244838</v>
      </c>
      <c r="II27" s="33">
        <f t="shared" si="33"/>
        <v>1081.9159658188939</v>
      </c>
      <c r="IJ27" s="33">
        <f t="shared" si="33"/>
        <v>1083.2683607761676</v>
      </c>
      <c r="IK27" s="33">
        <f t="shared" si="33"/>
        <v>1084.6224462271377</v>
      </c>
      <c r="IL27" s="33">
        <f t="shared" si="33"/>
        <v>1085.9782242849217</v>
      </c>
      <c r="IM27" s="33">
        <f t="shared" si="33"/>
        <v>1087.3356970652778</v>
      </c>
      <c r="IN27" s="33">
        <f t="shared" si="33"/>
        <v>1088.6948666866094</v>
      </c>
      <c r="IO27" s="33">
        <f t="shared" si="33"/>
        <v>1090.0557352699677</v>
      </c>
      <c r="IP27" s="33">
        <f t="shared" si="33"/>
        <v>1091.4183049390551</v>
      </c>
      <c r="IQ27" s="33">
        <f t="shared" si="33"/>
        <v>1092.7825778202291</v>
      </c>
      <c r="IR27" s="33">
        <f t="shared" si="33"/>
        <v>1094.1485560425042</v>
      </c>
      <c r="IS27" s="33">
        <f t="shared" si="33"/>
        <v>1095.5162417375575</v>
      </c>
      <c r="IT27" s="33">
        <f t="shared" si="33"/>
        <v>1096.8856370397293</v>
      </c>
      <c r="IU27" s="33">
        <f t="shared" si="33"/>
        <v>1098.2567440860289</v>
      </c>
      <c r="IV27" s="33">
        <f t="shared" si="33"/>
        <v>1099.6295650161364</v>
      </c>
      <c r="IW27" s="33">
        <f t="shared" si="33"/>
        <v>1101.0041019724067</v>
      </c>
      <c r="IX27" s="33">
        <f t="shared" si="33"/>
        <v>1102.3803570998723</v>
      </c>
      <c r="IY27" s="33">
        <f t="shared" ref="IY27:LJ27" si="34">IY26-IY25</f>
        <v>1103.7583325462469</v>
      </c>
      <c r="IZ27" s="33">
        <f t="shared" si="34"/>
        <v>1105.1380304619299</v>
      </c>
      <c r="JA27" s="33">
        <f t="shared" si="34"/>
        <v>1106.5194530000072</v>
      </c>
      <c r="JB27" s="33">
        <f t="shared" si="34"/>
        <v>1107.9026023162573</v>
      </c>
      <c r="JC27" s="33">
        <f t="shared" si="34"/>
        <v>1109.2874805691526</v>
      </c>
      <c r="JD27" s="33">
        <f t="shared" si="34"/>
        <v>1110.6740899198639</v>
      </c>
      <c r="JE27" s="33">
        <f t="shared" si="34"/>
        <v>1112.0624325322638</v>
      </c>
      <c r="JF27" s="33">
        <f t="shared" si="34"/>
        <v>1113.4525105729292</v>
      </c>
      <c r="JG27" s="33">
        <f t="shared" si="34"/>
        <v>1114.8443262111455</v>
      </c>
      <c r="JH27" s="33">
        <f t="shared" si="34"/>
        <v>1116.2378816189093</v>
      </c>
      <c r="JI27" s="33">
        <f t="shared" si="34"/>
        <v>1117.6331789709329</v>
      </c>
      <c r="JJ27" s="33">
        <f t="shared" si="34"/>
        <v>1119.0302204446466</v>
      </c>
      <c r="JK27" s="33">
        <f t="shared" si="34"/>
        <v>1120.4290082202024</v>
      </c>
      <c r="JL27" s="33">
        <f t="shared" si="34"/>
        <v>1121.8295444804776</v>
      </c>
      <c r="JM27" s="33">
        <f t="shared" si="34"/>
        <v>1123.2318314110782</v>
      </c>
      <c r="JN27" s="33">
        <f t="shared" si="34"/>
        <v>1124.6358712003421</v>
      </c>
      <c r="JO27" s="33">
        <f t="shared" si="34"/>
        <v>1126.0416660393425</v>
      </c>
      <c r="JP27" s="33">
        <f t="shared" si="34"/>
        <v>1127.4492181218916</v>
      </c>
      <c r="JQ27" s="33">
        <f t="shared" si="34"/>
        <v>1128.858529644544</v>
      </c>
      <c r="JR27" s="33">
        <f t="shared" si="34"/>
        <v>1130.2696028065998</v>
      </c>
      <c r="JS27" s="33">
        <f t="shared" si="34"/>
        <v>1131.682439810108</v>
      </c>
      <c r="JT27" s="33">
        <f t="shared" si="34"/>
        <v>1133.0970428598707</v>
      </c>
      <c r="JU27" s="33">
        <f t="shared" si="34"/>
        <v>1134.5134141634455</v>
      </c>
      <c r="JV27" s="33">
        <f t="shared" si="34"/>
        <v>1135.9315559311499</v>
      </c>
      <c r="JW27" s="33">
        <f t="shared" si="34"/>
        <v>1137.3514703760636</v>
      </c>
      <c r="JX27" s="33">
        <f t="shared" si="34"/>
        <v>1138.7731597140337</v>
      </c>
      <c r="JY27" s="33">
        <f t="shared" si="34"/>
        <v>1140.1966261636762</v>
      </c>
      <c r="JZ27" s="33">
        <f t="shared" si="34"/>
        <v>1141.6218719463809</v>
      </c>
      <c r="KA27" s="33">
        <f t="shared" si="34"/>
        <v>1143.0488992863138</v>
      </c>
      <c r="KB27" s="33">
        <f t="shared" si="34"/>
        <v>1144.4777104104219</v>
      </c>
      <c r="KC27" s="33">
        <f t="shared" si="34"/>
        <v>1145.9083075484348</v>
      </c>
      <c r="KD27" s="33">
        <f t="shared" si="34"/>
        <v>1147.3406929328703</v>
      </c>
      <c r="KE27" s="33">
        <f t="shared" si="34"/>
        <v>1148.7748687990365</v>
      </c>
      <c r="KF27" s="33">
        <f t="shared" si="34"/>
        <v>1150.2108373850351</v>
      </c>
      <c r="KG27" s="33">
        <f t="shared" si="34"/>
        <v>1151.6486009317666</v>
      </c>
      <c r="KH27" s="33">
        <f t="shared" si="34"/>
        <v>1153.0881616829313</v>
      </c>
      <c r="KI27" s="33">
        <f t="shared" si="34"/>
        <v>1154.5295218850349</v>
      </c>
      <c r="KJ27" s="33">
        <f t="shared" si="34"/>
        <v>1155.9726837873911</v>
      </c>
      <c r="KK27" s="33">
        <f t="shared" si="34"/>
        <v>1157.4176496421255</v>
      </c>
      <c r="KL27" s="33">
        <f t="shared" si="34"/>
        <v>1158.8644217041781</v>
      </c>
      <c r="KM27" s="33">
        <f t="shared" si="34"/>
        <v>1160.3130022313082</v>
      </c>
      <c r="KN27" s="33">
        <f t="shared" si="34"/>
        <v>1161.7633934840974</v>
      </c>
      <c r="KO27" s="33">
        <f t="shared" si="34"/>
        <v>1163.2155977259526</v>
      </c>
      <c r="KP27" s="33">
        <f t="shared" si="34"/>
        <v>1164.66961722311</v>
      </c>
      <c r="KQ27" s="33">
        <f t="shared" si="34"/>
        <v>1166.1254542446388</v>
      </c>
      <c r="KR27" s="33">
        <f t="shared" si="34"/>
        <v>1167.5831110624447</v>
      </c>
      <c r="KS27" s="33">
        <f t="shared" si="34"/>
        <v>1169.0425899512727</v>
      </c>
      <c r="KT27" s="33">
        <f t="shared" si="34"/>
        <v>1170.5038931887118</v>
      </c>
      <c r="KU27" s="33">
        <f t="shared" si="34"/>
        <v>1171.9670230551978</v>
      </c>
      <c r="KV27" s="33">
        <f t="shared" si="34"/>
        <v>1173.4319818340168</v>
      </c>
      <c r="KW27" s="33">
        <f t="shared" si="34"/>
        <v>1174.8987718113092</v>
      </c>
      <c r="KX27" s="33">
        <f t="shared" si="34"/>
        <v>1176.3673952760735</v>
      </c>
      <c r="KY27" s="33">
        <f t="shared" si="34"/>
        <v>1177.8378545201685</v>
      </c>
      <c r="KZ27" s="33">
        <f t="shared" si="34"/>
        <v>1179.3101518383187</v>
      </c>
      <c r="LA27" s="33">
        <f t="shared" si="34"/>
        <v>1180.7842895281167</v>
      </c>
      <c r="LB27" s="33">
        <f t="shared" si="34"/>
        <v>1182.2602698900268</v>
      </c>
      <c r="LC27" s="33">
        <f t="shared" si="34"/>
        <v>1183.7380952273893</v>
      </c>
      <c r="LD27" s="33">
        <f t="shared" si="34"/>
        <v>1185.2177678464236</v>
      </c>
      <c r="LE27" s="33">
        <f t="shared" si="34"/>
        <v>1186.6992900562316</v>
      </c>
      <c r="LF27" s="33">
        <f t="shared" si="34"/>
        <v>1188.1826641688019</v>
      </c>
      <c r="LG27" s="33">
        <f t="shared" si="34"/>
        <v>1189.6678924990129</v>
      </c>
      <c r="LH27" s="33">
        <f t="shared" si="34"/>
        <v>1191.1549773646366</v>
      </c>
      <c r="LI27" s="33">
        <f t="shared" si="34"/>
        <v>1192.6439210863423</v>
      </c>
      <c r="LJ27" s="33">
        <f t="shared" si="34"/>
        <v>1194.1347259877002</v>
      </c>
      <c r="LK27" s="33">
        <f t="shared" ref="LK27:NV27" si="35">LK26-LK25</f>
        <v>1195.6273943951849</v>
      </c>
      <c r="LL27" s="33">
        <f t="shared" si="35"/>
        <v>1197.1219286381788</v>
      </c>
      <c r="LM27" s="33">
        <f t="shared" si="35"/>
        <v>1198.6183310489766</v>
      </c>
      <c r="LN27" s="33">
        <f t="shared" si="35"/>
        <v>1200.1166039627878</v>
      </c>
      <c r="LO27" s="33">
        <f t="shared" si="35"/>
        <v>1201.6167497177414</v>
      </c>
      <c r="LP27" s="33">
        <f t="shared" si="35"/>
        <v>1203.1187706548885</v>
      </c>
      <c r="LQ27" s="33">
        <f t="shared" si="35"/>
        <v>1204.6226691182071</v>
      </c>
      <c r="LR27" s="33">
        <f t="shared" si="35"/>
        <v>1206.1284474546048</v>
      </c>
      <c r="LS27" s="33">
        <f t="shared" si="35"/>
        <v>1207.6361080139231</v>
      </c>
      <c r="LT27" s="33">
        <f t="shared" si="35"/>
        <v>1209.1456531489405</v>
      </c>
      <c r="LU27" s="33">
        <f t="shared" si="35"/>
        <v>1210.6570852153768</v>
      </c>
      <c r="LV27" s="33">
        <f t="shared" si="35"/>
        <v>1212.1704065718959</v>
      </c>
      <c r="LW27" s="33">
        <f t="shared" si="35"/>
        <v>1213.6856195801108</v>
      </c>
      <c r="LX27" s="33">
        <f t="shared" si="35"/>
        <v>1215.2027266045859</v>
      </c>
      <c r="LY27" s="33">
        <f t="shared" si="35"/>
        <v>1216.7217300128416</v>
      </c>
      <c r="LZ27" s="33">
        <f t="shared" si="35"/>
        <v>1218.2426321753578</v>
      </c>
      <c r="MA27" s="33">
        <f t="shared" si="35"/>
        <v>1219.765435465577</v>
      </c>
      <c r="MB27" s="33">
        <f t="shared" si="35"/>
        <v>1221.2901422599089</v>
      </c>
      <c r="MC27" s="33">
        <f t="shared" si="35"/>
        <v>1222.8167549377338</v>
      </c>
      <c r="MD27" s="33">
        <f t="shared" si="35"/>
        <v>1224.345275881406</v>
      </c>
      <c r="ME27" s="33">
        <f t="shared" si="35"/>
        <v>1225.8757074762577</v>
      </c>
      <c r="MF27" s="33">
        <f t="shared" si="35"/>
        <v>1227.408052110603</v>
      </c>
      <c r="MG27" s="33">
        <f t="shared" si="35"/>
        <v>1228.9423121757413</v>
      </c>
      <c r="MH27" s="33">
        <f t="shared" si="35"/>
        <v>1230.4784900659611</v>
      </c>
      <c r="MI27" s="33">
        <f t="shared" si="35"/>
        <v>1232.0165881785433</v>
      </c>
      <c r="MJ27" s="33">
        <f t="shared" si="35"/>
        <v>1233.5566089137667</v>
      </c>
      <c r="MK27" s="33">
        <f t="shared" si="35"/>
        <v>1235.0985546749089</v>
      </c>
      <c r="ML27" s="33">
        <f t="shared" si="35"/>
        <v>1236.6424278682525</v>
      </c>
      <c r="MM27" s="33">
        <f t="shared" si="35"/>
        <v>1238.1882309030877</v>
      </c>
      <c r="MN27" s="33">
        <f t="shared" si="35"/>
        <v>1239.7359661917167</v>
      </c>
      <c r="MO27" s="33">
        <f t="shared" si="35"/>
        <v>1241.2856361494562</v>
      </c>
      <c r="MP27" s="33">
        <f t="shared" si="35"/>
        <v>1242.8372431946432</v>
      </c>
      <c r="MQ27" s="33">
        <f t="shared" si="35"/>
        <v>1244.3907897486365</v>
      </c>
      <c r="MR27" s="33">
        <f t="shared" si="35"/>
        <v>1245.9462782358221</v>
      </c>
      <c r="MS27" s="33">
        <f t="shared" si="35"/>
        <v>1247.503711083617</v>
      </c>
      <c r="MT27" s="33">
        <f t="shared" si="35"/>
        <v>1249.0630907224715</v>
      </c>
      <c r="MU27" s="33">
        <f t="shared" si="35"/>
        <v>1250.6244195858746</v>
      </c>
      <c r="MV27" s="33">
        <f t="shared" si="35"/>
        <v>1252.1877001103569</v>
      </c>
      <c r="MW27" s="33">
        <f t="shared" si="35"/>
        <v>1253.7529347354948</v>
      </c>
      <c r="MX27" s="55">
        <f t="shared" si="35"/>
        <v>1255.3201259039142</v>
      </c>
      <c r="MY27" s="1"/>
      <c r="MZ27" s="1"/>
      <c r="NA27" s="1"/>
      <c r="NB27" s="1"/>
      <c r="NC27" s="1"/>
      <c r="ND27" s="1"/>
      <c r="NE27" s="1"/>
      <c r="NF27" s="1"/>
      <c r="NG27" s="1"/>
      <c r="NH27" s="13">
        <v>0.13</v>
      </c>
      <c r="NI27" s="1">
        <f>Combine!A29</f>
        <v>48111</v>
      </c>
      <c r="NJ27" s="14">
        <f>Combine!F29</f>
        <v>262607.22622710798</v>
      </c>
    </row>
    <row r="28" spans="1:374" ht="12.75" customHeight="1" x14ac:dyDescent="0.3">
      <c r="A28" s="31" t="s">
        <v>869</v>
      </c>
      <c r="B28" s="32"/>
      <c r="C28" s="33">
        <f t="shared" ref="C28:BN28" si="36">$B$11/12</f>
        <v>108.33333333333333</v>
      </c>
      <c r="D28" s="33">
        <f t="shared" si="36"/>
        <v>108.33333333333333</v>
      </c>
      <c r="E28" s="33">
        <f t="shared" si="36"/>
        <v>108.33333333333333</v>
      </c>
      <c r="F28" s="33">
        <f t="shared" si="36"/>
        <v>108.33333333333333</v>
      </c>
      <c r="G28" s="33">
        <f t="shared" si="36"/>
        <v>108.33333333333333</v>
      </c>
      <c r="H28" s="33">
        <f t="shared" si="36"/>
        <v>108.33333333333333</v>
      </c>
      <c r="I28" s="33">
        <f t="shared" si="36"/>
        <v>108.33333333333333</v>
      </c>
      <c r="J28" s="33">
        <f t="shared" si="36"/>
        <v>108.33333333333333</v>
      </c>
      <c r="K28" s="33">
        <f t="shared" si="36"/>
        <v>108.33333333333333</v>
      </c>
      <c r="L28" s="33">
        <f t="shared" si="36"/>
        <v>108.33333333333333</v>
      </c>
      <c r="M28" s="33">
        <f t="shared" si="36"/>
        <v>108.33333333333333</v>
      </c>
      <c r="N28" s="33">
        <f t="shared" si="36"/>
        <v>108.33333333333333</v>
      </c>
      <c r="O28" s="33">
        <f t="shared" si="36"/>
        <v>108.33333333333333</v>
      </c>
      <c r="P28" s="33">
        <f t="shared" si="36"/>
        <v>108.33333333333333</v>
      </c>
      <c r="Q28" s="33">
        <f t="shared" si="36"/>
        <v>108.33333333333333</v>
      </c>
      <c r="R28" s="33">
        <f t="shared" si="36"/>
        <v>108.33333333333333</v>
      </c>
      <c r="S28" s="33">
        <f t="shared" si="36"/>
        <v>108.33333333333333</v>
      </c>
      <c r="T28" s="33">
        <f t="shared" si="36"/>
        <v>108.33333333333333</v>
      </c>
      <c r="U28" s="33">
        <f t="shared" si="36"/>
        <v>108.33333333333333</v>
      </c>
      <c r="V28" s="33">
        <f t="shared" si="36"/>
        <v>108.33333333333333</v>
      </c>
      <c r="W28" s="33">
        <f t="shared" si="36"/>
        <v>108.33333333333333</v>
      </c>
      <c r="X28" s="33">
        <f t="shared" si="36"/>
        <v>108.33333333333333</v>
      </c>
      <c r="Y28" s="33">
        <f t="shared" si="36"/>
        <v>108.33333333333333</v>
      </c>
      <c r="Z28" s="33">
        <f t="shared" si="36"/>
        <v>108.33333333333333</v>
      </c>
      <c r="AA28" s="33">
        <f t="shared" si="36"/>
        <v>108.33333333333333</v>
      </c>
      <c r="AB28" s="33">
        <f t="shared" si="36"/>
        <v>108.33333333333333</v>
      </c>
      <c r="AC28" s="33">
        <f t="shared" si="36"/>
        <v>108.33333333333333</v>
      </c>
      <c r="AD28" s="33">
        <f t="shared" si="36"/>
        <v>108.33333333333333</v>
      </c>
      <c r="AE28" s="33">
        <f t="shared" si="36"/>
        <v>108.33333333333333</v>
      </c>
      <c r="AF28" s="33">
        <f t="shared" si="36"/>
        <v>108.33333333333333</v>
      </c>
      <c r="AG28" s="33">
        <f t="shared" si="36"/>
        <v>108.33333333333333</v>
      </c>
      <c r="AH28" s="33">
        <f t="shared" si="36"/>
        <v>108.33333333333333</v>
      </c>
      <c r="AI28" s="33">
        <f t="shared" si="36"/>
        <v>108.33333333333333</v>
      </c>
      <c r="AJ28" s="33">
        <f t="shared" si="36"/>
        <v>108.33333333333333</v>
      </c>
      <c r="AK28" s="33">
        <f t="shared" si="36"/>
        <v>108.33333333333333</v>
      </c>
      <c r="AL28" s="33">
        <f t="shared" si="36"/>
        <v>108.33333333333333</v>
      </c>
      <c r="AM28" s="33">
        <f t="shared" si="36"/>
        <v>108.33333333333333</v>
      </c>
      <c r="AN28" s="33">
        <f t="shared" si="36"/>
        <v>108.33333333333333</v>
      </c>
      <c r="AO28" s="33">
        <f t="shared" si="36"/>
        <v>108.33333333333333</v>
      </c>
      <c r="AP28" s="33">
        <f t="shared" si="36"/>
        <v>108.33333333333333</v>
      </c>
      <c r="AQ28" s="33">
        <f t="shared" si="36"/>
        <v>108.33333333333333</v>
      </c>
      <c r="AR28" s="33">
        <f t="shared" si="36"/>
        <v>108.33333333333333</v>
      </c>
      <c r="AS28" s="33">
        <f t="shared" si="36"/>
        <v>108.33333333333333</v>
      </c>
      <c r="AT28" s="33">
        <f t="shared" si="36"/>
        <v>108.33333333333333</v>
      </c>
      <c r="AU28" s="33">
        <f t="shared" si="36"/>
        <v>108.33333333333333</v>
      </c>
      <c r="AV28" s="33">
        <f t="shared" si="36"/>
        <v>108.33333333333333</v>
      </c>
      <c r="AW28" s="33">
        <f t="shared" si="36"/>
        <v>108.33333333333333</v>
      </c>
      <c r="AX28" s="33">
        <f t="shared" si="36"/>
        <v>108.33333333333333</v>
      </c>
      <c r="AY28" s="33">
        <f t="shared" si="36"/>
        <v>108.33333333333333</v>
      </c>
      <c r="AZ28" s="33">
        <f t="shared" si="36"/>
        <v>108.33333333333333</v>
      </c>
      <c r="BA28" s="33">
        <f t="shared" si="36"/>
        <v>108.33333333333333</v>
      </c>
      <c r="BB28" s="33">
        <f t="shared" si="36"/>
        <v>108.33333333333333</v>
      </c>
      <c r="BC28" s="33">
        <f t="shared" si="36"/>
        <v>108.33333333333333</v>
      </c>
      <c r="BD28" s="33">
        <f t="shared" si="36"/>
        <v>108.33333333333333</v>
      </c>
      <c r="BE28" s="33">
        <f t="shared" si="36"/>
        <v>108.33333333333333</v>
      </c>
      <c r="BF28" s="33">
        <f t="shared" si="36"/>
        <v>108.33333333333333</v>
      </c>
      <c r="BG28" s="33">
        <f t="shared" si="36"/>
        <v>108.33333333333333</v>
      </c>
      <c r="BH28" s="33">
        <f t="shared" si="36"/>
        <v>108.33333333333333</v>
      </c>
      <c r="BI28" s="33">
        <f t="shared" si="36"/>
        <v>108.33333333333333</v>
      </c>
      <c r="BJ28" s="33">
        <f t="shared" si="36"/>
        <v>108.33333333333333</v>
      </c>
      <c r="BK28" s="33">
        <f t="shared" si="36"/>
        <v>108.33333333333333</v>
      </c>
      <c r="BL28" s="33">
        <f t="shared" si="36"/>
        <v>108.33333333333333</v>
      </c>
      <c r="BM28" s="33">
        <f t="shared" si="36"/>
        <v>108.33333333333333</v>
      </c>
      <c r="BN28" s="33">
        <f t="shared" si="36"/>
        <v>108.33333333333333</v>
      </c>
      <c r="BO28" s="33">
        <f t="shared" ref="BO28:DZ28" si="37">$B$11/12</f>
        <v>108.33333333333333</v>
      </c>
      <c r="BP28" s="33">
        <f t="shared" si="37"/>
        <v>108.33333333333333</v>
      </c>
      <c r="BQ28" s="33">
        <f t="shared" si="37"/>
        <v>108.33333333333333</v>
      </c>
      <c r="BR28" s="33">
        <f t="shared" si="37"/>
        <v>108.33333333333333</v>
      </c>
      <c r="BS28" s="33">
        <f t="shared" si="37"/>
        <v>108.33333333333333</v>
      </c>
      <c r="BT28" s="33">
        <f t="shared" si="37"/>
        <v>108.33333333333333</v>
      </c>
      <c r="BU28" s="33">
        <f t="shared" si="37"/>
        <v>108.33333333333333</v>
      </c>
      <c r="BV28" s="33">
        <f t="shared" si="37"/>
        <v>108.33333333333333</v>
      </c>
      <c r="BW28" s="33">
        <f t="shared" si="37"/>
        <v>108.33333333333333</v>
      </c>
      <c r="BX28" s="33">
        <f t="shared" si="37"/>
        <v>108.33333333333333</v>
      </c>
      <c r="BY28" s="33">
        <f t="shared" si="37"/>
        <v>108.33333333333333</v>
      </c>
      <c r="BZ28" s="33">
        <f t="shared" si="37"/>
        <v>108.33333333333333</v>
      </c>
      <c r="CA28" s="33">
        <f t="shared" si="37"/>
        <v>108.33333333333333</v>
      </c>
      <c r="CB28" s="33">
        <f t="shared" si="37"/>
        <v>108.33333333333333</v>
      </c>
      <c r="CC28" s="33">
        <f t="shared" si="37"/>
        <v>108.33333333333333</v>
      </c>
      <c r="CD28" s="33">
        <f t="shared" si="37"/>
        <v>108.33333333333333</v>
      </c>
      <c r="CE28" s="33">
        <f t="shared" si="37"/>
        <v>108.33333333333333</v>
      </c>
      <c r="CF28" s="33">
        <f t="shared" si="37"/>
        <v>108.33333333333333</v>
      </c>
      <c r="CG28" s="33">
        <f t="shared" si="37"/>
        <v>108.33333333333333</v>
      </c>
      <c r="CH28" s="33">
        <f t="shared" si="37"/>
        <v>108.33333333333333</v>
      </c>
      <c r="CI28" s="33">
        <f t="shared" si="37"/>
        <v>108.33333333333333</v>
      </c>
      <c r="CJ28" s="33">
        <f t="shared" si="37"/>
        <v>108.33333333333333</v>
      </c>
      <c r="CK28" s="33">
        <f t="shared" si="37"/>
        <v>108.33333333333333</v>
      </c>
      <c r="CL28" s="33">
        <f t="shared" si="37"/>
        <v>108.33333333333333</v>
      </c>
      <c r="CM28" s="33">
        <f t="shared" si="37"/>
        <v>108.33333333333333</v>
      </c>
      <c r="CN28" s="33">
        <f t="shared" si="37"/>
        <v>108.33333333333333</v>
      </c>
      <c r="CO28" s="33">
        <f t="shared" si="37"/>
        <v>108.33333333333333</v>
      </c>
      <c r="CP28" s="33">
        <f t="shared" si="37"/>
        <v>108.33333333333333</v>
      </c>
      <c r="CQ28" s="33">
        <f t="shared" si="37"/>
        <v>108.33333333333333</v>
      </c>
      <c r="CR28" s="33">
        <f t="shared" si="37"/>
        <v>108.33333333333333</v>
      </c>
      <c r="CS28" s="33">
        <f t="shared" si="37"/>
        <v>108.33333333333333</v>
      </c>
      <c r="CT28" s="33">
        <f t="shared" si="37"/>
        <v>108.33333333333333</v>
      </c>
      <c r="CU28" s="33">
        <f t="shared" si="37"/>
        <v>108.33333333333333</v>
      </c>
      <c r="CV28" s="33">
        <f t="shared" si="37"/>
        <v>108.33333333333333</v>
      </c>
      <c r="CW28" s="33">
        <f t="shared" si="37"/>
        <v>108.33333333333333</v>
      </c>
      <c r="CX28" s="33">
        <f t="shared" si="37"/>
        <v>108.33333333333333</v>
      </c>
      <c r="CY28" s="33">
        <f t="shared" si="37"/>
        <v>108.33333333333333</v>
      </c>
      <c r="CZ28" s="33">
        <f t="shared" si="37"/>
        <v>108.33333333333333</v>
      </c>
      <c r="DA28" s="33">
        <f t="shared" si="37"/>
        <v>108.33333333333333</v>
      </c>
      <c r="DB28" s="33">
        <f t="shared" si="37"/>
        <v>108.33333333333333</v>
      </c>
      <c r="DC28" s="33">
        <f t="shared" si="37"/>
        <v>108.33333333333333</v>
      </c>
      <c r="DD28" s="33">
        <f t="shared" si="37"/>
        <v>108.33333333333333</v>
      </c>
      <c r="DE28" s="33">
        <f t="shared" si="37"/>
        <v>108.33333333333333</v>
      </c>
      <c r="DF28" s="33">
        <f t="shared" si="37"/>
        <v>108.33333333333333</v>
      </c>
      <c r="DG28" s="33">
        <f t="shared" si="37"/>
        <v>108.33333333333333</v>
      </c>
      <c r="DH28" s="33">
        <f t="shared" si="37"/>
        <v>108.33333333333333</v>
      </c>
      <c r="DI28" s="33">
        <f t="shared" si="37"/>
        <v>108.33333333333333</v>
      </c>
      <c r="DJ28" s="33">
        <f t="shared" si="37"/>
        <v>108.33333333333333</v>
      </c>
      <c r="DK28" s="33">
        <f t="shared" si="37"/>
        <v>108.33333333333333</v>
      </c>
      <c r="DL28" s="33">
        <f t="shared" si="37"/>
        <v>108.33333333333333</v>
      </c>
      <c r="DM28" s="33">
        <f t="shared" si="37"/>
        <v>108.33333333333333</v>
      </c>
      <c r="DN28" s="33">
        <f t="shared" si="37"/>
        <v>108.33333333333333</v>
      </c>
      <c r="DO28" s="33">
        <f t="shared" si="37"/>
        <v>108.33333333333333</v>
      </c>
      <c r="DP28" s="33">
        <f t="shared" si="37"/>
        <v>108.33333333333333</v>
      </c>
      <c r="DQ28" s="33">
        <f t="shared" si="37"/>
        <v>108.33333333333333</v>
      </c>
      <c r="DR28" s="33">
        <f t="shared" si="37"/>
        <v>108.33333333333333</v>
      </c>
      <c r="DS28" s="33">
        <f t="shared" si="37"/>
        <v>108.33333333333333</v>
      </c>
      <c r="DT28" s="33">
        <f t="shared" si="37"/>
        <v>108.33333333333333</v>
      </c>
      <c r="DU28" s="33">
        <f t="shared" si="37"/>
        <v>108.33333333333333</v>
      </c>
      <c r="DV28" s="33">
        <f t="shared" si="37"/>
        <v>108.33333333333333</v>
      </c>
      <c r="DW28" s="33">
        <f t="shared" si="37"/>
        <v>108.33333333333333</v>
      </c>
      <c r="DX28" s="33">
        <f t="shared" si="37"/>
        <v>108.33333333333333</v>
      </c>
      <c r="DY28" s="33">
        <f t="shared" si="37"/>
        <v>108.33333333333333</v>
      </c>
      <c r="DZ28" s="33">
        <f t="shared" si="37"/>
        <v>108.33333333333333</v>
      </c>
      <c r="EA28" s="33">
        <f t="shared" ref="EA28:GL28" si="38">$B$11/12</f>
        <v>108.33333333333333</v>
      </c>
      <c r="EB28" s="33">
        <f t="shared" si="38"/>
        <v>108.33333333333333</v>
      </c>
      <c r="EC28" s="33">
        <f t="shared" si="38"/>
        <v>108.33333333333333</v>
      </c>
      <c r="ED28" s="33">
        <f t="shared" si="38"/>
        <v>108.33333333333333</v>
      </c>
      <c r="EE28" s="33">
        <f t="shared" si="38"/>
        <v>108.33333333333333</v>
      </c>
      <c r="EF28" s="33">
        <f t="shared" si="38"/>
        <v>108.33333333333333</v>
      </c>
      <c r="EG28" s="33">
        <f t="shared" si="38"/>
        <v>108.33333333333333</v>
      </c>
      <c r="EH28" s="33">
        <f t="shared" si="38"/>
        <v>108.33333333333333</v>
      </c>
      <c r="EI28" s="33">
        <f t="shared" si="38"/>
        <v>108.33333333333333</v>
      </c>
      <c r="EJ28" s="33">
        <f t="shared" si="38"/>
        <v>108.33333333333333</v>
      </c>
      <c r="EK28" s="33">
        <f t="shared" si="38"/>
        <v>108.33333333333333</v>
      </c>
      <c r="EL28" s="33">
        <f t="shared" si="38"/>
        <v>108.33333333333333</v>
      </c>
      <c r="EM28" s="33">
        <f t="shared" si="38"/>
        <v>108.33333333333333</v>
      </c>
      <c r="EN28" s="33">
        <f t="shared" si="38"/>
        <v>108.33333333333333</v>
      </c>
      <c r="EO28" s="33">
        <f t="shared" si="38"/>
        <v>108.33333333333333</v>
      </c>
      <c r="EP28" s="33">
        <f t="shared" si="38"/>
        <v>108.33333333333333</v>
      </c>
      <c r="EQ28" s="33">
        <f t="shared" si="38"/>
        <v>108.33333333333333</v>
      </c>
      <c r="ER28" s="33">
        <f t="shared" si="38"/>
        <v>108.33333333333333</v>
      </c>
      <c r="ES28" s="33">
        <f t="shared" si="38"/>
        <v>108.33333333333333</v>
      </c>
      <c r="ET28" s="33">
        <f t="shared" si="38"/>
        <v>108.33333333333333</v>
      </c>
      <c r="EU28" s="33">
        <f t="shared" si="38"/>
        <v>108.33333333333333</v>
      </c>
      <c r="EV28" s="33">
        <f t="shared" si="38"/>
        <v>108.33333333333333</v>
      </c>
      <c r="EW28" s="33">
        <f t="shared" si="38"/>
        <v>108.33333333333333</v>
      </c>
      <c r="EX28" s="33">
        <f t="shared" si="38"/>
        <v>108.33333333333333</v>
      </c>
      <c r="EY28" s="33">
        <f t="shared" si="38"/>
        <v>108.33333333333333</v>
      </c>
      <c r="EZ28" s="33">
        <f t="shared" si="38"/>
        <v>108.33333333333333</v>
      </c>
      <c r="FA28" s="33">
        <f t="shared" si="38"/>
        <v>108.33333333333333</v>
      </c>
      <c r="FB28" s="33">
        <f t="shared" si="38"/>
        <v>108.33333333333333</v>
      </c>
      <c r="FC28" s="33">
        <f t="shared" si="38"/>
        <v>108.33333333333333</v>
      </c>
      <c r="FD28" s="33">
        <f t="shared" si="38"/>
        <v>108.33333333333333</v>
      </c>
      <c r="FE28" s="33">
        <f t="shared" si="38"/>
        <v>108.33333333333333</v>
      </c>
      <c r="FF28" s="33">
        <f t="shared" si="38"/>
        <v>108.33333333333333</v>
      </c>
      <c r="FG28" s="33">
        <f t="shared" si="38"/>
        <v>108.33333333333333</v>
      </c>
      <c r="FH28" s="33">
        <f t="shared" si="38"/>
        <v>108.33333333333333</v>
      </c>
      <c r="FI28" s="33">
        <f t="shared" si="38"/>
        <v>108.33333333333333</v>
      </c>
      <c r="FJ28" s="33">
        <f t="shared" si="38"/>
        <v>108.33333333333333</v>
      </c>
      <c r="FK28" s="33">
        <f t="shared" si="38"/>
        <v>108.33333333333333</v>
      </c>
      <c r="FL28" s="33">
        <f t="shared" si="38"/>
        <v>108.33333333333333</v>
      </c>
      <c r="FM28" s="33">
        <f t="shared" si="38"/>
        <v>108.33333333333333</v>
      </c>
      <c r="FN28" s="33">
        <f t="shared" si="38"/>
        <v>108.33333333333333</v>
      </c>
      <c r="FO28" s="33">
        <f t="shared" si="38"/>
        <v>108.33333333333333</v>
      </c>
      <c r="FP28" s="33">
        <f t="shared" si="38"/>
        <v>108.33333333333333</v>
      </c>
      <c r="FQ28" s="33">
        <f t="shared" si="38"/>
        <v>108.33333333333333</v>
      </c>
      <c r="FR28" s="33">
        <f t="shared" si="38"/>
        <v>108.33333333333333</v>
      </c>
      <c r="FS28" s="33">
        <f t="shared" si="38"/>
        <v>108.33333333333333</v>
      </c>
      <c r="FT28" s="33">
        <f t="shared" si="38"/>
        <v>108.33333333333333</v>
      </c>
      <c r="FU28" s="33">
        <f t="shared" si="38"/>
        <v>108.33333333333333</v>
      </c>
      <c r="FV28" s="33">
        <f t="shared" si="38"/>
        <v>108.33333333333333</v>
      </c>
      <c r="FW28" s="33">
        <f t="shared" si="38"/>
        <v>108.33333333333333</v>
      </c>
      <c r="FX28" s="33">
        <f t="shared" si="38"/>
        <v>108.33333333333333</v>
      </c>
      <c r="FY28" s="33">
        <f t="shared" si="38"/>
        <v>108.33333333333333</v>
      </c>
      <c r="FZ28" s="33">
        <f t="shared" si="38"/>
        <v>108.33333333333333</v>
      </c>
      <c r="GA28" s="33">
        <f t="shared" si="38"/>
        <v>108.33333333333333</v>
      </c>
      <c r="GB28" s="33">
        <f t="shared" si="38"/>
        <v>108.33333333333333</v>
      </c>
      <c r="GC28" s="33">
        <f t="shared" si="38"/>
        <v>108.33333333333333</v>
      </c>
      <c r="GD28" s="33">
        <f t="shared" si="38"/>
        <v>108.33333333333333</v>
      </c>
      <c r="GE28" s="33">
        <f t="shared" si="38"/>
        <v>108.33333333333333</v>
      </c>
      <c r="GF28" s="33">
        <f t="shared" si="38"/>
        <v>108.33333333333333</v>
      </c>
      <c r="GG28" s="33">
        <f t="shared" si="38"/>
        <v>108.33333333333333</v>
      </c>
      <c r="GH28" s="33">
        <f t="shared" si="38"/>
        <v>108.33333333333333</v>
      </c>
      <c r="GI28" s="33">
        <f t="shared" si="38"/>
        <v>108.33333333333333</v>
      </c>
      <c r="GJ28" s="33">
        <f t="shared" si="38"/>
        <v>108.33333333333333</v>
      </c>
      <c r="GK28" s="33">
        <f t="shared" si="38"/>
        <v>108.33333333333333</v>
      </c>
      <c r="GL28" s="33">
        <f t="shared" si="38"/>
        <v>108.33333333333333</v>
      </c>
      <c r="GM28" s="33">
        <f t="shared" ref="GM28:IX28" si="39">$B$11/12</f>
        <v>108.33333333333333</v>
      </c>
      <c r="GN28" s="33">
        <f t="shared" si="39"/>
        <v>108.33333333333333</v>
      </c>
      <c r="GO28" s="33">
        <f t="shared" si="39"/>
        <v>108.33333333333333</v>
      </c>
      <c r="GP28" s="33">
        <f t="shared" si="39"/>
        <v>108.33333333333333</v>
      </c>
      <c r="GQ28" s="33">
        <f t="shared" si="39"/>
        <v>108.33333333333333</v>
      </c>
      <c r="GR28" s="33">
        <f t="shared" si="39"/>
        <v>108.33333333333333</v>
      </c>
      <c r="GS28" s="33">
        <f t="shared" si="39"/>
        <v>108.33333333333333</v>
      </c>
      <c r="GT28" s="33">
        <f t="shared" si="39"/>
        <v>108.33333333333333</v>
      </c>
      <c r="GU28" s="33">
        <f t="shared" si="39"/>
        <v>108.33333333333333</v>
      </c>
      <c r="GV28" s="33">
        <f t="shared" si="39"/>
        <v>108.33333333333333</v>
      </c>
      <c r="GW28" s="33">
        <f t="shared" si="39"/>
        <v>108.33333333333333</v>
      </c>
      <c r="GX28" s="33">
        <f t="shared" si="39"/>
        <v>108.33333333333333</v>
      </c>
      <c r="GY28" s="33">
        <f t="shared" si="39"/>
        <v>108.33333333333333</v>
      </c>
      <c r="GZ28" s="33">
        <f t="shared" si="39"/>
        <v>108.33333333333333</v>
      </c>
      <c r="HA28" s="33">
        <f t="shared" si="39"/>
        <v>108.33333333333333</v>
      </c>
      <c r="HB28" s="33">
        <f t="shared" si="39"/>
        <v>108.33333333333333</v>
      </c>
      <c r="HC28" s="33">
        <f t="shared" si="39"/>
        <v>108.33333333333333</v>
      </c>
      <c r="HD28" s="33">
        <f t="shared" si="39"/>
        <v>108.33333333333333</v>
      </c>
      <c r="HE28" s="33">
        <f t="shared" si="39"/>
        <v>108.33333333333333</v>
      </c>
      <c r="HF28" s="33">
        <f t="shared" si="39"/>
        <v>108.33333333333333</v>
      </c>
      <c r="HG28" s="33">
        <f t="shared" si="39"/>
        <v>108.33333333333333</v>
      </c>
      <c r="HH28" s="33">
        <f t="shared" si="39"/>
        <v>108.33333333333333</v>
      </c>
      <c r="HI28" s="33">
        <f t="shared" si="39"/>
        <v>108.33333333333333</v>
      </c>
      <c r="HJ28" s="33">
        <f t="shared" si="39"/>
        <v>108.33333333333333</v>
      </c>
      <c r="HK28" s="33">
        <f t="shared" si="39"/>
        <v>108.33333333333333</v>
      </c>
      <c r="HL28" s="33">
        <f t="shared" si="39"/>
        <v>108.33333333333333</v>
      </c>
      <c r="HM28" s="33">
        <f t="shared" si="39"/>
        <v>108.33333333333333</v>
      </c>
      <c r="HN28" s="33">
        <f t="shared" si="39"/>
        <v>108.33333333333333</v>
      </c>
      <c r="HO28" s="33">
        <f t="shared" si="39"/>
        <v>108.33333333333333</v>
      </c>
      <c r="HP28" s="33">
        <f t="shared" si="39"/>
        <v>108.33333333333333</v>
      </c>
      <c r="HQ28" s="33">
        <f t="shared" si="39"/>
        <v>108.33333333333333</v>
      </c>
      <c r="HR28" s="33">
        <f t="shared" si="39"/>
        <v>108.33333333333333</v>
      </c>
      <c r="HS28" s="33">
        <f t="shared" si="39"/>
        <v>108.33333333333333</v>
      </c>
      <c r="HT28" s="33">
        <f t="shared" si="39"/>
        <v>108.33333333333333</v>
      </c>
      <c r="HU28" s="33">
        <f t="shared" si="39"/>
        <v>108.33333333333333</v>
      </c>
      <c r="HV28" s="33">
        <f t="shared" si="39"/>
        <v>108.33333333333333</v>
      </c>
      <c r="HW28" s="33">
        <f t="shared" si="39"/>
        <v>108.33333333333333</v>
      </c>
      <c r="HX28" s="33">
        <f t="shared" si="39"/>
        <v>108.33333333333333</v>
      </c>
      <c r="HY28" s="33">
        <f t="shared" si="39"/>
        <v>108.33333333333333</v>
      </c>
      <c r="HZ28" s="33">
        <f t="shared" si="39"/>
        <v>108.33333333333333</v>
      </c>
      <c r="IA28" s="33">
        <f t="shared" si="39"/>
        <v>108.33333333333333</v>
      </c>
      <c r="IB28" s="33">
        <f t="shared" si="39"/>
        <v>108.33333333333333</v>
      </c>
      <c r="IC28" s="33">
        <f t="shared" si="39"/>
        <v>108.33333333333333</v>
      </c>
      <c r="ID28" s="33">
        <f t="shared" si="39"/>
        <v>108.33333333333333</v>
      </c>
      <c r="IE28" s="33">
        <f t="shared" si="39"/>
        <v>108.33333333333333</v>
      </c>
      <c r="IF28" s="33">
        <f t="shared" si="39"/>
        <v>108.33333333333333</v>
      </c>
      <c r="IG28" s="33">
        <f t="shared" si="39"/>
        <v>108.33333333333333</v>
      </c>
      <c r="IH28" s="33">
        <f t="shared" si="39"/>
        <v>108.33333333333333</v>
      </c>
      <c r="II28" s="33">
        <f t="shared" si="39"/>
        <v>108.33333333333333</v>
      </c>
      <c r="IJ28" s="33">
        <f t="shared" si="39"/>
        <v>108.33333333333333</v>
      </c>
      <c r="IK28" s="33">
        <f t="shared" si="39"/>
        <v>108.33333333333333</v>
      </c>
      <c r="IL28" s="33">
        <f t="shared" si="39"/>
        <v>108.33333333333333</v>
      </c>
      <c r="IM28" s="33">
        <f t="shared" si="39"/>
        <v>108.33333333333333</v>
      </c>
      <c r="IN28" s="33">
        <f t="shared" si="39"/>
        <v>108.33333333333333</v>
      </c>
      <c r="IO28" s="33">
        <f t="shared" si="39"/>
        <v>108.33333333333333</v>
      </c>
      <c r="IP28" s="33">
        <f t="shared" si="39"/>
        <v>108.33333333333333</v>
      </c>
      <c r="IQ28" s="33">
        <f t="shared" si="39"/>
        <v>108.33333333333333</v>
      </c>
      <c r="IR28" s="33">
        <f t="shared" si="39"/>
        <v>108.33333333333333</v>
      </c>
      <c r="IS28" s="33">
        <f t="shared" si="39"/>
        <v>108.33333333333333</v>
      </c>
      <c r="IT28" s="33">
        <f t="shared" si="39"/>
        <v>108.33333333333333</v>
      </c>
      <c r="IU28" s="33">
        <f t="shared" si="39"/>
        <v>108.33333333333333</v>
      </c>
      <c r="IV28" s="33">
        <f t="shared" si="39"/>
        <v>108.33333333333333</v>
      </c>
      <c r="IW28" s="33">
        <f t="shared" si="39"/>
        <v>108.33333333333333</v>
      </c>
      <c r="IX28" s="33">
        <f t="shared" si="39"/>
        <v>108.33333333333333</v>
      </c>
      <c r="IY28" s="33">
        <f t="shared" ref="IY28:LJ28" si="40">$B$11/12</f>
        <v>108.33333333333333</v>
      </c>
      <c r="IZ28" s="33">
        <f t="shared" si="40"/>
        <v>108.33333333333333</v>
      </c>
      <c r="JA28" s="33">
        <f t="shared" si="40"/>
        <v>108.33333333333333</v>
      </c>
      <c r="JB28" s="33">
        <f t="shared" si="40"/>
        <v>108.33333333333333</v>
      </c>
      <c r="JC28" s="33">
        <f t="shared" si="40"/>
        <v>108.33333333333333</v>
      </c>
      <c r="JD28" s="33">
        <f t="shared" si="40"/>
        <v>108.33333333333333</v>
      </c>
      <c r="JE28" s="33">
        <f t="shared" si="40"/>
        <v>108.33333333333333</v>
      </c>
      <c r="JF28" s="33">
        <f t="shared" si="40"/>
        <v>108.33333333333333</v>
      </c>
      <c r="JG28" s="33">
        <f t="shared" si="40"/>
        <v>108.33333333333333</v>
      </c>
      <c r="JH28" s="33">
        <f t="shared" si="40"/>
        <v>108.33333333333333</v>
      </c>
      <c r="JI28" s="33">
        <f t="shared" si="40"/>
        <v>108.33333333333333</v>
      </c>
      <c r="JJ28" s="33">
        <f t="shared" si="40"/>
        <v>108.33333333333333</v>
      </c>
      <c r="JK28" s="33">
        <f t="shared" si="40"/>
        <v>108.33333333333333</v>
      </c>
      <c r="JL28" s="33">
        <f t="shared" si="40"/>
        <v>108.33333333333333</v>
      </c>
      <c r="JM28" s="33">
        <f t="shared" si="40"/>
        <v>108.33333333333333</v>
      </c>
      <c r="JN28" s="33">
        <f t="shared" si="40"/>
        <v>108.33333333333333</v>
      </c>
      <c r="JO28" s="33">
        <f t="shared" si="40"/>
        <v>108.33333333333333</v>
      </c>
      <c r="JP28" s="33">
        <f t="shared" si="40"/>
        <v>108.33333333333333</v>
      </c>
      <c r="JQ28" s="33">
        <f t="shared" si="40"/>
        <v>108.33333333333333</v>
      </c>
      <c r="JR28" s="33">
        <f t="shared" si="40"/>
        <v>108.33333333333333</v>
      </c>
      <c r="JS28" s="33">
        <f t="shared" si="40"/>
        <v>108.33333333333333</v>
      </c>
      <c r="JT28" s="33">
        <f t="shared" si="40"/>
        <v>108.33333333333333</v>
      </c>
      <c r="JU28" s="33">
        <f t="shared" si="40"/>
        <v>108.33333333333333</v>
      </c>
      <c r="JV28" s="33">
        <f t="shared" si="40"/>
        <v>108.33333333333333</v>
      </c>
      <c r="JW28" s="33">
        <f t="shared" si="40"/>
        <v>108.33333333333333</v>
      </c>
      <c r="JX28" s="33">
        <f t="shared" si="40"/>
        <v>108.33333333333333</v>
      </c>
      <c r="JY28" s="33">
        <f t="shared" si="40"/>
        <v>108.33333333333333</v>
      </c>
      <c r="JZ28" s="33">
        <f t="shared" si="40"/>
        <v>108.33333333333333</v>
      </c>
      <c r="KA28" s="33">
        <f t="shared" si="40"/>
        <v>108.33333333333333</v>
      </c>
      <c r="KB28" s="33">
        <f t="shared" si="40"/>
        <v>108.33333333333333</v>
      </c>
      <c r="KC28" s="33">
        <f t="shared" si="40"/>
        <v>108.33333333333333</v>
      </c>
      <c r="KD28" s="33">
        <f t="shared" si="40"/>
        <v>108.33333333333333</v>
      </c>
      <c r="KE28" s="33">
        <f t="shared" si="40"/>
        <v>108.33333333333333</v>
      </c>
      <c r="KF28" s="33">
        <f t="shared" si="40"/>
        <v>108.33333333333333</v>
      </c>
      <c r="KG28" s="33">
        <f t="shared" si="40"/>
        <v>108.33333333333333</v>
      </c>
      <c r="KH28" s="33">
        <f t="shared" si="40"/>
        <v>108.33333333333333</v>
      </c>
      <c r="KI28" s="33">
        <f t="shared" si="40"/>
        <v>108.33333333333333</v>
      </c>
      <c r="KJ28" s="33">
        <f t="shared" si="40"/>
        <v>108.33333333333333</v>
      </c>
      <c r="KK28" s="33">
        <f t="shared" si="40"/>
        <v>108.33333333333333</v>
      </c>
      <c r="KL28" s="33">
        <f t="shared" si="40"/>
        <v>108.33333333333333</v>
      </c>
      <c r="KM28" s="33">
        <f t="shared" si="40"/>
        <v>108.33333333333333</v>
      </c>
      <c r="KN28" s="33">
        <f t="shared" si="40"/>
        <v>108.33333333333333</v>
      </c>
      <c r="KO28" s="33">
        <f t="shared" si="40"/>
        <v>108.33333333333333</v>
      </c>
      <c r="KP28" s="33">
        <f t="shared" si="40"/>
        <v>108.33333333333333</v>
      </c>
      <c r="KQ28" s="33">
        <f t="shared" si="40"/>
        <v>108.33333333333333</v>
      </c>
      <c r="KR28" s="33">
        <f t="shared" si="40"/>
        <v>108.33333333333333</v>
      </c>
      <c r="KS28" s="33">
        <f t="shared" si="40"/>
        <v>108.33333333333333</v>
      </c>
      <c r="KT28" s="33">
        <f t="shared" si="40"/>
        <v>108.33333333333333</v>
      </c>
      <c r="KU28" s="33">
        <f t="shared" si="40"/>
        <v>108.33333333333333</v>
      </c>
      <c r="KV28" s="33">
        <f t="shared" si="40"/>
        <v>108.33333333333333</v>
      </c>
      <c r="KW28" s="33">
        <f t="shared" si="40"/>
        <v>108.33333333333333</v>
      </c>
      <c r="KX28" s="33">
        <f t="shared" si="40"/>
        <v>108.33333333333333</v>
      </c>
      <c r="KY28" s="33">
        <f t="shared" si="40"/>
        <v>108.33333333333333</v>
      </c>
      <c r="KZ28" s="33">
        <f t="shared" si="40"/>
        <v>108.33333333333333</v>
      </c>
      <c r="LA28" s="33">
        <f t="shared" si="40"/>
        <v>108.33333333333333</v>
      </c>
      <c r="LB28" s="33">
        <f t="shared" si="40"/>
        <v>108.33333333333333</v>
      </c>
      <c r="LC28" s="33">
        <f t="shared" si="40"/>
        <v>108.33333333333333</v>
      </c>
      <c r="LD28" s="33">
        <f t="shared" si="40"/>
        <v>108.33333333333333</v>
      </c>
      <c r="LE28" s="33">
        <f t="shared" si="40"/>
        <v>108.33333333333333</v>
      </c>
      <c r="LF28" s="33">
        <f t="shared" si="40"/>
        <v>108.33333333333333</v>
      </c>
      <c r="LG28" s="33">
        <f t="shared" si="40"/>
        <v>108.33333333333333</v>
      </c>
      <c r="LH28" s="33">
        <f t="shared" si="40"/>
        <v>108.33333333333333</v>
      </c>
      <c r="LI28" s="33">
        <f t="shared" si="40"/>
        <v>108.33333333333333</v>
      </c>
      <c r="LJ28" s="33">
        <f t="shared" si="40"/>
        <v>108.33333333333333</v>
      </c>
      <c r="LK28" s="33">
        <f t="shared" ref="LK28:MX28" si="41">$B$11/12</f>
        <v>108.33333333333333</v>
      </c>
      <c r="LL28" s="33">
        <f t="shared" si="41"/>
        <v>108.33333333333333</v>
      </c>
      <c r="LM28" s="33">
        <f t="shared" si="41"/>
        <v>108.33333333333333</v>
      </c>
      <c r="LN28" s="33">
        <f t="shared" si="41"/>
        <v>108.33333333333333</v>
      </c>
      <c r="LO28" s="33">
        <f t="shared" si="41"/>
        <v>108.33333333333333</v>
      </c>
      <c r="LP28" s="33">
        <f t="shared" si="41"/>
        <v>108.33333333333333</v>
      </c>
      <c r="LQ28" s="33">
        <f t="shared" si="41"/>
        <v>108.33333333333333</v>
      </c>
      <c r="LR28" s="33">
        <f t="shared" si="41"/>
        <v>108.33333333333333</v>
      </c>
      <c r="LS28" s="33">
        <f t="shared" si="41"/>
        <v>108.33333333333333</v>
      </c>
      <c r="LT28" s="33">
        <f t="shared" si="41"/>
        <v>108.33333333333333</v>
      </c>
      <c r="LU28" s="33">
        <f t="shared" si="41"/>
        <v>108.33333333333333</v>
      </c>
      <c r="LV28" s="33">
        <f t="shared" si="41"/>
        <v>108.33333333333333</v>
      </c>
      <c r="LW28" s="33">
        <f t="shared" si="41"/>
        <v>108.33333333333333</v>
      </c>
      <c r="LX28" s="33">
        <f t="shared" si="41"/>
        <v>108.33333333333333</v>
      </c>
      <c r="LY28" s="33">
        <f t="shared" si="41"/>
        <v>108.33333333333333</v>
      </c>
      <c r="LZ28" s="33">
        <f t="shared" si="41"/>
        <v>108.33333333333333</v>
      </c>
      <c r="MA28" s="33">
        <f t="shared" si="41"/>
        <v>108.33333333333333</v>
      </c>
      <c r="MB28" s="33">
        <f t="shared" si="41"/>
        <v>108.33333333333333</v>
      </c>
      <c r="MC28" s="33">
        <f t="shared" si="41"/>
        <v>108.33333333333333</v>
      </c>
      <c r="MD28" s="33">
        <f t="shared" si="41"/>
        <v>108.33333333333333</v>
      </c>
      <c r="ME28" s="33">
        <f t="shared" si="41"/>
        <v>108.33333333333333</v>
      </c>
      <c r="MF28" s="33">
        <f t="shared" si="41"/>
        <v>108.33333333333333</v>
      </c>
      <c r="MG28" s="33">
        <f t="shared" si="41"/>
        <v>108.33333333333333</v>
      </c>
      <c r="MH28" s="33">
        <f t="shared" si="41"/>
        <v>108.33333333333333</v>
      </c>
      <c r="MI28" s="33">
        <f t="shared" si="41"/>
        <v>108.33333333333333</v>
      </c>
      <c r="MJ28" s="33">
        <f t="shared" si="41"/>
        <v>108.33333333333333</v>
      </c>
      <c r="MK28" s="33">
        <f t="shared" si="41"/>
        <v>108.33333333333333</v>
      </c>
      <c r="ML28" s="33">
        <f t="shared" si="41"/>
        <v>108.33333333333333</v>
      </c>
      <c r="MM28" s="33">
        <f t="shared" si="41"/>
        <v>108.33333333333333</v>
      </c>
      <c r="MN28" s="33">
        <f t="shared" si="41"/>
        <v>108.33333333333333</v>
      </c>
      <c r="MO28" s="33">
        <f t="shared" si="41"/>
        <v>108.33333333333333</v>
      </c>
      <c r="MP28" s="33">
        <f t="shared" si="41"/>
        <v>108.33333333333333</v>
      </c>
      <c r="MQ28" s="33">
        <f t="shared" si="41"/>
        <v>108.33333333333333</v>
      </c>
      <c r="MR28" s="33">
        <f t="shared" si="41"/>
        <v>108.33333333333333</v>
      </c>
      <c r="MS28" s="33">
        <f t="shared" si="41"/>
        <v>108.33333333333333</v>
      </c>
      <c r="MT28" s="33">
        <f t="shared" si="41"/>
        <v>108.33333333333333</v>
      </c>
      <c r="MU28" s="33">
        <f t="shared" si="41"/>
        <v>108.33333333333333</v>
      </c>
      <c r="MV28" s="33">
        <f t="shared" si="41"/>
        <v>108.33333333333333</v>
      </c>
      <c r="MW28" s="33">
        <f t="shared" si="41"/>
        <v>108.33333333333333</v>
      </c>
      <c r="MX28" s="55">
        <f t="shared" si="41"/>
        <v>108.33333333333333</v>
      </c>
      <c r="MY28" s="1"/>
      <c r="MZ28" s="1"/>
      <c r="NA28" s="1"/>
      <c r="NB28" s="1"/>
      <c r="NC28" s="1"/>
      <c r="ND28" s="1"/>
      <c r="NE28" s="1"/>
      <c r="NF28" s="1"/>
      <c r="NG28" s="1"/>
      <c r="NH28" s="13">
        <v>0.13500000000000001</v>
      </c>
      <c r="NI28" s="1">
        <f>Combine!A30</f>
        <v>48227</v>
      </c>
      <c r="NJ28" s="14">
        <f>Combine!F30</f>
        <v>53426.7195732619</v>
      </c>
    </row>
    <row r="29" spans="1:374" ht="12.75" customHeight="1" x14ac:dyDescent="0.3">
      <c r="A29" s="31" t="s">
        <v>870</v>
      </c>
      <c r="B29" s="32"/>
      <c r="C29" s="33">
        <f t="shared" ref="C29:BN29" si="42">$B$10/12</f>
        <v>379.36337046960506</v>
      </c>
      <c r="D29" s="33">
        <f t="shared" si="42"/>
        <v>379.36337046960506</v>
      </c>
      <c r="E29" s="33">
        <f t="shared" si="42"/>
        <v>379.36337046960506</v>
      </c>
      <c r="F29" s="33">
        <f t="shared" si="42"/>
        <v>379.36337046960506</v>
      </c>
      <c r="G29" s="33">
        <f t="shared" si="42"/>
        <v>379.36337046960506</v>
      </c>
      <c r="H29" s="33">
        <f t="shared" si="42"/>
        <v>379.36337046960506</v>
      </c>
      <c r="I29" s="33">
        <f t="shared" si="42"/>
        <v>379.36337046960506</v>
      </c>
      <c r="J29" s="33">
        <f t="shared" si="42"/>
        <v>379.36337046960506</v>
      </c>
      <c r="K29" s="33">
        <f t="shared" si="42"/>
        <v>379.36337046960506</v>
      </c>
      <c r="L29" s="33">
        <f t="shared" si="42"/>
        <v>379.36337046960506</v>
      </c>
      <c r="M29" s="33">
        <f t="shared" si="42"/>
        <v>379.36337046960506</v>
      </c>
      <c r="N29" s="33">
        <f t="shared" si="42"/>
        <v>379.36337046960506</v>
      </c>
      <c r="O29" s="33">
        <f t="shared" si="42"/>
        <v>379.36337046960506</v>
      </c>
      <c r="P29" s="33">
        <f t="shared" si="42"/>
        <v>379.36337046960506</v>
      </c>
      <c r="Q29" s="33">
        <f t="shared" si="42"/>
        <v>379.36337046960506</v>
      </c>
      <c r="R29" s="33">
        <f t="shared" si="42"/>
        <v>379.36337046960506</v>
      </c>
      <c r="S29" s="33">
        <f t="shared" si="42"/>
        <v>379.36337046960506</v>
      </c>
      <c r="T29" s="33">
        <f t="shared" si="42"/>
        <v>379.36337046960506</v>
      </c>
      <c r="U29" s="33">
        <f t="shared" si="42"/>
        <v>379.36337046960506</v>
      </c>
      <c r="V29" s="33">
        <f t="shared" si="42"/>
        <v>379.36337046960506</v>
      </c>
      <c r="W29" s="33">
        <f t="shared" si="42"/>
        <v>379.36337046960506</v>
      </c>
      <c r="X29" s="33">
        <f t="shared" si="42"/>
        <v>379.36337046960506</v>
      </c>
      <c r="Y29" s="33">
        <f t="shared" si="42"/>
        <v>379.36337046960506</v>
      </c>
      <c r="Z29" s="33">
        <f t="shared" si="42"/>
        <v>379.36337046960506</v>
      </c>
      <c r="AA29" s="33">
        <f t="shared" si="42"/>
        <v>379.36337046960506</v>
      </c>
      <c r="AB29" s="33">
        <f t="shared" si="42"/>
        <v>379.36337046960506</v>
      </c>
      <c r="AC29" s="33">
        <f t="shared" si="42"/>
        <v>379.36337046960506</v>
      </c>
      <c r="AD29" s="33">
        <f t="shared" si="42"/>
        <v>379.36337046960506</v>
      </c>
      <c r="AE29" s="33">
        <f t="shared" si="42"/>
        <v>379.36337046960506</v>
      </c>
      <c r="AF29" s="33">
        <f t="shared" si="42"/>
        <v>379.36337046960506</v>
      </c>
      <c r="AG29" s="33">
        <f t="shared" si="42"/>
        <v>379.36337046960506</v>
      </c>
      <c r="AH29" s="33">
        <f t="shared" si="42"/>
        <v>379.36337046960506</v>
      </c>
      <c r="AI29" s="33">
        <f t="shared" si="42"/>
        <v>379.36337046960506</v>
      </c>
      <c r="AJ29" s="33">
        <f t="shared" si="42"/>
        <v>379.36337046960506</v>
      </c>
      <c r="AK29" s="33">
        <f t="shared" si="42"/>
        <v>379.36337046960506</v>
      </c>
      <c r="AL29" s="33">
        <f t="shared" si="42"/>
        <v>379.36337046960506</v>
      </c>
      <c r="AM29" s="33">
        <f t="shared" si="42"/>
        <v>379.36337046960506</v>
      </c>
      <c r="AN29" s="33">
        <f t="shared" si="42"/>
        <v>379.36337046960506</v>
      </c>
      <c r="AO29" s="33">
        <f t="shared" si="42"/>
        <v>379.36337046960506</v>
      </c>
      <c r="AP29" s="33">
        <f t="shared" si="42"/>
        <v>379.36337046960506</v>
      </c>
      <c r="AQ29" s="33">
        <f t="shared" si="42"/>
        <v>379.36337046960506</v>
      </c>
      <c r="AR29" s="33">
        <f t="shared" si="42"/>
        <v>379.36337046960506</v>
      </c>
      <c r="AS29" s="33">
        <f t="shared" si="42"/>
        <v>379.36337046960506</v>
      </c>
      <c r="AT29" s="33">
        <f t="shared" si="42"/>
        <v>379.36337046960506</v>
      </c>
      <c r="AU29" s="33">
        <f t="shared" si="42"/>
        <v>379.36337046960506</v>
      </c>
      <c r="AV29" s="33">
        <f t="shared" si="42"/>
        <v>379.36337046960506</v>
      </c>
      <c r="AW29" s="33">
        <f t="shared" si="42"/>
        <v>379.36337046960506</v>
      </c>
      <c r="AX29" s="33">
        <f t="shared" si="42"/>
        <v>379.36337046960506</v>
      </c>
      <c r="AY29" s="33">
        <f t="shared" si="42"/>
        <v>379.36337046960506</v>
      </c>
      <c r="AZ29" s="33">
        <f t="shared" si="42"/>
        <v>379.36337046960506</v>
      </c>
      <c r="BA29" s="33">
        <f t="shared" si="42"/>
        <v>379.36337046960506</v>
      </c>
      <c r="BB29" s="33">
        <f t="shared" si="42"/>
        <v>379.36337046960506</v>
      </c>
      <c r="BC29" s="33">
        <f t="shared" si="42"/>
        <v>379.36337046960506</v>
      </c>
      <c r="BD29" s="33">
        <f t="shared" si="42"/>
        <v>379.36337046960506</v>
      </c>
      <c r="BE29" s="33">
        <f t="shared" si="42"/>
        <v>379.36337046960506</v>
      </c>
      <c r="BF29" s="33">
        <f t="shared" si="42"/>
        <v>379.36337046960506</v>
      </c>
      <c r="BG29" s="33">
        <f t="shared" si="42"/>
        <v>379.36337046960506</v>
      </c>
      <c r="BH29" s="33">
        <f t="shared" si="42"/>
        <v>379.36337046960506</v>
      </c>
      <c r="BI29" s="33">
        <f t="shared" si="42"/>
        <v>379.36337046960506</v>
      </c>
      <c r="BJ29" s="33">
        <f t="shared" si="42"/>
        <v>379.36337046960506</v>
      </c>
      <c r="BK29" s="33">
        <f t="shared" si="42"/>
        <v>379.36337046960506</v>
      </c>
      <c r="BL29" s="33">
        <f t="shared" si="42"/>
        <v>379.36337046960506</v>
      </c>
      <c r="BM29" s="33">
        <f t="shared" si="42"/>
        <v>379.36337046960506</v>
      </c>
      <c r="BN29" s="33">
        <f t="shared" si="42"/>
        <v>379.36337046960506</v>
      </c>
      <c r="BO29" s="33">
        <f t="shared" ref="BO29:DZ29" si="43">$B$10/12</f>
        <v>379.36337046960506</v>
      </c>
      <c r="BP29" s="33">
        <f t="shared" si="43"/>
        <v>379.36337046960506</v>
      </c>
      <c r="BQ29" s="33">
        <f t="shared" si="43"/>
        <v>379.36337046960506</v>
      </c>
      <c r="BR29" s="33">
        <f t="shared" si="43"/>
        <v>379.36337046960506</v>
      </c>
      <c r="BS29" s="33">
        <f t="shared" si="43"/>
        <v>379.36337046960506</v>
      </c>
      <c r="BT29" s="33">
        <f t="shared" si="43"/>
        <v>379.36337046960506</v>
      </c>
      <c r="BU29" s="33">
        <f t="shared" si="43"/>
        <v>379.36337046960506</v>
      </c>
      <c r="BV29" s="33">
        <f t="shared" si="43"/>
        <v>379.36337046960506</v>
      </c>
      <c r="BW29" s="33">
        <f t="shared" si="43"/>
        <v>379.36337046960506</v>
      </c>
      <c r="BX29" s="33">
        <f t="shared" si="43"/>
        <v>379.36337046960506</v>
      </c>
      <c r="BY29" s="33">
        <f t="shared" si="43"/>
        <v>379.36337046960506</v>
      </c>
      <c r="BZ29" s="33">
        <f t="shared" si="43"/>
        <v>379.36337046960506</v>
      </c>
      <c r="CA29" s="33">
        <f t="shared" si="43"/>
        <v>379.36337046960506</v>
      </c>
      <c r="CB29" s="33">
        <f t="shared" si="43"/>
        <v>379.36337046960506</v>
      </c>
      <c r="CC29" s="33">
        <f t="shared" si="43"/>
        <v>379.36337046960506</v>
      </c>
      <c r="CD29" s="33">
        <f t="shared" si="43"/>
        <v>379.36337046960506</v>
      </c>
      <c r="CE29" s="33">
        <f t="shared" si="43"/>
        <v>379.36337046960506</v>
      </c>
      <c r="CF29" s="33">
        <f t="shared" si="43"/>
        <v>379.36337046960506</v>
      </c>
      <c r="CG29" s="33">
        <f t="shared" si="43"/>
        <v>379.36337046960506</v>
      </c>
      <c r="CH29" s="33">
        <f t="shared" si="43"/>
        <v>379.36337046960506</v>
      </c>
      <c r="CI29" s="33">
        <f t="shared" si="43"/>
        <v>379.36337046960506</v>
      </c>
      <c r="CJ29" s="33">
        <f t="shared" si="43"/>
        <v>379.36337046960506</v>
      </c>
      <c r="CK29" s="33">
        <f t="shared" si="43"/>
        <v>379.36337046960506</v>
      </c>
      <c r="CL29" s="33">
        <f t="shared" si="43"/>
        <v>379.36337046960506</v>
      </c>
      <c r="CM29" s="33">
        <f t="shared" si="43"/>
        <v>379.36337046960506</v>
      </c>
      <c r="CN29" s="33">
        <f t="shared" si="43"/>
        <v>379.36337046960506</v>
      </c>
      <c r="CO29" s="33">
        <f t="shared" si="43"/>
        <v>379.36337046960506</v>
      </c>
      <c r="CP29" s="33">
        <f t="shared" si="43"/>
        <v>379.36337046960506</v>
      </c>
      <c r="CQ29" s="33">
        <f t="shared" si="43"/>
        <v>379.36337046960506</v>
      </c>
      <c r="CR29" s="33">
        <f t="shared" si="43"/>
        <v>379.36337046960506</v>
      </c>
      <c r="CS29" s="33">
        <f t="shared" si="43"/>
        <v>379.36337046960506</v>
      </c>
      <c r="CT29" s="33">
        <f t="shared" si="43"/>
        <v>379.36337046960506</v>
      </c>
      <c r="CU29" s="33">
        <f t="shared" si="43"/>
        <v>379.36337046960506</v>
      </c>
      <c r="CV29" s="33">
        <f t="shared" si="43"/>
        <v>379.36337046960506</v>
      </c>
      <c r="CW29" s="33">
        <f t="shared" si="43"/>
        <v>379.36337046960506</v>
      </c>
      <c r="CX29" s="33">
        <f t="shared" si="43"/>
        <v>379.36337046960506</v>
      </c>
      <c r="CY29" s="33">
        <f t="shared" si="43"/>
        <v>379.36337046960506</v>
      </c>
      <c r="CZ29" s="33">
        <f t="shared" si="43"/>
        <v>379.36337046960506</v>
      </c>
      <c r="DA29" s="33">
        <f t="shared" si="43"/>
        <v>379.36337046960506</v>
      </c>
      <c r="DB29" s="33">
        <f t="shared" si="43"/>
        <v>379.36337046960506</v>
      </c>
      <c r="DC29" s="33">
        <f t="shared" si="43"/>
        <v>379.36337046960506</v>
      </c>
      <c r="DD29" s="33">
        <f t="shared" si="43"/>
        <v>379.36337046960506</v>
      </c>
      <c r="DE29" s="33">
        <f t="shared" si="43"/>
        <v>379.36337046960506</v>
      </c>
      <c r="DF29" s="33">
        <f t="shared" si="43"/>
        <v>379.36337046960506</v>
      </c>
      <c r="DG29" s="33">
        <f t="shared" si="43"/>
        <v>379.36337046960506</v>
      </c>
      <c r="DH29" s="33">
        <f t="shared" si="43"/>
        <v>379.36337046960506</v>
      </c>
      <c r="DI29" s="33">
        <f t="shared" si="43"/>
        <v>379.36337046960506</v>
      </c>
      <c r="DJ29" s="33">
        <f t="shared" si="43"/>
        <v>379.36337046960506</v>
      </c>
      <c r="DK29" s="33">
        <f t="shared" si="43"/>
        <v>379.36337046960506</v>
      </c>
      <c r="DL29" s="33">
        <f t="shared" si="43"/>
        <v>379.36337046960506</v>
      </c>
      <c r="DM29" s="33">
        <f t="shared" si="43"/>
        <v>379.36337046960506</v>
      </c>
      <c r="DN29" s="33">
        <f t="shared" si="43"/>
        <v>379.36337046960506</v>
      </c>
      <c r="DO29" s="33">
        <f t="shared" si="43"/>
        <v>379.36337046960506</v>
      </c>
      <c r="DP29" s="33">
        <f t="shared" si="43"/>
        <v>379.36337046960506</v>
      </c>
      <c r="DQ29" s="33">
        <f t="shared" si="43"/>
        <v>379.36337046960506</v>
      </c>
      <c r="DR29" s="33">
        <f t="shared" si="43"/>
        <v>379.36337046960506</v>
      </c>
      <c r="DS29" s="33">
        <f t="shared" si="43"/>
        <v>379.36337046960506</v>
      </c>
      <c r="DT29" s="33">
        <f t="shared" si="43"/>
        <v>379.36337046960506</v>
      </c>
      <c r="DU29" s="33">
        <f t="shared" si="43"/>
        <v>379.36337046960506</v>
      </c>
      <c r="DV29" s="33">
        <f t="shared" si="43"/>
        <v>379.36337046960506</v>
      </c>
      <c r="DW29" s="33">
        <f t="shared" si="43"/>
        <v>379.36337046960506</v>
      </c>
      <c r="DX29" s="33">
        <f t="shared" si="43"/>
        <v>379.36337046960506</v>
      </c>
      <c r="DY29" s="33">
        <f t="shared" si="43"/>
        <v>379.36337046960506</v>
      </c>
      <c r="DZ29" s="33">
        <f t="shared" si="43"/>
        <v>379.36337046960506</v>
      </c>
      <c r="EA29" s="33">
        <f t="shared" ref="EA29:GL29" si="44">$B$10/12</f>
        <v>379.36337046960506</v>
      </c>
      <c r="EB29" s="33">
        <f t="shared" si="44"/>
        <v>379.36337046960506</v>
      </c>
      <c r="EC29" s="33">
        <f t="shared" si="44"/>
        <v>379.36337046960506</v>
      </c>
      <c r="ED29" s="33">
        <f t="shared" si="44"/>
        <v>379.36337046960506</v>
      </c>
      <c r="EE29" s="33">
        <f t="shared" si="44"/>
        <v>379.36337046960506</v>
      </c>
      <c r="EF29" s="33">
        <f t="shared" si="44"/>
        <v>379.36337046960506</v>
      </c>
      <c r="EG29" s="33">
        <f t="shared" si="44"/>
        <v>379.36337046960506</v>
      </c>
      <c r="EH29" s="33">
        <f t="shared" si="44"/>
        <v>379.36337046960506</v>
      </c>
      <c r="EI29" s="33">
        <f t="shared" si="44"/>
        <v>379.36337046960506</v>
      </c>
      <c r="EJ29" s="33">
        <f t="shared" si="44"/>
        <v>379.36337046960506</v>
      </c>
      <c r="EK29" s="33">
        <f t="shared" si="44"/>
        <v>379.36337046960506</v>
      </c>
      <c r="EL29" s="33">
        <f t="shared" si="44"/>
        <v>379.36337046960506</v>
      </c>
      <c r="EM29" s="33">
        <f t="shared" si="44"/>
        <v>379.36337046960506</v>
      </c>
      <c r="EN29" s="33">
        <f t="shared" si="44"/>
        <v>379.36337046960506</v>
      </c>
      <c r="EO29" s="33">
        <f t="shared" si="44"/>
        <v>379.36337046960506</v>
      </c>
      <c r="EP29" s="33">
        <f t="shared" si="44"/>
        <v>379.36337046960506</v>
      </c>
      <c r="EQ29" s="33">
        <f t="shared" si="44"/>
        <v>379.36337046960506</v>
      </c>
      <c r="ER29" s="33">
        <f t="shared" si="44"/>
        <v>379.36337046960506</v>
      </c>
      <c r="ES29" s="33">
        <f t="shared" si="44"/>
        <v>379.36337046960506</v>
      </c>
      <c r="ET29" s="33">
        <f t="shared" si="44"/>
        <v>379.36337046960506</v>
      </c>
      <c r="EU29" s="33">
        <f t="shared" si="44"/>
        <v>379.36337046960506</v>
      </c>
      <c r="EV29" s="33">
        <f t="shared" si="44"/>
        <v>379.36337046960506</v>
      </c>
      <c r="EW29" s="33">
        <f t="shared" si="44"/>
        <v>379.36337046960506</v>
      </c>
      <c r="EX29" s="33">
        <f t="shared" si="44"/>
        <v>379.36337046960506</v>
      </c>
      <c r="EY29" s="33">
        <f t="shared" si="44"/>
        <v>379.36337046960506</v>
      </c>
      <c r="EZ29" s="33">
        <f t="shared" si="44"/>
        <v>379.36337046960506</v>
      </c>
      <c r="FA29" s="33">
        <f t="shared" si="44"/>
        <v>379.36337046960506</v>
      </c>
      <c r="FB29" s="33">
        <f t="shared" si="44"/>
        <v>379.36337046960506</v>
      </c>
      <c r="FC29" s="33">
        <f t="shared" si="44"/>
        <v>379.36337046960506</v>
      </c>
      <c r="FD29" s="33">
        <f t="shared" si="44"/>
        <v>379.36337046960506</v>
      </c>
      <c r="FE29" s="33">
        <f t="shared" si="44"/>
        <v>379.36337046960506</v>
      </c>
      <c r="FF29" s="33">
        <f t="shared" si="44"/>
        <v>379.36337046960506</v>
      </c>
      <c r="FG29" s="33">
        <f t="shared" si="44"/>
        <v>379.36337046960506</v>
      </c>
      <c r="FH29" s="33">
        <f t="shared" si="44"/>
        <v>379.36337046960506</v>
      </c>
      <c r="FI29" s="33">
        <f t="shared" si="44"/>
        <v>379.36337046960506</v>
      </c>
      <c r="FJ29" s="33">
        <f t="shared" si="44"/>
        <v>379.36337046960506</v>
      </c>
      <c r="FK29" s="33">
        <f t="shared" si="44"/>
        <v>379.36337046960506</v>
      </c>
      <c r="FL29" s="33">
        <f t="shared" si="44"/>
        <v>379.36337046960506</v>
      </c>
      <c r="FM29" s="33">
        <f t="shared" si="44"/>
        <v>379.36337046960506</v>
      </c>
      <c r="FN29" s="33">
        <f t="shared" si="44"/>
        <v>379.36337046960506</v>
      </c>
      <c r="FO29" s="33">
        <f t="shared" si="44"/>
        <v>379.36337046960506</v>
      </c>
      <c r="FP29" s="33">
        <f t="shared" si="44"/>
        <v>379.36337046960506</v>
      </c>
      <c r="FQ29" s="33">
        <f t="shared" si="44"/>
        <v>379.36337046960506</v>
      </c>
      <c r="FR29" s="33">
        <f t="shared" si="44"/>
        <v>379.36337046960506</v>
      </c>
      <c r="FS29" s="33">
        <f t="shared" si="44"/>
        <v>379.36337046960506</v>
      </c>
      <c r="FT29" s="33">
        <f t="shared" si="44"/>
        <v>379.36337046960506</v>
      </c>
      <c r="FU29" s="33">
        <f t="shared" si="44"/>
        <v>379.36337046960506</v>
      </c>
      <c r="FV29" s="33">
        <f t="shared" si="44"/>
        <v>379.36337046960506</v>
      </c>
      <c r="FW29" s="33">
        <f t="shared" si="44"/>
        <v>379.36337046960506</v>
      </c>
      <c r="FX29" s="33">
        <f t="shared" si="44"/>
        <v>379.36337046960506</v>
      </c>
      <c r="FY29" s="33">
        <f t="shared" si="44"/>
        <v>379.36337046960506</v>
      </c>
      <c r="FZ29" s="33">
        <f t="shared" si="44"/>
        <v>379.36337046960506</v>
      </c>
      <c r="GA29" s="33">
        <f t="shared" si="44"/>
        <v>379.36337046960506</v>
      </c>
      <c r="GB29" s="33">
        <f t="shared" si="44"/>
        <v>379.36337046960506</v>
      </c>
      <c r="GC29" s="33">
        <f t="shared" si="44"/>
        <v>379.36337046960506</v>
      </c>
      <c r="GD29" s="33">
        <f t="shared" si="44"/>
        <v>379.36337046960506</v>
      </c>
      <c r="GE29" s="33">
        <f t="shared" si="44"/>
        <v>379.36337046960506</v>
      </c>
      <c r="GF29" s="33">
        <f t="shared" si="44"/>
        <v>379.36337046960506</v>
      </c>
      <c r="GG29" s="33">
        <f t="shared" si="44"/>
        <v>379.36337046960506</v>
      </c>
      <c r="GH29" s="33">
        <f t="shared" si="44"/>
        <v>379.36337046960506</v>
      </c>
      <c r="GI29" s="33">
        <f t="shared" si="44"/>
        <v>379.36337046960506</v>
      </c>
      <c r="GJ29" s="33">
        <f t="shared" si="44"/>
        <v>379.36337046960506</v>
      </c>
      <c r="GK29" s="33">
        <f t="shared" si="44"/>
        <v>379.36337046960506</v>
      </c>
      <c r="GL29" s="33">
        <f t="shared" si="44"/>
        <v>379.36337046960506</v>
      </c>
      <c r="GM29" s="33">
        <f t="shared" ref="GM29:IX29" si="45">$B$10/12</f>
        <v>379.36337046960506</v>
      </c>
      <c r="GN29" s="33">
        <f t="shared" si="45"/>
        <v>379.36337046960506</v>
      </c>
      <c r="GO29" s="33">
        <f t="shared" si="45"/>
        <v>379.36337046960506</v>
      </c>
      <c r="GP29" s="33">
        <f t="shared" si="45"/>
        <v>379.36337046960506</v>
      </c>
      <c r="GQ29" s="33">
        <f t="shared" si="45"/>
        <v>379.36337046960506</v>
      </c>
      <c r="GR29" s="33">
        <f t="shared" si="45"/>
        <v>379.36337046960506</v>
      </c>
      <c r="GS29" s="33">
        <f t="shared" si="45"/>
        <v>379.36337046960506</v>
      </c>
      <c r="GT29" s="33">
        <f t="shared" si="45"/>
        <v>379.36337046960506</v>
      </c>
      <c r="GU29" s="33">
        <f t="shared" si="45"/>
        <v>379.36337046960506</v>
      </c>
      <c r="GV29" s="33">
        <f t="shared" si="45"/>
        <v>379.36337046960506</v>
      </c>
      <c r="GW29" s="33">
        <f t="shared" si="45"/>
        <v>379.36337046960506</v>
      </c>
      <c r="GX29" s="33">
        <f t="shared" si="45"/>
        <v>379.36337046960506</v>
      </c>
      <c r="GY29" s="33">
        <f t="shared" si="45"/>
        <v>379.36337046960506</v>
      </c>
      <c r="GZ29" s="33">
        <f t="shared" si="45"/>
        <v>379.36337046960506</v>
      </c>
      <c r="HA29" s="33">
        <f t="shared" si="45"/>
        <v>379.36337046960506</v>
      </c>
      <c r="HB29" s="33">
        <f t="shared" si="45"/>
        <v>379.36337046960506</v>
      </c>
      <c r="HC29" s="33">
        <f t="shared" si="45"/>
        <v>379.36337046960506</v>
      </c>
      <c r="HD29" s="33">
        <f t="shared" si="45"/>
        <v>379.36337046960506</v>
      </c>
      <c r="HE29" s="33">
        <f t="shared" si="45"/>
        <v>379.36337046960506</v>
      </c>
      <c r="HF29" s="33">
        <f t="shared" si="45"/>
        <v>379.36337046960506</v>
      </c>
      <c r="HG29" s="33">
        <f t="shared" si="45"/>
        <v>379.36337046960506</v>
      </c>
      <c r="HH29" s="33">
        <f t="shared" si="45"/>
        <v>379.36337046960506</v>
      </c>
      <c r="HI29" s="33">
        <f t="shared" si="45"/>
        <v>379.36337046960506</v>
      </c>
      <c r="HJ29" s="33">
        <f t="shared" si="45"/>
        <v>379.36337046960506</v>
      </c>
      <c r="HK29" s="33">
        <f t="shared" si="45"/>
        <v>379.36337046960506</v>
      </c>
      <c r="HL29" s="33">
        <f t="shared" si="45"/>
        <v>379.36337046960506</v>
      </c>
      <c r="HM29" s="33">
        <f t="shared" si="45"/>
        <v>379.36337046960506</v>
      </c>
      <c r="HN29" s="33">
        <f t="shared" si="45"/>
        <v>379.36337046960506</v>
      </c>
      <c r="HO29" s="33">
        <f t="shared" si="45"/>
        <v>379.36337046960506</v>
      </c>
      <c r="HP29" s="33">
        <f t="shared" si="45"/>
        <v>379.36337046960506</v>
      </c>
      <c r="HQ29" s="33">
        <f t="shared" si="45"/>
        <v>379.36337046960506</v>
      </c>
      <c r="HR29" s="33">
        <f t="shared" si="45"/>
        <v>379.36337046960506</v>
      </c>
      <c r="HS29" s="33">
        <f t="shared" si="45"/>
        <v>379.36337046960506</v>
      </c>
      <c r="HT29" s="33">
        <f t="shared" si="45"/>
        <v>379.36337046960506</v>
      </c>
      <c r="HU29" s="33">
        <f t="shared" si="45"/>
        <v>379.36337046960506</v>
      </c>
      <c r="HV29" s="33">
        <f t="shared" si="45"/>
        <v>379.36337046960506</v>
      </c>
      <c r="HW29" s="33">
        <f t="shared" si="45"/>
        <v>379.36337046960506</v>
      </c>
      <c r="HX29" s="33">
        <f t="shared" si="45"/>
        <v>379.36337046960506</v>
      </c>
      <c r="HY29" s="33">
        <f t="shared" si="45"/>
        <v>379.36337046960506</v>
      </c>
      <c r="HZ29" s="33">
        <f t="shared" si="45"/>
        <v>379.36337046960506</v>
      </c>
      <c r="IA29" s="33">
        <f t="shared" si="45"/>
        <v>379.36337046960506</v>
      </c>
      <c r="IB29" s="33">
        <f t="shared" si="45"/>
        <v>379.36337046960506</v>
      </c>
      <c r="IC29" s="33">
        <f t="shared" si="45"/>
        <v>379.36337046960506</v>
      </c>
      <c r="ID29" s="33">
        <f t="shared" si="45"/>
        <v>379.36337046960506</v>
      </c>
      <c r="IE29" s="33">
        <f t="shared" si="45"/>
        <v>379.36337046960506</v>
      </c>
      <c r="IF29" s="33">
        <f t="shared" si="45"/>
        <v>379.36337046960506</v>
      </c>
      <c r="IG29" s="33">
        <f t="shared" si="45"/>
        <v>379.36337046960506</v>
      </c>
      <c r="IH29" s="33">
        <f t="shared" si="45"/>
        <v>379.36337046960506</v>
      </c>
      <c r="II29" s="33">
        <f t="shared" si="45"/>
        <v>379.36337046960506</v>
      </c>
      <c r="IJ29" s="33">
        <f t="shared" si="45"/>
        <v>379.36337046960506</v>
      </c>
      <c r="IK29" s="33">
        <f t="shared" si="45"/>
        <v>379.36337046960506</v>
      </c>
      <c r="IL29" s="33">
        <f t="shared" si="45"/>
        <v>379.36337046960506</v>
      </c>
      <c r="IM29" s="33">
        <f t="shared" si="45"/>
        <v>379.36337046960506</v>
      </c>
      <c r="IN29" s="33">
        <f t="shared" si="45"/>
        <v>379.36337046960506</v>
      </c>
      <c r="IO29" s="33">
        <f t="shared" si="45"/>
        <v>379.36337046960506</v>
      </c>
      <c r="IP29" s="33">
        <f t="shared" si="45"/>
        <v>379.36337046960506</v>
      </c>
      <c r="IQ29" s="33">
        <f t="shared" si="45"/>
        <v>379.36337046960506</v>
      </c>
      <c r="IR29" s="33">
        <f t="shared" si="45"/>
        <v>379.36337046960506</v>
      </c>
      <c r="IS29" s="33">
        <f t="shared" si="45"/>
        <v>379.36337046960506</v>
      </c>
      <c r="IT29" s="33">
        <f t="shared" si="45"/>
        <v>379.36337046960506</v>
      </c>
      <c r="IU29" s="33">
        <f t="shared" si="45"/>
        <v>379.36337046960506</v>
      </c>
      <c r="IV29" s="33">
        <f t="shared" si="45"/>
        <v>379.36337046960506</v>
      </c>
      <c r="IW29" s="33">
        <f t="shared" si="45"/>
        <v>379.36337046960506</v>
      </c>
      <c r="IX29" s="33">
        <f t="shared" si="45"/>
        <v>379.36337046960506</v>
      </c>
      <c r="IY29" s="33">
        <f t="shared" ref="IY29:LJ29" si="46">$B$10/12</f>
        <v>379.36337046960506</v>
      </c>
      <c r="IZ29" s="33">
        <f t="shared" si="46"/>
        <v>379.36337046960506</v>
      </c>
      <c r="JA29" s="33">
        <f t="shared" si="46"/>
        <v>379.36337046960506</v>
      </c>
      <c r="JB29" s="33">
        <f t="shared" si="46"/>
        <v>379.36337046960506</v>
      </c>
      <c r="JC29" s="33">
        <f t="shared" si="46"/>
        <v>379.36337046960506</v>
      </c>
      <c r="JD29" s="33">
        <f t="shared" si="46"/>
        <v>379.36337046960506</v>
      </c>
      <c r="JE29" s="33">
        <f t="shared" si="46"/>
        <v>379.36337046960506</v>
      </c>
      <c r="JF29" s="33">
        <f t="shared" si="46"/>
        <v>379.36337046960506</v>
      </c>
      <c r="JG29" s="33">
        <f t="shared" si="46"/>
        <v>379.36337046960506</v>
      </c>
      <c r="JH29" s="33">
        <f t="shared" si="46"/>
        <v>379.36337046960506</v>
      </c>
      <c r="JI29" s="33">
        <f t="shared" si="46"/>
        <v>379.36337046960506</v>
      </c>
      <c r="JJ29" s="33">
        <f t="shared" si="46"/>
        <v>379.36337046960506</v>
      </c>
      <c r="JK29" s="33">
        <f t="shared" si="46"/>
        <v>379.36337046960506</v>
      </c>
      <c r="JL29" s="33">
        <f t="shared" si="46"/>
        <v>379.36337046960506</v>
      </c>
      <c r="JM29" s="33">
        <f t="shared" si="46"/>
        <v>379.36337046960506</v>
      </c>
      <c r="JN29" s="33">
        <f t="shared" si="46"/>
        <v>379.36337046960506</v>
      </c>
      <c r="JO29" s="33">
        <f t="shared" si="46"/>
        <v>379.36337046960506</v>
      </c>
      <c r="JP29" s="33">
        <f t="shared" si="46"/>
        <v>379.36337046960506</v>
      </c>
      <c r="JQ29" s="33">
        <f t="shared" si="46"/>
        <v>379.36337046960506</v>
      </c>
      <c r="JR29" s="33">
        <f t="shared" si="46"/>
        <v>379.36337046960506</v>
      </c>
      <c r="JS29" s="33">
        <f t="shared" si="46"/>
        <v>379.36337046960506</v>
      </c>
      <c r="JT29" s="33">
        <f t="shared" si="46"/>
        <v>379.36337046960506</v>
      </c>
      <c r="JU29" s="33">
        <f t="shared" si="46"/>
        <v>379.36337046960506</v>
      </c>
      <c r="JV29" s="33">
        <f t="shared" si="46"/>
        <v>379.36337046960506</v>
      </c>
      <c r="JW29" s="33">
        <f t="shared" si="46"/>
        <v>379.36337046960506</v>
      </c>
      <c r="JX29" s="33">
        <f t="shared" si="46"/>
        <v>379.36337046960506</v>
      </c>
      <c r="JY29" s="33">
        <f t="shared" si="46"/>
        <v>379.36337046960506</v>
      </c>
      <c r="JZ29" s="33">
        <f t="shared" si="46"/>
        <v>379.36337046960506</v>
      </c>
      <c r="KA29" s="33">
        <f t="shared" si="46"/>
        <v>379.36337046960506</v>
      </c>
      <c r="KB29" s="33">
        <f t="shared" si="46"/>
        <v>379.36337046960506</v>
      </c>
      <c r="KC29" s="33">
        <f t="shared" si="46"/>
        <v>379.36337046960506</v>
      </c>
      <c r="KD29" s="33">
        <f t="shared" si="46"/>
        <v>379.36337046960506</v>
      </c>
      <c r="KE29" s="33">
        <f t="shared" si="46"/>
        <v>379.36337046960506</v>
      </c>
      <c r="KF29" s="33">
        <f t="shared" si="46"/>
        <v>379.36337046960506</v>
      </c>
      <c r="KG29" s="33">
        <f t="shared" si="46"/>
        <v>379.36337046960506</v>
      </c>
      <c r="KH29" s="33">
        <f t="shared" si="46"/>
        <v>379.36337046960506</v>
      </c>
      <c r="KI29" s="33">
        <f t="shared" si="46"/>
        <v>379.36337046960506</v>
      </c>
      <c r="KJ29" s="33">
        <f t="shared" si="46"/>
        <v>379.36337046960506</v>
      </c>
      <c r="KK29" s="33">
        <f t="shared" si="46"/>
        <v>379.36337046960506</v>
      </c>
      <c r="KL29" s="33">
        <f t="shared" si="46"/>
        <v>379.36337046960506</v>
      </c>
      <c r="KM29" s="33">
        <f t="shared" si="46"/>
        <v>379.36337046960506</v>
      </c>
      <c r="KN29" s="33">
        <f t="shared" si="46"/>
        <v>379.36337046960506</v>
      </c>
      <c r="KO29" s="33">
        <f t="shared" si="46"/>
        <v>379.36337046960506</v>
      </c>
      <c r="KP29" s="33">
        <f t="shared" si="46"/>
        <v>379.36337046960506</v>
      </c>
      <c r="KQ29" s="33">
        <f t="shared" si="46"/>
        <v>379.36337046960506</v>
      </c>
      <c r="KR29" s="33">
        <f t="shared" si="46"/>
        <v>379.36337046960506</v>
      </c>
      <c r="KS29" s="33">
        <f t="shared" si="46"/>
        <v>379.36337046960506</v>
      </c>
      <c r="KT29" s="33">
        <f t="shared" si="46"/>
        <v>379.36337046960506</v>
      </c>
      <c r="KU29" s="33">
        <f t="shared" si="46"/>
        <v>379.36337046960506</v>
      </c>
      <c r="KV29" s="33">
        <f t="shared" si="46"/>
        <v>379.36337046960506</v>
      </c>
      <c r="KW29" s="33">
        <f t="shared" si="46"/>
        <v>379.36337046960506</v>
      </c>
      <c r="KX29" s="33">
        <f t="shared" si="46"/>
        <v>379.36337046960506</v>
      </c>
      <c r="KY29" s="33">
        <f t="shared" si="46"/>
        <v>379.36337046960506</v>
      </c>
      <c r="KZ29" s="33">
        <f t="shared" si="46"/>
        <v>379.36337046960506</v>
      </c>
      <c r="LA29" s="33">
        <f t="shared" si="46"/>
        <v>379.36337046960506</v>
      </c>
      <c r="LB29" s="33">
        <f t="shared" si="46"/>
        <v>379.36337046960506</v>
      </c>
      <c r="LC29" s="33">
        <f t="shared" si="46"/>
        <v>379.36337046960506</v>
      </c>
      <c r="LD29" s="33">
        <f t="shared" si="46"/>
        <v>379.36337046960506</v>
      </c>
      <c r="LE29" s="33">
        <f t="shared" si="46"/>
        <v>379.36337046960506</v>
      </c>
      <c r="LF29" s="33">
        <f t="shared" si="46"/>
        <v>379.36337046960506</v>
      </c>
      <c r="LG29" s="33">
        <f t="shared" si="46"/>
        <v>379.36337046960506</v>
      </c>
      <c r="LH29" s="33">
        <f t="shared" si="46"/>
        <v>379.36337046960506</v>
      </c>
      <c r="LI29" s="33">
        <f t="shared" si="46"/>
        <v>379.36337046960506</v>
      </c>
      <c r="LJ29" s="33">
        <f t="shared" si="46"/>
        <v>379.36337046960506</v>
      </c>
      <c r="LK29" s="33">
        <f t="shared" ref="LK29:MX29" si="47">$B$10/12</f>
        <v>379.36337046960506</v>
      </c>
      <c r="LL29" s="33">
        <f t="shared" si="47"/>
        <v>379.36337046960506</v>
      </c>
      <c r="LM29" s="33">
        <f t="shared" si="47"/>
        <v>379.36337046960506</v>
      </c>
      <c r="LN29" s="33">
        <f t="shared" si="47"/>
        <v>379.36337046960506</v>
      </c>
      <c r="LO29" s="33">
        <f t="shared" si="47"/>
        <v>379.36337046960506</v>
      </c>
      <c r="LP29" s="33">
        <f t="shared" si="47"/>
        <v>379.36337046960506</v>
      </c>
      <c r="LQ29" s="33">
        <f t="shared" si="47"/>
        <v>379.36337046960506</v>
      </c>
      <c r="LR29" s="33">
        <f t="shared" si="47"/>
        <v>379.36337046960506</v>
      </c>
      <c r="LS29" s="33">
        <f t="shared" si="47"/>
        <v>379.36337046960506</v>
      </c>
      <c r="LT29" s="33">
        <f t="shared" si="47"/>
        <v>379.36337046960506</v>
      </c>
      <c r="LU29" s="33">
        <f t="shared" si="47"/>
        <v>379.36337046960506</v>
      </c>
      <c r="LV29" s="33">
        <f t="shared" si="47"/>
        <v>379.36337046960506</v>
      </c>
      <c r="LW29" s="33">
        <f t="shared" si="47"/>
        <v>379.36337046960506</v>
      </c>
      <c r="LX29" s="33">
        <f t="shared" si="47"/>
        <v>379.36337046960506</v>
      </c>
      <c r="LY29" s="33">
        <f t="shared" si="47"/>
        <v>379.36337046960506</v>
      </c>
      <c r="LZ29" s="33">
        <f t="shared" si="47"/>
        <v>379.36337046960506</v>
      </c>
      <c r="MA29" s="33">
        <f t="shared" si="47"/>
        <v>379.36337046960506</v>
      </c>
      <c r="MB29" s="33">
        <f t="shared" si="47"/>
        <v>379.36337046960506</v>
      </c>
      <c r="MC29" s="33">
        <f t="shared" si="47"/>
        <v>379.36337046960506</v>
      </c>
      <c r="MD29" s="33">
        <f t="shared" si="47"/>
        <v>379.36337046960506</v>
      </c>
      <c r="ME29" s="33">
        <f t="shared" si="47"/>
        <v>379.36337046960506</v>
      </c>
      <c r="MF29" s="33">
        <f t="shared" si="47"/>
        <v>379.36337046960506</v>
      </c>
      <c r="MG29" s="33">
        <f t="shared" si="47"/>
        <v>379.36337046960506</v>
      </c>
      <c r="MH29" s="33">
        <f t="shared" si="47"/>
        <v>379.36337046960506</v>
      </c>
      <c r="MI29" s="33">
        <f t="shared" si="47"/>
        <v>379.36337046960506</v>
      </c>
      <c r="MJ29" s="33">
        <f t="shared" si="47"/>
        <v>379.36337046960506</v>
      </c>
      <c r="MK29" s="33">
        <f t="shared" si="47"/>
        <v>379.36337046960506</v>
      </c>
      <c r="ML29" s="33">
        <f t="shared" si="47"/>
        <v>379.36337046960506</v>
      </c>
      <c r="MM29" s="33">
        <f t="shared" si="47"/>
        <v>379.36337046960506</v>
      </c>
      <c r="MN29" s="33">
        <f t="shared" si="47"/>
        <v>379.36337046960506</v>
      </c>
      <c r="MO29" s="33">
        <f t="shared" si="47"/>
        <v>379.36337046960506</v>
      </c>
      <c r="MP29" s="33">
        <f t="shared" si="47"/>
        <v>379.36337046960506</v>
      </c>
      <c r="MQ29" s="33">
        <f t="shared" si="47"/>
        <v>379.36337046960506</v>
      </c>
      <c r="MR29" s="33">
        <f t="shared" si="47"/>
        <v>379.36337046960506</v>
      </c>
      <c r="MS29" s="33">
        <f t="shared" si="47"/>
        <v>379.36337046960506</v>
      </c>
      <c r="MT29" s="33">
        <f t="shared" si="47"/>
        <v>379.36337046960506</v>
      </c>
      <c r="MU29" s="33">
        <f t="shared" si="47"/>
        <v>379.36337046960506</v>
      </c>
      <c r="MV29" s="33">
        <f t="shared" si="47"/>
        <v>379.36337046960506</v>
      </c>
      <c r="MW29" s="33">
        <f t="shared" si="47"/>
        <v>379.36337046960506</v>
      </c>
      <c r="MX29" s="55">
        <f t="shared" si="47"/>
        <v>379.36337046960506</v>
      </c>
      <c r="MY29" s="1"/>
      <c r="MZ29" s="1"/>
      <c r="NA29" s="1"/>
      <c r="NB29" s="1"/>
      <c r="NC29" s="1"/>
      <c r="ND29" s="1"/>
      <c r="NE29" s="1"/>
      <c r="NF29" s="1"/>
      <c r="NG29" s="1"/>
      <c r="NH29" s="13">
        <v>0.14000000000000001</v>
      </c>
      <c r="NI29" s="1">
        <f>Combine!A31</f>
        <v>48221</v>
      </c>
      <c r="NJ29" s="14">
        <f>Combine!F31</f>
        <v>121055.42904774001</v>
      </c>
    </row>
    <row r="30" spans="1:374" ht="12.75" customHeight="1" x14ac:dyDescent="0.3">
      <c r="A30" s="31" t="s">
        <v>871</v>
      </c>
      <c r="B30" s="32"/>
      <c r="C30" s="33">
        <f t="shared" ref="C30:BN30" si="48">$B$9*B22/12</f>
        <v>622.15592757015224</v>
      </c>
      <c r="D30" s="33">
        <f t="shared" si="48"/>
        <v>624.74824393502797</v>
      </c>
      <c r="E30" s="33">
        <f t="shared" si="48"/>
        <v>627.35136161809055</v>
      </c>
      <c r="F30" s="33">
        <f t="shared" si="48"/>
        <v>629.96532562483253</v>
      </c>
      <c r="G30" s="33">
        <f t="shared" si="48"/>
        <v>632.59018114826938</v>
      </c>
      <c r="H30" s="33">
        <f t="shared" si="48"/>
        <v>635.2259735697204</v>
      </c>
      <c r="I30" s="33">
        <f t="shared" si="48"/>
        <v>637.87274845959416</v>
      </c>
      <c r="J30" s="33">
        <f t="shared" si="48"/>
        <v>640.53055157817585</v>
      </c>
      <c r="K30" s="33">
        <f t="shared" si="48"/>
        <v>643.19942887641821</v>
      </c>
      <c r="L30" s="33">
        <f t="shared" si="48"/>
        <v>645.87942649673653</v>
      </c>
      <c r="M30" s="33">
        <f t="shared" si="48"/>
        <v>648.57059077380632</v>
      </c>
      <c r="N30" s="33">
        <f t="shared" si="48"/>
        <v>651.27296823536381</v>
      </c>
      <c r="O30" s="33">
        <f t="shared" si="48"/>
        <v>653.98660560301107</v>
      </c>
      <c r="P30" s="33">
        <f t="shared" si="48"/>
        <v>656.71154979302366</v>
      </c>
      <c r="Q30" s="33">
        <f t="shared" si="48"/>
        <v>659.44784791716131</v>
      </c>
      <c r="R30" s="33">
        <f t="shared" si="48"/>
        <v>662.19554728348282</v>
      </c>
      <c r="S30" s="33">
        <f t="shared" si="48"/>
        <v>664.95469539716396</v>
      </c>
      <c r="T30" s="33">
        <f t="shared" si="48"/>
        <v>667.72533996131881</v>
      </c>
      <c r="U30" s="33">
        <f t="shared" si="48"/>
        <v>670.50752887782426</v>
      </c>
      <c r="V30" s="33">
        <f t="shared" si="48"/>
        <v>673.30131024814852</v>
      </c>
      <c r="W30" s="33">
        <f t="shared" si="48"/>
        <v>676.10673237418246</v>
      </c>
      <c r="X30" s="33">
        <f t="shared" si="48"/>
        <v>678.92384375907488</v>
      </c>
      <c r="Y30" s="33">
        <f t="shared" si="48"/>
        <v>681.75269310807107</v>
      </c>
      <c r="Z30" s="33">
        <f t="shared" si="48"/>
        <v>684.59332932935467</v>
      </c>
      <c r="AA30" s="33">
        <f t="shared" si="48"/>
        <v>687.44580153489369</v>
      </c>
      <c r="AB30" s="33">
        <f t="shared" si="48"/>
        <v>690.31015904128901</v>
      </c>
      <c r="AC30" s="33">
        <f t="shared" si="48"/>
        <v>693.18645137062776</v>
      </c>
      <c r="AD30" s="33">
        <f t="shared" si="48"/>
        <v>696.0747282513388</v>
      </c>
      <c r="AE30" s="33">
        <f t="shared" si="48"/>
        <v>698.97503961905261</v>
      </c>
      <c r="AF30" s="33">
        <f t="shared" si="48"/>
        <v>701.88743561746526</v>
      </c>
      <c r="AG30" s="33">
        <f t="shared" si="48"/>
        <v>704.81196659920477</v>
      </c>
      <c r="AH30" s="33">
        <f t="shared" si="48"/>
        <v>707.74868312670151</v>
      </c>
      <c r="AI30" s="33">
        <f t="shared" si="48"/>
        <v>710.6976359730628</v>
      </c>
      <c r="AJ30" s="33">
        <f t="shared" si="48"/>
        <v>713.65887612295046</v>
      </c>
      <c r="AK30" s="33">
        <f t="shared" si="48"/>
        <v>716.63245477346265</v>
      </c>
      <c r="AL30" s="33">
        <f t="shared" si="48"/>
        <v>719.61842333501875</v>
      </c>
      <c r="AM30" s="33">
        <f t="shared" si="48"/>
        <v>722.61683343224797</v>
      </c>
      <c r="AN30" s="33">
        <f t="shared" si="48"/>
        <v>725.62773690488245</v>
      </c>
      <c r="AO30" s="33">
        <f t="shared" si="48"/>
        <v>728.65118580865271</v>
      </c>
      <c r="AP30" s="33">
        <f t="shared" si="48"/>
        <v>731.68723241618875</v>
      </c>
      <c r="AQ30" s="33">
        <f t="shared" si="48"/>
        <v>734.73592921792294</v>
      </c>
      <c r="AR30" s="33">
        <f t="shared" si="48"/>
        <v>737.79732892299751</v>
      </c>
      <c r="AS30" s="33">
        <f t="shared" si="48"/>
        <v>740.8714844601767</v>
      </c>
      <c r="AT30" s="33">
        <f t="shared" si="48"/>
        <v>743.95844897876077</v>
      </c>
      <c r="AU30" s="33">
        <f t="shared" si="48"/>
        <v>747.05827584950566</v>
      </c>
      <c r="AV30" s="33">
        <f t="shared" si="48"/>
        <v>750.17101866554515</v>
      </c>
      <c r="AW30" s="33">
        <f t="shared" si="48"/>
        <v>753.29673124331839</v>
      </c>
      <c r="AX30" s="33">
        <f t="shared" si="48"/>
        <v>756.43546762349888</v>
      </c>
      <c r="AY30" s="33">
        <f t="shared" si="48"/>
        <v>759.58728207193008</v>
      </c>
      <c r="AZ30" s="33">
        <f t="shared" si="48"/>
        <v>762.7522290805631</v>
      </c>
      <c r="BA30" s="33">
        <f t="shared" si="48"/>
        <v>765.93036336839884</v>
      </c>
      <c r="BB30" s="33">
        <f t="shared" si="48"/>
        <v>769.12173988243376</v>
      </c>
      <c r="BC30" s="33">
        <f t="shared" si="48"/>
        <v>772.32641379861036</v>
      </c>
      <c r="BD30" s="33">
        <f t="shared" si="48"/>
        <v>775.54444052277131</v>
      </c>
      <c r="BE30" s="33">
        <f t="shared" si="48"/>
        <v>778.77587569161608</v>
      </c>
      <c r="BF30" s="33">
        <f t="shared" si="48"/>
        <v>782.02077517366467</v>
      </c>
      <c r="BG30" s="33">
        <f t="shared" si="48"/>
        <v>785.27919507022159</v>
      </c>
      <c r="BH30" s="33">
        <f t="shared" si="48"/>
        <v>788.55119171634749</v>
      </c>
      <c r="BI30" s="33">
        <f t="shared" si="48"/>
        <v>791.83682168183225</v>
      </c>
      <c r="BJ30" s="33">
        <f t="shared" si="48"/>
        <v>795.13614177217335</v>
      </c>
      <c r="BK30" s="33">
        <f t="shared" si="48"/>
        <v>798.44920902955744</v>
      </c>
      <c r="BL30" s="33">
        <f t="shared" si="48"/>
        <v>801.77608073384715</v>
      </c>
      <c r="BM30" s="33">
        <f t="shared" si="48"/>
        <v>805.11681440357154</v>
      </c>
      <c r="BN30" s="33">
        <f t="shared" si="48"/>
        <v>808.47146779691968</v>
      </c>
      <c r="BO30" s="33">
        <f t="shared" ref="BO30:DZ30" si="49">$B$9*BN22/12</f>
        <v>811.84009891274036</v>
      </c>
      <c r="BP30" s="33">
        <f t="shared" si="49"/>
        <v>815.22276599154338</v>
      </c>
      <c r="BQ30" s="33">
        <f t="shared" si="49"/>
        <v>818.61952751650813</v>
      </c>
      <c r="BR30" s="33">
        <f t="shared" si="49"/>
        <v>822.03044221449352</v>
      </c>
      <c r="BS30" s="33">
        <f t="shared" si="49"/>
        <v>825.45556905705382</v>
      </c>
      <c r="BT30" s="33">
        <f t="shared" si="49"/>
        <v>828.89496726145808</v>
      </c>
      <c r="BU30" s="33">
        <f t="shared" si="49"/>
        <v>832.34869629171419</v>
      </c>
      <c r="BV30" s="33">
        <f t="shared" si="49"/>
        <v>835.81681585959632</v>
      </c>
      <c r="BW30" s="33">
        <f t="shared" si="49"/>
        <v>839.29938592567805</v>
      </c>
      <c r="BX30" s="33">
        <f t="shared" si="49"/>
        <v>842.79646670036834</v>
      </c>
      <c r="BY30" s="33">
        <f t="shared" si="49"/>
        <v>846.30811864495308</v>
      </c>
      <c r="BZ30" s="33">
        <f t="shared" si="49"/>
        <v>849.83440247264036</v>
      </c>
      <c r="CA30" s="33">
        <f t="shared" si="49"/>
        <v>853.37537914960967</v>
      </c>
      <c r="CB30" s="33">
        <f t="shared" si="49"/>
        <v>856.93110989606646</v>
      </c>
      <c r="CC30" s="33">
        <f t="shared" si="49"/>
        <v>860.5016561873</v>
      </c>
      <c r="CD30" s="33">
        <f t="shared" si="49"/>
        <v>864.08707975474715</v>
      </c>
      <c r="CE30" s="33">
        <f t="shared" si="49"/>
        <v>867.68744258705863</v>
      </c>
      <c r="CF30" s="33">
        <f t="shared" si="49"/>
        <v>871.30280693117129</v>
      </c>
      <c r="CG30" s="33">
        <f t="shared" si="49"/>
        <v>874.93323529338443</v>
      </c>
      <c r="CH30" s="33">
        <f t="shared" si="49"/>
        <v>878.57879044044023</v>
      </c>
      <c r="CI30" s="33">
        <f t="shared" si="49"/>
        <v>882.23953540060882</v>
      </c>
      <c r="CJ30" s="33">
        <f t="shared" si="49"/>
        <v>885.91553346477804</v>
      </c>
      <c r="CK30" s="33">
        <f t="shared" si="49"/>
        <v>889.60684818754783</v>
      </c>
      <c r="CL30" s="33">
        <f t="shared" si="49"/>
        <v>893.31354338832932</v>
      </c>
      <c r="CM30" s="33">
        <f t="shared" si="49"/>
        <v>897.03568315244729</v>
      </c>
      <c r="CN30" s="33">
        <f t="shared" si="49"/>
        <v>900.77333183224926</v>
      </c>
      <c r="CO30" s="33">
        <f t="shared" si="49"/>
        <v>904.52655404821701</v>
      </c>
      <c r="CP30" s="33">
        <f t="shared" si="49"/>
        <v>908.29541469008461</v>
      </c>
      <c r="CQ30" s="33">
        <f t="shared" si="49"/>
        <v>912.07997891795969</v>
      </c>
      <c r="CR30" s="33">
        <f t="shared" si="49"/>
        <v>915.88031216345132</v>
      </c>
      <c r="CS30" s="33">
        <f t="shared" si="49"/>
        <v>919.69648013079893</v>
      </c>
      <c r="CT30" s="33">
        <f t="shared" si="49"/>
        <v>923.52854879801055</v>
      </c>
      <c r="CU30" s="33">
        <f t="shared" si="49"/>
        <v>927.37658441800238</v>
      </c>
      <c r="CV30" s="33">
        <f t="shared" si="49"/>
        <v>931.24065351974389</v>
      </c>
      <c r="CW30" s="33">
        <f t="shared" si="49"/>
        <v>935.12082290940953</v>
      </c>
      <c r="CX30" s="33">
        <f t="shared" si="49"/>
        <v>939.01715967153223</v>
      </c>
      <c r="CY30" s="33">
        <f t="shared" si="49"/>
        <v>942.92973117016356</v>
      </c>
      <c r="CZ30" s="33">
        <f t="shared" si="49"/>
        <v>946.85860505003927</v>
      </c>
      <c r="DA30" s="33">
        <f t="shared" si="49"/>
        <v>950.80384923774761</v>
      </c>
      <c r="DB30" s="33">
        <f t="shared" si="49"/>
        <v>954.76553194290489</v>
      </c>
      <c r="DC30" s="33">
        <f t="shared" si="49"/>
        <v>958.74372165933357</v>
      </c>
      <c r="DD30" s="33">
        <f t="shared" si="49"/>
        <v>962.73848716624752</v>
      </c>
      <c r="DE30" s="33">
        <f t="shared" si="49"/>
        <v>966.7498975294402</v>
      </c>
      <c r="DF30" s="33">
        <f t="shared" si="49"/>
        <v>970.77802210247955</v>
      </c>
      <c r="DG30" s="33">
        <f t="shared" si="49"/>
        <v>974.82293052790646</v>
      </c>
      <c r="DH30" s="33">
        <f t="shared" si="49"/>
        <v>978.8846927384393</v>
      </c>
      <c r="DI30" s="33">
        <f t="shared" si="49"/>
        <v>982.96337895818272</v>
      </c>
      <c r="DJ30" s="33">
        <f t="shared" si="49"/>
        <v>987.05905970384185</v>
      </c>
      <c r="DK30" s="33">
        <f t="shared" si="49"/>
        <v>991.17180578594127</v>
      </c>
      <c r="DL30" s="33">
        <f t="shared" si="49"/>
        <v>995.30168831004937</v>
      </c>
      <c r="DM30" s="33">
        <f t="shared" si="49"/>
        <v>999.4487786780079</v>
      </c>
      <c r="DN30" s="33">
        <f t="shared" si="49"/>
        <v>1003.6131485891661</v>
      </c>
      <c r="DO30" s="33">
        <f t="shared" si="49"/>
        <v>1007.794870041621</v>
      </c>
      <c r="DP30" s="33">
        <f t="shared" si="49"/>
        <v>1011.9940153334611</v>
      </c>
      <c r="DQ30" s="33">
        <f t="shared" si="49"/>
        <v>1016.2106570640171</v>
      </c>
      <c r="DR30" s="33">
        <f t="shared" si="49"/>
        <v>1020.4448681351172</v>
      </c>
      <c r="DS30" s="33">
        <f t="shared" si="49"/>
        <v>1024.6967217523468</v>
      </c>
      <c r="DT30" s="33">
        <f t="shared" si="49"/>
        <v>1028.9662914263149</v>
      </c>
      <c r="DU30" s="33">
        <f t="shared" si="49"/>
        <v>1033.2536509739246</v>
      </c>
      <c r="DV30" s="33">
        <f t="shared" si="49"/>
        <v>1037.5588745196494</v>
      </c>
      <c r="DW30" s="33">
        <f t="shared" si="49"/>
        <v>1041.8820364968144</v>
      </c>
      <c r="DX30" s="33">
        <f t="shared" si="49"/>
        <v>1046.2232116488847</v>
      </c>
      <c r="DY30" s="33">
        <f t="shared" si="49"/>
        <v>1050.5824750307549</v>
      </c>
      <c r="DZ30" s="33">
        <f t="shared" si="49"/>
        <v>1054.9599020100497</v>
      </c>
      <c r="EA30" s="33">
        <f t="shared" ref="EA30:GL30" si="50">$B$9*DZ22/12</f>
        <v>1059.355568268425</v>
      </c>
      <c r="EB30" s="33">
        <f t="shared" si="50"/>
        <v>1063.7695498028768</v>
      </c>
      <c r="EC30" s="33">
        <f t="shared" si="50"/>
        <v>1068.2019229270554</v>
      </c>
      <c r="ED30" s="33">
        <f t="shared" si="50"/>
        <v>1072.6527642725848</v>
      </c>
      <c r="EE30" s="33">
        <f t="shared" si="50"/>
        <v>1077.1221507903872</v>
      </c>
      <c r="EF30" s="33">
        <f t="shared" si="50"/>
        <v>1081.6101597520139</v>
      </c>
      <c r="EG30" s="33">
        <f t="shared" si="50"/>
        <v>1086.1168687509805</v>
      </c>
      <c r="EH30" s="33">
        <f t="shared" si="50"/>
        <v>1090.6423557041096</v>
      </c>
      <c r="EI30" s="33">
        <f t="shared" si="50"/>
        <v>1095.186698852877</v>
      </c>
      <c r="EJ30" s="33">
        <f t="shared" si="50"/>
        <v>1099.7499767647639</v>
      </c>
      <c r="EK30" s="33">
        <f t="shared" si="50"/>
        <v>1104.3322683346171</v>
      </c>
      <c r="EL30" s="33">
        <f t="shared" si="50"/>
        <v>1108.9336527860112</v>
      </c>
      <c r="EM30" s="33">
        <f t="shared" si="50"/>
        <v>1113.5542096726197</v>
      </c>
      <c r="EN30" s="33">
        <f t="shared" si="50"/>
        <v>1118.1940188795888</v>
      </c>
      <c r="EO30" s="33">
        <f t="shared" si="50"/>
        <v>1122.8531606249205</v>
      </c>
      <c r="EP30" s="33">
        <f t="shared" si="50"/>
        <v>1127.5317154608576</v>
      </c>
      <c r="EQ30" s="33">
        <f t="shared" si="50"/>
        <v>1132.2297642752776</v>
      </c>
      <c r="ER30" s="33">
        <f t="shared" si="50"/>
        <v>1136.9473882930913</v>
      </c>
      <c r="ES30" s="33">
        <f t="shared" si="50"/>
        <v>1141.6846690776458</v>
      </c>
      <c r="ET30" s="33">
        <f t="shared" si="50"/>
        <v>1146.4416885321359</v>
      </c>
      <c r="EU30" s="33">
        <f t="shared" si="50"/>
        <v>1151.2185289010199</v>
      </c>
      <c r="EV30" s="33">
        <f t="shared" si="50"/>
        <v>1156.015272771441</v>
      </c>
      <c r="EW30" s="33">
        <f t="shared" si="50"/>
        <v>1160.8320030746552</v>
      </c>
      <c r="EX30" s="33">
        <f t="shared" si="50"/>
        <v>1165.6688030874664</v>
      </c>
      <c r="EY30" s="33">
        <f t="shared" si="50"/>
        <v>1170.5257564336641</v>
      </c>
      <c r="EZ30" s="33">
        <f t="shared" si="50"/>
        <v>1175.4029470854709</v>
      </c>
      <c r="FA30" s="33">
        <f t="shared" si="50"/>
        <v>1180.3004593649937</v>
      </c>
      <c r="FB30" s="33">
        <f t="shared" si="50"/>
        <v>1185.2183779456811</v>
      </c>
      <c r="FC30" s="33">
        <f t="shared" si="50"/>
        <v>1190.1567878537883</v>
      </c>
      <c r="FD30" s="33">
        <f t="shared" si="50"/>
        <v>1195.1157744698455</v>
      </c>
      <c r="FE30" s="33">
        <f t="shared" si="50"/>
        <v>1200.0954235301367</v>
      </c>
      <c r="FF30" s="33">
        <f t="shared" si="50"/>
        <v>1205.0958211281788</v>
      </c>
      <c r="FG30" s="33">
        <f t="shared" si="50"/>
        <v>1210.1170537162129</v>
      </c>
      <c r="FH30" s="33">
        <f t="shared" si="50"/>
        <v>1215.159208106697</v>
      </c>
      <c r="FI30" s="33">
        <f t="shared" si="50"/>
        <v>1220.2223714738082</v>
      </c>
      <c r="FJ30" s="33">
        <f t="shared" si="50"/>
        <v>1225.3066313549491</v>
      </c>
      <c r="FK30" s="33">
        <f t="shared" si="50"/>
        <v>1230.4120756522614</v>
      </c>
      <c r="FL30" s="33">
        <f t="shared" si="50"/>
        <v>1235.5387926341459</v>
      </c>
      <c r="FM30" s="33">
        <f t="shared" si="50"/>
        <v>1240.6868709367882</v>
      </c>
      <c r="FN30" s="33">
        <f t="shared" si="50"/>
        <v>1245.8563995656914</v>
      </c>
      <c r="FO30" s="33">
        <f t="shared" si="50"/>
        <v>1251.0474678972153</v>
      </c>
      <c r="FP30" s="33">
        <f t="shared" si="50"/>
        <v>1256.2601656801201</v>
      </c>
      <c r="FQ30" s="33">
        <f t="shared" si="50"/>
        <v>1261.4945830371207</v>
      </c>
      <c r="FR30" s="33">
        <f t="shared" si="50"/>
        <v>1266.7508104664419</v>
      </c>
      <c r="FS30" s="33">
        <f t="shared" si="50"/>
        <v>1272.0289388433855</v>
      </c>
      <c r="FT30" s="33">
        <f t="shared" si="50"/>
        <v>1277.3290594218995</v>
      </c>
      <c r="FU30" s="33">
        <f t="shared" si="50"/>
        <v>1282.6512638361573</v>
      </c>
      <c r="FV30" s="33">
        <f t="shared" si="50"/>
        <v>1287.9956441021416</v>
      </c>
      <c r="FW30" s="33">
        <f t="shared" si="50"/>
        <v>1293.3622926192336</v>
      </c>
      <c r="FX30" s="33">
        <f t="shared" si="50"/>
        <v>1298.7513021718139</v>
      </c>
      <c r="FY30" s="33">
        <f t="shared" si="50"/>
        <v>1304.1627659308631</v>
      </c>
      <c r="FZ30" s="33">
        <f t="shared" si="50"/>
        <v>1309.596777455575</v>
      </c>
      <c r="GA30" s="33">
        <f t="shared" si="50"/>
        <v>1315.053430694973</v>
      </c>
      <c r="GB30" s="33">
        <f t="shared" si="50"/>
        <v>1320.5328199895355</v>
      </c>
      <c r="GC30" s="33">
        <f t="shared" si="50"/>
        <v>1326.035040072825</v>
      </c>
      <c r="GD30" s="33">
        <f t="shared" si="50"/>
        <v>1331.5601860731285</v>
      </c>
      <c r="GE30" s="33">
        <f t="shared" si="50"/>
        <v>1337.1083535150999</v>
      </c>
      <c r="GF30" s="33">
        <f t="shared" si="50"/>
        <v>1342.6796383214128</v>
      </c>
      <c r="GG30" s="33">
        <f t="shared" si="50"/>
        <v>1348.2741368144186</v>
      </c>
      <c r="GH30" s="33">
        <f t="shared" si="50"/>
        <v>1353.891945717812</v>
      </c>
      <c r="GI30" s="33">
        <f t="shared" si="50"/>
        <v>1359.533162158303</v>
      </c>
      <c r="GJ30" s="33">
        <f t="shared" si="50"/>
        <v>1365.1978836672959</v>
      </c>
      <c r="GK30" s="33">
        <f t="shared" si="50"/>
        <v>1370.8862081825762</v>
      </c>
      <c r="GL30" s="33">
        <f t="shared" si="50"/>
        <v>1376.5982340500038</v>
      </c>
      <c r="GM30" s="33">
        <f t="shared" ref="GM30:IX30" si="51">$B$9*GL22/12</f>
        <v>1382.334060025212</v>
      </c>
      <c r="GN30" s="33">
        <f t="shared" si="51"/>
        <v>1388.093785275317</v>
      </c>
      <c r="GO30" s="33">
        <f t="shared" si="51"/>
        <v>1393.8775093806307</v>
      </c>
      <c r="GP30" s="33">
        <f t="shared" si="51"/>
        <v>1399.6853323363832</v>
      </c>
      <c r="GQ30" s="33">
        <f t="shared" si="51"/>
        <v>1405.5173545544519</v>
      </c>
      <c r="GR30" s="33">
        <f t="shared" si="51"/>
        <v>1411.3736768650951</v>
      </c>
      <c r="GS30" s="33">
        <f t="shared" si="51"/>
        <v>1417.2544005186999</v>
      </c>
      <c r="GT30" s="33">
        <f t="shared" si="51"/>
        <v>1423.1596271875278</v>
      </c>
      <c r="GU30" s="33">
        <f t="shared" si="51"/>
        <v>1429.0894589674756</v>
      </c>
      <c r="GV30" s="33">
        <f t="shared" si="51"/>
        <v>1435.0439983798403</v>
      </c>
      <c r="GW30" s="33">
        <f t="shared" si="51"/>
        <v>1441.0233483730892</v>
      </c>
      <c r="GX30" s="33">
        <f t="shared" si="51"/>
        <v>1447.027612324644</v>
      </c>
      <c r="GY30" s="33">
        <f t="shared" si="51"/>
        <v>1453.0568940426631</v>
      </c>
      <c r="GZ30" s="33">
        <f t="shared" si="51"/>
        <v>1459.1112977678411</v>
      </c>
      <c r="HA30" s="33">
        <f t="shared" si="51"/>
        <v>1465.1909281752069</v>
      </c>
      <c r="HB30" s="33">
        <f t="shared" si="51"/>
        <v>1471.295890375937</v>
      </c>
      <c r="HC30" s="33">
        <f t="shared" si="51"/>
        <v>1477.4262899191699</v>
      </c>
      <c r="HD30" s="33">
        <f t="shared" si="51"/>
        <v>1483.5822327938333</v>
      </c>
      <c r="HE30" s="33">
        <f t="shared" si="51"/>
        <v>1489.7638254304741</v>
      </c>
      <c r="HF30" s="33">
        <f t="shared" si="51"/>
        <v>1495.9711747031013</v>
      </c>
      <c r="HG30" s="33">
        <f t="shared" si="51"/>
        <v>1502.2043879310306</v>
      </c>
      <c r="HH30" s="33">
        <f t="shared" si="51"/>
        <v>1508.4635728807432</v>
      </c>
      <c r="HI30" s="33">
        <f t="shared" si="51"/>
        <v>1514.7488377677462</v>
      </c>
      <c r="HJ30" s="33">
        <f t="shared" si="51"/>
        <v>1521.0602912584452</v>
      </c>
      <c r="HK30" s="33">
        <f t="shared" si="51"/>
        <v>1527.3980424720221</v>
      </c>
      <c r="HL30" s="33">
        <f t="shared" si="51"/>
        <v>1533.7622009823219</v>
      </c>
      <c r="HM30" s="33">
        <f t="shared" si="51"/>
        <v>1540.1528768197486</v>
      </c>
      <c r="HN30" s="33">
        <f t="shared" si="51"/>
        <v>1546.5701804731641</v>
      </c>
      <c r="HO30" s="33">
        <f t="shared" si="51"/>
        <v>1553.0142228918021</v>
      </c>
      <c r="HP30" s="33">
        <f t="shared" si="51"/>
        <v>1559.4851154871847</v>
      </c>
      <c r="HQ30" s="33">
        <f t="shared" si="51"/>
        <v>1565.9829701350479</v>
      </c>
      <c r="HR30" s="33">
        <f t="shared" si="51"/>
        <v>1572.5078991772771</v>
      </c>
      <c r="HS30" s="33">
        <f t="shared" si="51"/>
        <v>1579.0600154238491</v>
      </c>
      <c r="HT30" s="33">
        <f t="shared" si="51"/>
        <v>1585.6394321547816</v>
      </c>
      <c r="HU30" s="33">
        <f t="shared" si="51"/>
        <v>1592.2462631220933</v>
      </c>
      <c r="HV30" s="33">
        <f t="shared" si="51"/>
        <v>1598.880622551769</v>
      </c>
      <c r="HW30" s="33">
        <f t="shared" si="51"/>
        <v>1605.5426251457345</v>
      </c>
      <c r="HX30" s="33">
        <f t="shared" si="51"/>
        <v>1612.2323860838414</v>
      </c>
      <c r="HY30" s="33">
        <f t="shared" si="51"/>
        <v>1618.9500210258575</v>
      </c>
      <c r="HZ30" s="33">
        <f t="shared" si="51"/>
        <v>1625.6956461134653</v>
      </c>
      <c r="IA30" s="33">
        <f t="shared" si="51"/>
        <v>1632.4693779722713</v>
      </c>
      <c r="IB30" s="33">
        <f t="shared" si="51"/>
        <v>1639.2713337138227</v>
      </c>
      <c r="IC30" s="33">
        <f t="shared" si="51"/>
        <v>1646.10163093763</v>
      </c>
      <c r="ID30" s="33">
        <f t="shared" si="51"/>
        <v>1652.9603877332038</v>
      </c>
      <c r="IE30" s="33">
        <f t="shared" si="51"/>
        <v>1659.8477226820921</v>
      </c>
      <c r="IF30" s="33">
        <f t="shared" si="51"/>
        <v>1666.7637548599341</v>
      </c>
      <c r="IG30" s="33">
        <f t="shared" si="51"/>
        <v>1673.7086038385169</v>
      </c>
      <c r="IH30" s="33">
        <f t="shared" si="51"/>
        <v>1680.6823896878439</v>
      </c>
      <c r="II30" s="33">
        <f t="shared" si="51"/>
        <v>1687.6852329782098</v>
      </c>
      <c r="IJ30" s="33">
        <f t="shared" si="51"/>
        <v>1694.7172547822859</v>
      </c>
      <c r="IK30" s="33">
        <f t="shared" si="51"/>
        <v>1701.778576677212</v>
      </c>
      <c r="IL30" s="33">
        <f t="shared" si="51"/>
        <v>1708.8693207467002</v>
      </c>
      <c r="IM30" s="33">
        <f t="shared" si="51"/>
        <v>1715.9896095831448</v>
      </c>
      <c r="IN30" s="33">
        <f t="shared" si="51"/>
        <v>1723.1395662897412</v>
      </c>
      <c r="IO30" s="33">
        <f t="shared" si="51"/>
        <v>1730.3193144826153</v>
      </c>
      <c r="IP30" s="33">
        <f t="shared" si="51"/>
        <v>1737.5289782929592</v>
      </c>
      <c r="IQ30" s="33">
        <f t="shared" si="51"/>
        <v>1744.7686823691799</v>
      </c>
      <c r="IR30" s="33">
        <f t="shared" si="51"/>
        <v>1752.0385518790515</v>
      </c>
      <c r="IS30" s="33">
        <f t="shared" si="51"/>
        <v>1759.3387125118809</v>
      </c>
      <c r="IT30" s="33">
        <f t="shared" si="51"/>
        <v>1766.6692904806805</v>
      </c>
      <c r="IU30" s="33">
        <f t="shared" si="51"/>
        <v>1774.0304125243501</v>
      </c>
      <c r="IV30" s="33">
        <f t="shared" si="51"/>
        <v>1781.4222059098681</v>
      </c>
      <c r="IW30" s="33">
        <f t="shared" si="51"/>
        <v>1788.8447984344923</v>
      </c>
      <c r="IX30" s="33">
        <f t="shared" si="51"/>
        <v>1796.2983184279694</v>
      </c>
      <c r="IY30" s="33">
        <f t="shared" ref="IY30:LJ30" si="52">$B$9*IX22/12</f>
        <v>1803.7828947547525</v>
      </c>
      <c r="IZ30" s="33">
        <f t="shared" si="52"/>
        <v>1811.2986568162305</v>
      </c>
      <c r="JA30" s="33">
        <f t="shared" si="52"/>
        <v>1818.845734552965</v>
      </c>
      <c r="JB30" s="33">
        <f t="shared" si="52"/>
        <v>1826.4242584469357</v>
      </c>
      <c r="JC30" s="33">
        <f t="shared" si="52"/>
        <v>1834.034359523798</v>
      </c>
      <c r="JD30" s="33">
        <f t="shared" si="52"/>
        <v>1841.6761693551471</v>
      </c>
      <c r="JE30" s="33">
        <f t="shared" si="52"/>
        <v>1849.3498200607937</v>
      </c>
      <c r="JF30" s="33">
        <f t="shared" si="52"/>
        <v>1857.055444311047</v>
      </c>
      <c r="JG30" s="33">
        <f t="shared" si="52"/>
        <v>1864.7931753290097</v>
      </c>
      <c r="JH30" s="33">
        <f t="shared" si="52"/>
        <v>1872.5631468928805</v>
      </c>
      <c r="JI30" s="33">
        <f t="shared" si="52"/>
        <v>1880.3654933382675</v>
      </c>
      <c r="JJ30" s="33">
        <f t="shared" si="52"/>
        <v>1888.2003495605102</v>
      </c>
      <c r="JK30" s="33">
        <f t="shared" si="52"/>
        <v>1896.0678510170126</v>
      </c>
      <c r="JL30" s="33">
        <f t="shared" si="52"/>
        <v>1903.9681337295833</v>
      </c>
      <c r="JM30" s="33">
        <f t="shared" si="52"/>
        <v>1911.9013342867895</v>
      </c>
      <c r="JN30" s="33">
        <f t="shared" si="52"/>
        <v>1919.867589846318</v>
      </c>
      <c r="JO30" s="33">
        <f t="shared" si="52"/>
        <v>1927.8670381373443</v>
      </c>
      <c r="JP30" s="33">
        <f t="shared" si="52"/>
        <v>1935.8998174629166</v>
      </c>
      <c r="JQ30" s="33">
        <f t="shared" si="52"/>
        <v>1943.9660667023454</v>
      </c>
      <c r="JR30" s="33">
        <f t="shared" si="52"/>
        <v>1952.0659253136052</v>
      </c>
      <c r="JS30" s="33">
        <f t="shared" si="52"/>
        <v>1960.1995333357454</v>
      </c>
      <c r="JT30" s="33">
        <f t="shared" si="52"/>
        <v>1968.3670313913108</v>
      </c>
      <c r="JU30" s="33">
        <f t="shared" si="52"/>
        <v>1976.5685606887748</v>
      </c>
      <c r="JV30" s="33">
        <f t="shared" si="52"/>
        <v>1984.8042630249781</v>
      </c>
      <c r="JW30" s="33">
        <f t="shared" si="52"/>
        <v>1993.0742807875822</v>
      </c>
      <c r="JX30" s="33">
        <f t="shared" si="52"/>
        <v>2001.3787569575306</v>
      </c>
      <c r="JY30" s="33">
        <f t="shared" si="52"/>
        <v>2009.7178351115206</v>
      </c>
      <c r="JZ30" s="33">
        <f t="shared" si="52"/>
        <v>2018.0916594244848</v>
      </c>
      <c r="KA30" s="33">
        <f t="shared" si="52"/>
        <v>2026.500374672087</v>
      </c>
      <c r="KB30" s="33">
        <f t="shared" si="52"/>
        <v>2034.9441262332205</v>
      </c>
      <c r="KC30" s="33">
        <f t="shared" si="52"/>
        <v>2043.4230600925255</v>
      </c>
      <c r="KD30" s="33">
        <f t="shared" si="52"/>
        <v>2051.9373228429108</v>
      </c>
      <c r="KE30" s="33">
        <f t="shared" si="52"/>
        <v>2060.4870616880899</v>
      </c>
      <c r="KF30" s="33">
        <f t="shared" si="52"/>
        <v>2069.0724244451235</v>
      </c>
      <c r="KG30" s="33">
        <f t="shared" si="52"/>
        <v>2077.6935595469781</v>
      </c>
      <c r="KH30" s="33">
        <f t="shared" si="52"/>
        <v>2086.3506160450906</v>
      </c>
      <c r="KI30" s="33">
        <f t="shared" si="52"/>
        <v>2095.043743611945</v>
      </c>
      <c r="KJ30" s="33">
        <f t="shared" si="52"/>
        <v>2103.7730925436617</v>
      </c>
      <c r="KK30" s="33">
        <f t="shared" si="52"/>
        <v>2112.5388137625937</v>
      </c>
      <c r="KL30" s="33">
        <f t="shared" si="52"/>
        <v>2121.3410588199376</v>
      </c>
      <c r="KM30" s="33">
        <f t="shared" si="52"/>
        <v>2130.1799798983543</v>
      </c>
      <c r="KN30" s="33">
        <f t="shared" si="52"/>
        <v>2139.0557298145973</v>
      </c>
      <c r="KO30" s="33">
        <f t="shared" si="52"/>
        <v>2147.9684620221583</v>
      </c>
      <c r="KP30" s="33">
        <f t="shared" si="52"/>
        <v>2156.9183306139171</v>
      </c>
      <c r="KQ30" s="33">
        <f t="shared" si="52"/>
        <v>2165.9054903248084</v>
      </c>
      <c r="KR30" s="33">
        <f t="shared" si="52"/>
        <v>2174.9300965344951</v>
      </c>
      <c r="KS30" s="33">
        <f t="shared" si="52"/>
        <v>2183.9923052700556</v>
      </c>
      <c r="KT30" s="33">
        <f t="shared" si="52"/>
        <v>2193.0922732086806</v>
      </c>
      <c r="KU30" s="33">
        <f t="shared" si="52"/>
        <v>2202.2301576803834</v>
      </c>
      <c r="KV30" s="33">
        <f t="shared" si="52"/>
        <v>2211.4061166707183</v>
      </c>
      <c r="KW30" s="33">
        <f t="shared" si="52"/>
        <v>2220.6203088235129</v>
      </c>
      <c r="KX30" s="33">
        <f t="shared" si="52"/>
        <v>2229.8728934436108</v>
      </c>
      <c r="KY30" s="33">
        <f t="shared" si="52"/>
        <v>2239.1640304996258</v>
      </c>
      <c r="KZ30" s="33">
        <f t="shared" si="52"/>
        <v>2248.4938806267078</v>
      </c>
      <c r="LA30" s="33">
        <f t="shared" si="52"/>
        <v>2257.862605129319</v>
      </c>
      <c r="LB30" s="33">
        <f t="shared" si="52"/>
        <v>2267.2703659840249</v>
      </c>
      <c r="LC30" s="33">
        <f t="shared" si="52"/>
        <v>2276.7173258422913</v>
      </c>
      <c r="LD30" s="33">
        <f t="shared" si="52"/>
        <v>2286.2036480333009</v>
      </c>
      <c r="LE30" s="33">
        <f t="shared" si="52"/>
        <v>2295.7294965667729</v>
      </c>
      <c r="LF30" s="33">
        <f t="shared" si="52"/>
        <v>2305.2950361358012</v>
      </c>
      <c r="LG30" s="33">
        <f t="shared" si="52"/>
        <v>2314.9004321197003</v>
      </c>
      <c r="LH30" s="33">
        <f t="shared" si="52"/>
        <v>2324.5458505868655</v>
      </c>
      <c r="LI30" s="33">
        <f t="shared" si="52"/>
        <v>2334.2314582976442</v>
      </c>
      <c r="LJ30" s="33">
        <f t="shared" si="52"/>
        <v>2343.957422707218</v>
      </c>
      <c r="LK30" s="33">
        <f t="shared" ref="LK30:MX30" si="53">$B$9*LJ22/12</f>
        <v>2353.7239119684978</v>
      </c>
      <c r="LL30" s="33">
        <f t="shared" si="53"/>
        <v>2363.5310949350333</v>
      </c>
      <c r="LM30" s="33">
        <f t="shared" si="53"/>
        <v>2373.379141163929</v>
      </c>
      <c r="LN30" s="33">
        <f t="shared" si="53"/>
        <v>2383.2682209187783</v>
      </c>
      <c r="LO30" s="33">
        <f t="shared" si="53"/>
        <v>2393.1985051726065</v>
      </c>
      <c r="LP30" s="33">
        <f t="shared" si="53"/>
        <v>2403.1701656108257</v>
      </c>
      <c r="LQ30" s="33">
        <f t="shared" si="53"/>
        <v>2413.183374634204</v>
      </c>
      <c r="LR30" s="33">
        <f t="shared" si="53"/>
        <v>2423.2383053618464</v>
      </c>
      <c r="LS30" s="33">
        <f t="shared" si="53"/>
        <v>2433.3351316341873</v>
      </c>
      <c r="LT30" s="33">
        <f t="shared" si="53"/>
        <v>2443.4740280159967</v>
      </c>
      <c r="LU30" s="33">
        <f t="shared" si="53"/>
        <v>2453.6551697993964</v>
      </c>
      <c r="LV30" s="33">
        <f t="shared" si="53"/>
        <v>2463.878733006894</v>
      </c>
      <c r="LW30" s="33">
        <f t="shared" si="53"/>
        <v>2474.1448943944224</v>
      </c>
      <c r="LX30" s="33">
        <f t="shared" si="53"/>
        <v>2484.4538314543993</v>
      </c>
      <c r="LY30" s="33">
        <f t="shared" si="53"/>
        <v>2494.8057224187928</v>
      </c>
      <c r="LZ30" s="33">
        <f t="shared" si="53"/>
        <v>2505.2007462622041</v>
      </c>
      <c r="MA30" s="33">
        <f t="shared" si="53"/>
        <v>2515.6390827049636</v>
      </c>
      <c r="MB30" s="33">
        <f t="shared" si="53"/>
        <v>2526.120912216234</v>
      </c>
      <c r="MC30" s="33">
        <f t="shared" si="53"/>
        <v>2536.6464160171349</v>
      </c>
      <c r="MD30" s="33">
        <f t="shared" si="53"/>
        <v>2547.2157760838732</v>
      </c>
      <c r="ME30" s="33">
        <f t="shared" si="53"/>
        <v>2557.8291751508891</v>
      </c>
      <c r="MF30" s="33">
        <f t="shared" si="53"/>
        <v>2568.4867967140176</v>
      </c>
      <c r="MG30" s="33">
        <f t="shared" si="53"/>
        <v>2579.1888250336592</v>
      </c>
      <c r="MH30" s="33">
        <f t="shared" si="53"/>
        <v>2589.9354451379663</v>
      </c>
      <c r="MI30" s="33">
        <f t="shared" si="53"/>
        <v>2600.7268428260409</v>
      </c>
      <c r="MJ30" s="33">
        <f t="shared" si="53"/>
        <v>2611.5632046711494</v>
      </c>
      <c r="MK30" s="33">
        <f t="shared" si="53"/>
        <v>2622.4447180239463</v>
      </c>
      <c r="ML30" s="33">
        <f t="shared" si="53"/>
        <v>2633.3715710157126</v>
      </c>
      <c r="MM30" s="33">
        <f t="shared" si="53"/>
        <v>2644.3439525616113</v>
      </c>
      <c r="MN30" s="33">
        <f t="shared" si="53"/>
        <v>2655.3620523639515</v>
      </c>
      <c r="MO30" s="33">
        <f t="shared" si="53"/>
        <v>2666.426060915468</v>
      </c>
      <c r="MP30" s="33">
        <f t="shared" si="53"/>
        <v>2677.5361695026158</v>
      </c>
      <c r="MQ30" s="33">
        <f t="shared" si="53"/>
        <v>2688.6925702088765</v>
      </c>
      <c r="MR30" s="33">
        <f t="shared" si="53"/>
        <v>2699.8954559180802</v>
      </c>
      <c r="MS30" s="33">
        <f t="shared" si="53"/>
        <v>2711.1450203177387</v>
      </c>
      <c r="MT30" s="33">
        <f t="shared" si="53"/>
        <v>2722.4414579023955</v>
      </c>
      <c r="MU30" s="33">
        <f t="shared" si="53"/>
        <v>2733.7849639769888</v>
      </c>
      <c r="MV30" s="33">
        <f t="shared" si="53"/>
        <v>2745.1757346602262</v>
      </c>
      <c r="MW30" s="33">
        <f t="shared" si="53"/>
        <v>2756.6139668879773</v>
      </c>
      <c r="MX30" s="55">
        <f t="shared" si="53"/>
        <v>2768.0998584166773</v>
      </c>
      <c r="MY30" s="1"/>
      <c r="MZ30" s="1"/>
      <c r="NA30" s="1"/>
      <c r="NB30" s="1"/>
      <c r="NC30" s="1"/>
      <c r="ND30" s="1"/>
      <c r="NE30" s="1"/>
      <c r="NF30" s="1"/>
      <c r="NG30" s="1"/>
      <c r="NH30" s="13">
        <v>0.14499999999999999</v>
      </c>
      <c r="NI30" s="1">
        <f>Combine!A32</f>
        <v>48911</v>
      </c>
      <c r="NJ30" s="14">
        <f>Combine!F32</f>
        <v>135423.584013771</v>
      </c>
    </row>
    <row r="31" spans="1:374" ht="12.75" customHeight="1" x14ac:dyDescent="0.3">
      <c r="A31" s="31" t="s">
        <v>872</v>
      </c>
      <c r="B31" s="32"/>
      <c r="C31" s="33">
        <f t="shared" ref="C31:BN31" si="54">(C25+C30)*$B$13</f>
        <v>21.547839442673567</v>
      </c>
      <c r="D31" s="33">
        <f t="shared" si="54"/>
        <v>21.579644439183635</v>
      </c>
      <c r="E31" s="33">
        <f t="shared" si="54"/>
        <v>21.611640410393957</v>
      </c>
      <c r="F31" s="33">
        <f t="shared" si="54"/>
        <v>21.643828225099806</v>
      </c>
      <c r="G31" s="33">
        <f t="shared" si="54"/>
        <v>21.676208755807767</v>
      </c>
      <c r="H31" s="33">
        <f t="shared" si="54"/>
        <v>21.708782878751304</v>
      </c>
      <c r="I31" s="33">
        <f t="shared" si="54"/>
        <v>21.741551473906444</v>
      </c>
      <c r="J31" s="33">
        <f t="shared" si="54"/>
        <v>21.77451542500744</v>
      </c>
      <c r="K31" s="33">
        <f t="shared" si="54"/>
        <v>21.807675619562556</v>
      </c>
      <c r="L31" s="33">
        <f t="shared" si="54"/>
        <v>21.841032948869934</v>
      </c>
      <c r="M31" s="33">
        <f t="shared" si="54"/>
        <v>21.874588308033466</v>
      </c>
      <c r="N31" s="33">
        <f t="shared" si="54"/>
        <v>21.90834259597878</v>
      </c>
      <c r="O31" s="33">
        <f t="shared" si="54"/>
        <v>21.942296715469283</v>
      </c>
      <c r="P31" s="33">
        <f t="shared" si="54"/>
        <v>21.976451573122262</v>
      </c>
      <c r="Q31" s="33">
        <f t="shared" si="54"/>
        <v>22.010808079425061</v>
      </c>
      <c r="R31" s="33">
        <f t="shared" si="54"/>
        <v>22.045367148751311</v>
      </c>
      <c r="S31" s="33">
        <f t="shared" si="54"/>
        <v>22.080129699377252</v>
      </c>
      <c r="T31" s="33">
        <f t="shared" si="54"/>
        <v>22.115096653498114</v>
      </c>
      <c r="U31" s="33">
        <f t="shared" si="54"/>
        <v>22.15026893724453</v>
      </c>
      <c r="V31" s="33">
        <f t="shared" si="54"/>
        <v>22.185647480699089</v>
      </c>
      <c r="W31" s="33">
        <f t="shared" si="54"/>
        <v>22.221233217912904</v>
      </c>
      <c r="X31" s="33">
        <f t="shared" si="54"/>
        <v>22.257027086922257</v>
      </c>
      <c r="Y31" s="33">
        <f t="shared" si="54"/>
        <v>22.29303002976533</v>
      </c>
      <c r="Z31" s="33">
        <f t="shared" si="54"/>
        <v>22.329242992498973</v>
      </c>
      <c r="AA31" s="33">
        <f t="shared" si="54"/>
        <v>22.36566692521561</v>
      </c>
      <c r="AB31" s="33">
        <f t="shared" si="54"/>
        <v>22.402302782060133</v>
      </c>
      <c r="AC31" s="33">
        <f t="shared" si="54"/>
        <v>22.439151521246917</v>
      </c>
      <c r="AD31" s="33">
        <f t="shared" si="54"/>
        <v>22.476214105076899</v>
      </c>
      <c r="AE31" s="33">
        <f t="shared" si="54"/>
        <v>22.513491499954707</v>
      </c>
      <c r="AF31" s="33">
        <f t="shared" si="54"/>
        <v>22.550984676405893</v>
      </c>
      <c r="AG31" s="33">
        <f t="shared" si="54"/>
        <v>22.588694609094219</v>
      </c>
      <c r="AH31" s="33">
        <f t="shared" si="54"/>
        <v>22.626622276839012</v>
      </c>
      <c r="AI31" s="33">
        <f t="shared" si="54"/>
        <v>22.664768662632586</v>
      </c>
      <c r="AJ31" s="33">
        <f t="shared" si="54"/>
        <v>22.703134753657768</v>
      </c>
      <c r="AK31" s="33">
        <f t="shared" si="54"/>
        <v>22.741721541305477</v>
      </c>
      <c r="AL31" s="33">
        <f t="shared" si="54"/>
        <v>22.780530021192366</v>
      </c>
      <c r="AM31" s="33">
        <f t="shared" si="54"/>
        <v>22.819561193178533</v>
      </c>
      <c r="AN31" s="33">
        <f t="shared" si="54"/>
        <v>22.858816061385362</v>
      </c>
      <c r="AO31" s="33">
        <f t="shared" si="54"/>
        <v>22.898295634213341</v>
      </c>
      <c r="AP31" s="33">
        <f t="shared" si="54"/>
        <v>22.938000924360082</v>
      </c>
      <c r="AQ31" s="33">
        <f t="shared" si="54"/>
        <v>22.97793294883828</v>
      </c>
      <c r="AR31" s="33">
        <f t="shared" si="54"/>
        <v>23.018092728993835</v>
      </c>
      <c r="AS31" s="33">
        <f t="shared" si="54"/>
        <v>23.058481290524057</v>
      </c>
      <c r="AT31" s="33">
        <f t="shared" si="54"/>
        <v>23.099099663495853</v>
      </c>
      <c r="AU31" s="33">
        <f t="shared" si="54"/>
        <v>23.139948882364124</v>
      </c>
      <c r="AV31" s="33">
        <f t="shared" si="54"/>
        <v>23.181029985990101</v>
      </c>
      <c r="AW31" s="33">
        <f t="shared" si="54"/>
        <v>23.222344017659879</v>
      </c>
      <c r="AX31" s="33">
        <f t="shared" si="54"/>
        <v>23.263892025102951</v>
      </c>
      <c r="AY31" s="33">
        <f t="shared" si="54"/>
        <v>23.305675060510829</v>
      </c>
      <c r="AZ31" s="33">
        <f t="shared" si="54"/>
        <v>23.347694180555802</v>
      </c>
      <c r="BA31" s="33">
        <f t="shared" si="54"/>
        <v>23.389950446409664</v>
      </c>
      <c r="BB31" s="33">
        <f t="shared" si="54"/>
        <v>23.432444923762631</v>
      </c>
      <c r="BC31" s="33">
        <f t="shared" si="54"/>
        <v>23.475178682842269</v>
      </c>
      <c r="BD31" s="33">
        <f t="shared" si="54"/>
        <v>23.518152798432549</v>
      </c>
      <c r="BE31" s="33">
        <f t="shared" si="54"/>
        <v>23.561368349892884</v>
      </c>
      <c r="BF31" s="33">
        <f t="shared" si="54"/>
        <v>23.604826421177396</v>
      </c>
      <c r="BG31" s="33">
        <f t="shared" si="54"/>
        <v>23.648528100854133</v>
      </c>
      <c r="BH31" s="33">
        <f t="shared" si="54"/>
        <v>23.692474482124425</v>
      </c>
      <c r="BI31" s="33">
        <f t="shared" si="54"/>
        <v>23.736666662842335</v>
      </c>
      <c r="BJ31" s="33">
        <f t="shared" si="54"/>
        <v>23.781105745534138</v>
      </c>
      <c r="BK31" s="33">
        <f t="shared" si="54"/>
        <v>23.8257928374179</v>
      </c>
      <c r="BL31" s="33">
        <f t="shared" si="54"/>
        <v>23.870729050423193</v>
      </c>
      <c r="BM31" s="33">
        <f t="shared" si="54"/>
        <v>23.915915501210829</v>
      </c>
      <c r="BN31" s="33">
        <f t="shared" si="54"/>
        <v>23.961353311192688</v>
      </c>
      <c r="BO31" s="33">
        <f t="shared" ref="BO31:DZ31" si="55">(BO25+BO30)*$B$13</f>
        <v>24.007043606551637</v>
      </c>
      <c r="BP31" s="33">
        <f t="shared" si="55"/>
        <v>24.052987518261535</v>
      </c>
      <c r="BQ31" s="33">
        <f t="shared" si="55"/>
        <v>24.099186182107339</v>
      </c>
      <c r="BR31" s="33">
        <f t="shared" si="55"/>
        <v>24.145640738705232</v>
      </c>
      <c r="BS31" s="33">
        <f t="shared" si="55"/>
        <v>24.192352333522926</v>
      </c>
      <c r="BT31" s="33">
        <f t="shared" si="55"/>
        <v>24.239322116899956</v>
      </c>
      <c r="BU31" s="33">
        <f t="shared" si="55"/>
        <v>24.286551244068132</v>
      </c>
      <c r="BV31" s="33">
        <f t="shared" si="55"/>
        <v>24.334040875172036</v>
      </c>
      <c r="BW31" s="33">
        <f t="shared" si="55"/>
        <v>24.381792175289615</v>
      </c>
      <c r="BX31" s="33">
        <f t="shared" si="55"/>
        <v>24.429806314452858</v>
      </c>
      <c r="BY31" s="33">
        <f t="shared" si="55"/>
        <v>24.478084467668577</v>
      </c>
      <c r="BZ31" s="33">
        <f t="shared" si="55"/>
        <v>24.526627814939253</v>
      </c>
      <c r="CA31" s="33">
        <f t="shared" si="55"/>
        <v>24.575437541283964</v>
      </c>
      <c r="CB31" s="33">
        <f t="shared" si="55"/>
        <v>24.624514836759431</v>
      </c>
      <c r="CC31" s="33">
        <f t="shared" si="55"/>
        <v>24.67386089648112</v>
      </c>
      <c r="CD31" s="33">
        <f t="shared" si="55"/>
        <v>24.723476920644444</v>
      </c>
      <c r="CE31" s="33">
        <f t="shared" si="55"/>
        <v>24.77336411454608</v>
      </c>
      <c r="CF31" s="33">
        <f t="shared" si="55"/>
        <v>24.823523688605306</v>
      </c>
      <c r="CG31" s="33">
        <f t="shared" si="55"/>
        <v>24.873956858385515</v>
      </c>
      <c r="CH31" s="33">
        <f t="shared" si="55"/>
        <v>24.924664844615744</v>
      </c>
      <c r="CI31" s="33">
        <f t="shared" si="55"/>
        <v>24.975648873212339</v>
      </c>
      <c r="CJ31" s="33">
        <f t="shared" si="55"/>
        <v>25.026910175300696</v>
      </c>
      <c r="CK31" s="33">
        <f t="shared" si="55"/>
        <v>25.078449987237065</v>
      </c>
      <c r="CL31" s="33">
        <f t="shared" si="55"/>
        <v>25.130269550630519</v>
      </c>
      <c r="CM31" s="33">
        <f t="shared" si="55"/>
        <v>25.182370112364925</v>
      </c>
      <c r="CN31" s="33">
        <f t="shared" si="55"/>
        <v>25.23475292462108</v>
      </c>
      <c r="CO31" s="33">
        <f t="shared" si="55"/>
        <v>25.287419244898871</v>
      </c>
      <c r="CP31" s="33">
        <f t="shared" si="55"/>
        <v>25.340370336039605</v>
      </c>
      <c r="CQ31" s="33">
        <f t="shared" si="55"/>
        <v>25.393607466248376</v>
      </c>
      <c r="CR31" s="33">
        <f t="shared" si="55"/>
        <v>25.447131909116539</v>
      </c>
      <c r="CS31" s="33">
        <f t="shared" si="55"/>
        <v>25.500944943644264</v>
      </c>
      <c r="CT31" s="33">
        <f t="shared" si="55"/>
        <v>25.555047854263254</v>
      </c>
      <c r="CU31" s="33">
        <f t="shared" si="55"/>
        <v>25.609441930859436</v>
      </c>
      <c r="CV31" s="33">
        <f t="shared" si="55"/>
        <v>25.664128468795859</v>
      </c>
      <c r="CW31" s="33">
        <f t="shared" si="55"/>
        <v>25.719108768935641</v>
      </c>
      <c r="CX31" s="33">
        <f t="shared" si="55"/>
        <v>25.774384137664992</v>
      </c>
      <c r="CY31" s="33">
        <f t="shared" si="55"/>
        <v>25.829955886916384</v>
      </c>
      <c r="CZ31" s="33">
        <f t="shared" si="55"/>
        <v>25.885825334191754</v>
      </c>
      <c r="DA31" s="33">
        <f t="shared" si="55"/>
        <v>25.941993802585877</v>
      </c>
      <c r="DB31" s="33">
        <f t="shared" si="55"/>
        <v>25.998462620809779</v>
      </c>
      <c r="DC31" s="33">
        <f t="shared" si="55"/>
        <v>26.055233123214261</v>
      </c>
      <c r="DD31" s="33">
        <f t="shared" si="55"/>
        <v>26.11230664981354</v>
      </c>
      <c r="DE31" s="33">
        <f t="shared" si="55"/>
        <v>26.169684546308979</v>
      </c>
      <c r="DF31" s="33">
        <f t="shared" si="55"/>
        <v>26.227368164112878</v>
      </c>
      <c r="DG31" s="33">
        <f t="shared" si="55"/>
        <v>26.285358860372462</v>
      </c>
      <c r="DH31" s="33">
        <f t="shared" si="55"/>
        <v>26.343657997993855</v>
      </c>
      <c r="DI31" s="33">
        <f t="shared" si="55"/>
        <v>26.402266945666224</v>
      </c>
      <c r="DJ31" s="33">
        <f t="shared" si="55"/>
        <v>26.461187077886002</v>
      </c>
      <c r="DK31" s="33">
        <f t="shared" si="55"/>
        <v>26.520419774981221</v>
      </c>
      <c r="DL31" s="33">
        <f t="shared" si="55"/>
        <v>26.579966423135929</v>
      </c>
      <c r="DM31" s="33">
        <f t="shared" si="55"/>
        <v>26.639828414414733</v>
      </c>
      <c r="DN31" s="33">
        <f t="shared" si="55"/>
        <v>26.700007146787435</v>
      </c>
      <c r="DO31" s="33">
        <f t="shared" si="55"/>
        <v>26.760504024153757</v>
      </c>
      <c r="DP31" s="33">
        <f t="shared" si="55"/>
        <v>26.821320456368177</v>
      </c>
      <c r="DQ31" s="33">
        <f t="shared" si="55"/>
        <v>26.882457859264889</v>
      </c>
      <c r="DR31" s="33">
        <f t="shared" si="55"/>
        <v>26.943917654682839</v>
      </c>
      <c r="DS31" s="33">
        <f t="shared" si="55"/>
        <v>27.005701270490874</v>
      </c>
      <c r="DT31" s="33">
        <f t="shared" si="55"/>
        <v>27.067810140613009</v>
      </c>
      <c r="DU31" s="33">
        <f t="shared" si="55"/>
        <v>27.130245705053778</v>
      </c>
      <c r="DV31" s="33">
        <f t="shared" si="55"/>
        <v>27.193009409923711</v>
      </c>
      <c r="DW31" s="33">
        <f t="shared" si="55"/>
        <v>27.256102707464894</v>
      </c>
      <c r="DX31" s="33">
        <f t="shared" si="55"/>
        <v>27.319527056076677</v>
      </c>
      <c r="DY31" s="33">
        <f t="shared" si="55"/>
        <v>27.383283920341423</v>
      </c>
      <c r="DZ31" s="33">
        <f t="shared" si="55"/>
        <v>27.447374771050445</v>
      </c>
      <c r="EA31" s="33">
        <f t="shared" ref="EA31:GL31" si="56">(EA25+EA30)*$B$13</f>
        <v>27.511801085229983</v>
      </c>
      <c r="EB31" s="33">
        <f t="shared" si="56"/>
        <v>27.576564346167306</v>
      </c>
      <c r="EC31" s="33">
        <f t="shared" si="56"/>
        <v>27.641666043436985</v>
      </c>
      <c r="ED31" s="33">
        <f t="shared" si="56"/>
        <v>27.707107672927158</v>
      </c>
      <c r="EE31" s="33">
        <f t="shared" si="56"/>
        <v>27.772890736866021</v>
      </c>
      <c r="EF31" s="33">
        <f t="shared" si="56"/>
        <v>27.839016743848347</v>
      </c>
      <c r="EG31" s="33">
        <f t="shared" si="56"/>
        <v>27.905487208862155</v>
      </c>
      <c r="EH31" s="33">
        <f t="shared" si="56"/>
        <v>27.972303653315507</v>
      </c>
      <c r="EI31" s="33">
        <f t="shared" si="56"/>
        <v>28.039467605063365</v>
      </c>
      <c r="EJ31" s="33">
        <f t="shared" si="56"/>
        <v>28.106980598434578</v>
      </c>
      <c r="EK31" s="33">
        <f t="shared" si="56"/>
        <v>28.174844174259032</v>
      </c>
      <c r="EL31" s="33">
        <f t="shared" si="56"/>
        <v>28.24305987989484</v>
      </c>
      <c r="EM31" s="33">
        <f t="shared" si="56"/>
        <v>28.311629269255697</v>
      </c>
      <c r="EN31" s="33">
        <f t="shared" si="56"/>
        <v>28.380553902838301</v>
      </c>
      <c r="EO31" s="33">
        <f t="shared" si="56"/>
        <v>28.449835347749964</v>
      </c>
      <c r="EP31" s="33">
        <f t="shared" si="56"/>
        <v>28.519475177736236</v>
      </c>
      <c r="EQ31" s="33">
        <f t="shared" si="56"/>
        <v>28.589474973208752</v>
      </c>
      <c r="ER31" s="33">
        <f t="shared" si="56"/>
        <v>28.659836321273126</v>
      </c>
      <c r="ES31" s="33">
        <f t="shared" si="56"/>
        <v>28.730560815756945</v>
      </c>
      <c r="ET31" s="33">
        <f t="shared" si="56"/>
        <v>28.801650057237971</v>
      </c>
      <c r="EU31" s="33">
        <f t="shared" si="56"/>
        <v>28.873105653072361</v>
      </c>
      <c r="EV31" s="33">
        <f t="shared" si="56"/>
        <v>28.94492921742307</v>
      </c>
      <c r="EW31" s="33">
        <f t="shared" si="56"/>
        <v>29.017122371288309</v>
      </c>
      <c r="EX31" s="33">
        <f t="shared" si="56"/>
        <v>29.089686742530247</v>
      </c>
      <c r="EY31" s="33">
        <f t="shared" si="56"/>
        <v>29.162623965903645</v>
      </c>
      <c r="EZ31" s="33">
        <f t="shared" si="56"/>
        <v>29.235935683084787</v>
      </c>
      <c r="FA31" s="33">
        <f t="shared" si="56"/>
        <v>29.309623542700429</v>
      </c>
      <c r="FB31" s="33">
        <f t="shared" si="56"/>
        <v>29.383689200356898</v>
      </c>
      <c r="FC31" s="33">
        <f t="shared" si="56"/>
        <v>29.458134318669313</v>
      </c>
      <c r="FD31" s="33">
        <f t="shared" si="56"/>
        <v>29.532960567290917</v>
      </c>
      <c r="FE31" s="33">
        <f t="shared" si="56"/>
        <v>29.608169622942572</v>
      </c>
      <c r="FF31" s="33">
        <f t="shared" si="56"/>
        <v>29.683763169442308</v>
      </c>
      <c r="FG31" s="33">
        <f t="shared" si="56"/>
        <v>29.759742897735059</v>
      </c>
      <c r="FH31" s="33">
        <f t="shared" si="56"/>
        <v>29.83611050592247</v>
      </c>
      <c r="FI31" s="33">
        <f t="shared" si="56"/>
        <v>29.912867699292896</v>
      </c>
      <c r="FJ31" s="33">
        <f t="shared" si="56"/>
        <v>29.990016190351454</v>
      </c>
      <c r="FK31" s="33">
        <f t="shared" si="56"/>
        <v>30.067557698850234</v>
      </c>
      <c r="FL31" s="33">
        <f t="shared" si="56"/>
        <v>30.145493951818651</v>
      </c>
      <c r="FM31" s="33">
        <f t="shared" si="56"/>
        <v>30.223826683593881</v>
      </c>
      <c r="FN31" s="33">
        <f t="shared" si="56"/>
        <v>30.302557635851485</v>
      </c>
      <c r="FO31" s="33">
        <f t="shared" si="56"/>
        <v>30.381688557636103</v>
      </c>
      <c r="FP31" s="33">
        <f t="shared" si="56"/>
        <v>30.461221205392281</v>
      </c>
      <c r="FQ31" s="33">
        <f t="shared" si="56"/>
        <v>30.541157342995497</v>
      </c>
      <c r="FR31" s="33">
        <f t="shared" si="56"/>
        <v>30.621498741783206</v>
      </c>
      <c r="FS31" s="33">
        <f t="shared" si="56"/>
        <v>30.702247180586113</v>
      </c>
      <c r="FT31" s="33">
        <f t="shared" si="56"/>
        <v>30.783404445759512</v>
      </c>
      <c r="FU31" s="33">
        <f t="shared" si="56"/>
        <v>30.864972331214787</v>
      </c>
      <c r="FV31" s="33">
        <f t="shared" si="56"/>
        <v>30.946952638451055</v>
      </c>
      <c r="FW31" s="33">
        <f t="shared" si="56"/>
        <v>31.029347176586871</v>
      </c>
      <c r="FX31" s="33">
        <f t="shared" si="56"/>
        <v>31.112157762392201</v>
      </c>
      <c r="FY31" s="33">
        <f t="shared" si="56"/>
        <v>31.195386220320344</v>
      </c>
      <c r="FZ31" s="33">
        <f t="shared" si="56"/>
        <v>31.279034382540178</v>
      </c>
      <c r="GA31" s="33">
        <f t="shared" si="56"/>
        <v>31.363104088968395</v>
      </c>
      <c r="GB31" s="33">
        <f t="shared" si="56"/>
        <v>31.447597187301945</v>
      </c>
      <c r="GC31" s="33">
        <f t="shared" si="56"/>
        <v>31.532515533050592</v>
      </c>
      <c r="GD31" s="33">
        <f t="shared" si="56"/>
        <v>31.617860989569621</v>
      </c>
      <c r="GE31" s="33">
        <f t="shared" si="56"/>
        <v>31.703635428092653</v>
      </c>
      <c r="GF31" s="33">
        <f t="shared" si="56"/>
        <v>31.789840727764616</v>
      </c>
      <c r="GG31" s="33">
        <f t="shared" si="56"/>
        <v>31.876478775674872</v>
      </c>
      <c r="GH31" s="33">
        <f t="shared" si="56"/>
        <v>31.96355146689044</v>
      </c>
      <c r="GI31" s="33">
        <f t="shared" si="56"/>
        <v>32.051060704489394</v>
      </c>
      <c r="GJ31" s="33">
        <f t="shared" si="56"/>
        <v>32.139008399594374</v>
      </c>
      <c r="GK31" s="33">
        <f t="shared" si="56"/>
        <v>32.227396471406259</v>
      </c>
      <c r="GL31" s="33">
        <f t="shared" si="56"/>
        <v>32.316226847237971</v>
      </c>
      <c r="GM31" s="33">
        <f t="shared" ref="GM31:IX31" si="57">(GM25+GM30)*$B$13</f>
        <v>32.405501462548401</v>
      </c>
      <c r="GN31" s="33">
        <f t="shared" si="57"/>
        <v>32.495222260976526</v>
      </c>
      <c r="GO31" s="33">
        <f t="shared" si="57"/>
        <v>32.585391194375603</v>
      </c>
      <c r="GP31" s="33">
        <f t="shared" si="57"/>
        <v>32.676010222847573</v>
      </c>
      <c r="GQ31" s="33">
        <f t="shared" si="57"/>
        <v>32.767081314777563</v>
      </c>
      <c r="GR31" s="33">
        <f t="shared" si="57"/>
        <v>32.858606446868507</v>
      </c>
      <c r="GS31" s="33">
        <f t="shared" si="57"/>
        <v>32.950587604176029</v>
      </c>
      <c r="GT31" s="33">
        <f t="shared" si="57"/>
        <v>33.043026780143308</v>
      </c>
      <c r="GU31" s="33">
        <f t="shared" si="57"/>
        <v>33.135925976636223</v>
      </c>
      <c r="GV31" s="33">
        <f t="shared" si="57"/>
        <v>33.229287203978593</v>
      </c>
      <c r="GW31" s="33">
        <f t="shared" si="57"/>
        <v>33.323112480987518</v>
      </c>
      <c r="GX31" s="33">
        <f t="shared" si="57"/>
        <v>33.417403835008983</v>
      </c>
      <c r="GY31" s="33">
        <f t="shared" si="57"/>
        <v>33.512163301953478</v>
      </c>
      <c r="GZ31" s="33">
        <f t="shared" si="57"/>
        <v>33.607392926331883</v>
      </c>
      <c r="HA31" s="33">
        <f t="shared" si="57"/>
        <v>33.703094761291389</v>
      </c>
      <c r="HB31" s="33">
        <f t="shared" si="57"/>
        <v>33.799270868651696</v>
      </c>
      <c r="HC31" s="33">
        <f t="shared" si="57"/>
        <v>33.895923318941229</v>
      </c>
      <c r="HD31" s="33">
        <f t="shared" si="57"/>
        <v>33.993054191433664</v>
      </c>
      <c r="HE31" s="33">
        <f t="shared" si="57"/>
        <v>34.090665574184399</v>
      </c>
      <c r="HF31" s="33">
        <f t="shared" si="57"/>
        <v>34.188759564067375</v>
      </c>
      <c r="HG31" s="33">
        <f t="shared" si="57"/>
        <v>34.287338266811936</v>
      </c>
      <c r="HH31" s="33">
        <f t="shared" si="57"/>
        <v>34.386403797039897</v>
      </c>
      <c r="HI31" s="33">
        <f t="shared" si="57"/>
        <v>34.485958278302704</v>
      </c>
      <c r="HJ31" s="33">
        <f t="shared" si="57"/>
        <v>34.586003843118831</v>
      </c>
      <c r="HK31" s="33">
        <f t="shared" si="57"/>
        <v>34.686542633011278</v>
      </c>
      <c r="HL31" s="33">
        <f t="shared" si="57"/>
        <v>34.78757679854521</v>
      </c>
      <c r="HM31" s="33">
        <f t="shared" si="57"/>
        <v>34.889108499365832</v>
      </c>
      <c r="HN31" s="33">
        <f t="shared" si="57"/>
        <v>34.99113990423632</v>
      </c>
      <c r="HO31" s="33">
        <f t="shared" si="57"/>
        <v>35.093673191076014</v>
      </c>
      <c r="HP31" s="33">
        <f t="shared" si="57"/>
        <v>35.196710546998688</v>
      </c>
      <c r="HQ31" s="33">
        <f t="shared" si="57"/>
        <v>35.300254168350982</v>
      </c>
      <c r="HR31" s="33">
        <f t="shared" si="57"/>
        <v>35.404306260751099</v>
      </c>
      <c r="HS31" s="33">
        <f t="shared" si="57"/>
        <v>35.508869039127511</v>
      </c>
      <c r="HT31" s="33">
        <f t="shared" si="57"/>
        <v>35.613944727757946</v>
      </c>
      <c r="HU31" s="33">
        <f t="shared" si="57"/>
        <v>35.719535560308472</v>
      </c>
      <c r="HV31" s="33">
        <f t="shared" si="57"/>
        <v>35.825643779872792</v>
      </c>
      <c r="HW31" s="33">
        <f t="shared" si="57"/>
        <v>35.932271639011617</v>
      </c>
      <c r="HX31" s="33">
        <f t="shared" si="57"/>
        <v>36.039421399792339</v>
      </c>
      <c r="HY31" s="33">
        <f t="shared" si="57"/>
        <v>36.147095333828773</v>
      </c>
      <c r="HZ31" s="33">
        <f t="shared" si="57"/>
        <v>36.255295722321037</v>
      </c>
      <c r="IA31" s="33">
        <f t="shared" si="57"/>
        <v>36.364024856095689</v>
      </c>
      <c r="IB31" s="33">
        <f t="shared" si="57"/>
        <v>36.473285035646001</v>
      </c>
      <c r="IC31" s="33">
        <f t="shared" si="57"/>
        <v>36.583078571172322</v>
      </c>
      <c r="ID31" s="33">
        <f t="shared" si="57"/>
        <v>36.693407782622792</v>
      </c>
      <c r="IE31" s="33">
        <f t="shared" si="57"/>
        <v>36.804274999733977</v>
      </c>
      <c r="IF31" s="33">
        <f t="shared" si="57"/>
        <v>36.9156825620719</v>
      </c>
      <c r="IG31" s="33">
        <f t="shared" si="57"/>
        <v>37.027632819073112</v>
      </c>
      <c r="IH31" s="33">
        <f t="shared" si="57"/>
        <v>37.140128130085998</v>
      </c>
      <c r="II31" s="33">
        <f t="shared" si="57"/>
        <v>37.253170864412198</v>
      </c>
      <c r="IJ31" s="33">
        <f t="shared" si="57"/>
        <v>37.366763401348244</v>
      </c>
      <c r="IK31" s="33">
        <f t="shared" si="57"/>
        <v>37.480908130227363</v>
      </c>
      <c r="IL31" s="33">
        <f t="shared" si="57"/>
        <v>37.595607450461451</v>
      </c>
      <c r="IM31" s="33">
        <f t="shared" si="57"/>
        <v>37.71086377158322</v>
      </c>
      <c r="IN31" s="33">
        <f t="shared" si="57"/>
        <v>37.826679513288518</v>
      </c>
      <c r="IO31" s="33">
        <f t="shared" si="57"/>
        <v>37.943057105478829</v>
      </c>
      <c r="IP31" s="33">
        <f t="shared" si="57"/>
        <v>38.05999898830396</v>
      </c>
      <c r="IQ31" s="33">
        <f t="shared" si="57"/>
        <v>38.177507612204899</v>
      </c>
      <c r="IR31" s="33">
        <f t="shared" si="57"/>
        <v>38.295585437956824</v>
      </c>
      <c r="IS31" s="33">
        <f t="shared" si="57"/>
        <v>38.414234936712347</v>
      </c>
      <c r="IT31" s="33">
        <f t="shared" si="57"/>
        <v>38.533458590044901</v>
      </c>
      <c r="IU31" s="33">
        <f t="shared" si="57"/>
        <v>38.653258889992301</v>
      </c>
      <c r="IV31" s="33">
        <f t="shared" si="57"/>
        <v>38.773638339100508</v>
      </c>
      <c r="IW31" s="33">
        <f t="shared" si="57"/>
        <v>38.894599450467588</v>
      </c>
      <c r="IX31" s="33">
        <f t="shared" si="57"/>
        <v>39.01614474778782</v>
      </c>
      <c r="IY31" s="33">
        <f t="shared" ref="IY31:LJ31" si="58">(IY25+IY30)*$B$13</f>
        <v>39.138276765395986</v>
      </c>
      <c r="IZ31" s="33">
        <f t="shared" si="58"/>
        <v>39.26099804831189</v>
      </c>
      <c r="JA31" s="33">
        <f t="shared" si="58"/>
        <v>39.384311152285036</v>
      </c>
      <c r="JB31" s="33">
        <f t="shared" si="58"/>
        <v>39.508218643839449</v>
      </c>
      <c r="JC31" s="33">
        <f t="shared" si="58"/>
        <v>39.632723100318785</v>
      </c>
      <c r="JD31" s="33">
        <f t="shared" si="58"/>
        <v>39.75782710993154</v>
      </c>
      <c r="JE31" s="33">
        <f t="shared" si="58"/>
        <v>39.88353327179648</v>
      </c>
      <c r="JF31" s="33">
        <f t="shared" si="58"/>
        <v>40.009844195988236</v>
      </c>
      <c r="JG31" s="33">
        <f t="shared" si="58"/>
        <v>40.136762503583171</v>
      </c>
      <c r="JH31" s="33">
        <f t="shared" si="58"/>
        <v>40.264290826705299</v>
      </c>
      <c r="JI31" s="33">
        <f t="shared" si="58"/>
        <v>40.392431808572567</v>
      </c>
      <c r="JJ31" s="33">
        <f t="shared" si="58"/>
        <v>40.521188103543153</v>
      </c>
      <c r="JK31" s="33">
        <f t="shared" si="58"/>
        <v>40.650562377162082</v>
      </c>
      <c r="JL31" s="33">
        <f t="shared" si="58"/>
        <v>40.780557306207996</v>
      </c>
      <c r="JM31" s="33">
        <f t="shared" si="58"/>
        <v>40.911175578740107</v>
      </c>
      <c r="JN31" s="33">
        <f t="shared" si="58"/>
        <v>41.042419894145397</v>
      </c>
      <c r="JO31" s="33">
        <f t="shared" si="58"/>
        <v>41.17429296318592</v>
      </c>
      <c r="JP31" s="33">
        <f t="shared" si="58"/>
        <v>41.306797508046373</v>
      </c>
      <c r="JQ31" s="33">
        <f t="shared" si="58"/>
        <v>41.439936262381906</v>
      </c>
      <c r="JR31" s="33">
        <f t="shared" si="58"/>
        <v>41.573711971365995</v>
      </c>
      <c r="JS31" s="33">
        <f t="shared" si="58"/>
        <v>41.708127391738628</v>
      </c>
      <c r="JT31" s="33">
        <f t="shared" si="58"/>
        <v>41.843185291854681</v>
      </c>
      <c r="JU31" s="33">
        <f t="shared" si="58"/>
        <v>41.978888451732466</v>
      </c>
      <c r="JV31" s="33">
        <f t="shared" si="58"/>
        <v>42.11523966310245</v>
      </c>
      <c r="JW31" s="33">
        <f t="shared" si="58"/>
        <v>42.252241729456244</v>
      </c>
      <c r="JX31" s="33">
        <f t="shared" si="58"/>
        <v>42.389897466095817</v>
      </c>
      <c r="JY31" s="33">
        <f t="shared" si="58"/>
        <v>42.528209700182764</v>
      </c>
      <c r="JZ31" s="33">
        <f t="shared" si="58"/>
        <v>42.66718127078795</v>
      </c>
      <c r="KA31" s="33">
        <f t="shared" si="58"/>
        <v>42.806815028941337</v>
      </c>
      <c r="KB31" s="33">
        <f t="shared" si="58"/>
        <v>42.947113837681854</v>
      </c>
      <c r="KC31" s="33">
        <f t="shared" si="58"/>
        <v>43.088080572107692</v>
      </c>
      <c r="KD31" s="33">
        <f t="shared" si="58"/>
        <v>43.229718119426693</v>
      </c>
      <c r="KE31" s="33">
        <f t="shared" si="58"/>
        <v>43.372029379006946</v>
      </c>
      <c r="KF31" s="33">
        <f t="shared" si="58"/>
        <v>43.515017262427648</v>
      </c>
      <c r="KG31" s="33">
        <f t="shared" si="58"/>
        <v>43.658684693530112</v>
      </c>
      <c r="KH31" s="33">
        <f t="shared" si="58"/>
        <v>43.803034608469069</v>
      </c>
      <c r="KI31" s="33">
        <f t="shared" si="58"/>
        <v>43.948069955764083</v>
      </c>
      <c r="KJ31" s="33">
        <f t="shared" si="58"/>
        <v>44.093793696351284</v>
      </c>
      <c r="KK31" s="33">
        <f t="shared" si="58"/>
        <v>44.240208803635241</v>
      </c>
      <c r="KL31" s="33">
        <f t="shared" si="58"/>
        <v>44.387318263541076</v>
      </c>
      <c r="KM31" s="33">
        <f t="shared" si="58"/>
        <v>44.535125074566793</v>
      </c>
      <c r="KN31" s="33">
        <f t="shared" si="58"/>
        <v>44.683632247835874</v>
      </c>
      <c r="KO31" s="33">
        <f t="shared" si="58"/>
        <v>44.832842807149994</v>
      </c>
      <c r="KP31" s="33">
        <f t="shared" si="58"/>
        <v>44.982759789042021</v>
      </c>
      <c r="KQ31" s="33">
        <f t="shared" si="58"/>
        <v>45.133386242829268</v>
      </c>
      <c r="KR31" s="33">
        <f t="shared" si="58"/>
        <v>45.284725230666879</v>
      </c>
      <c r="KS31" s="33">
        <f t="shared" si="58"/>
        <v>45.436779827601534</v>
      </c>
      <c r="KT31" s="33">
        <f t="shared" si="58"/>
        <v>45.589553121625251</v>
      </c>
      <c r="KU31" s="33">
        <f t="shared" si="58"/>
        <v>45.743048213729587</v>
      </c>
      <c r="KV31" s="33">
        <f t="shared" si="58"/>
        <v>45.897268217959912</v>
      </c>
      <c r="KW31" s="33">
        <f t="shared" si="58"/>
        <v>46.052216261469951</v>
      </c>
      <c r="KX31" s="33">
        <f t="shared" si="58"/>
        <v>46.207895484576632</v>
      </c>
      <c r="KY31" s="33">
        <f t="shared" si="58"/>
        <v>46.364309040815023</v>
      </c>
      <c r="KZ31" s="33">
        <f t="shared" si="58"/>
        <v>46.521460096993664</v>
      </c>
      <c r="LA31" s="33">
        <f t="shared" si="58"/>
        <v>46.679351833249932</v>
      </c>
      <c r="LB31" s="33">
        <f t="shared" si="58"/>
        <v>46.837987443105838</v>
      </c>
      <c r="LC31" s="33">
        <f t="shared" si="58"/>
        <v>46.997370133523923</v>
      </c>
      <c r="LD31" s="33">
        <f t="shared" si="58"/>
        <v>47.157503124963426</v>
      </c>
      <c r="LE31" s="33">
        <f t="shared" si="58"/>
        <v>47.318389651436711</v>
      </c>
      <c r="LF31" s="33">
        <f t="shared" si="58"/>
        <v>47.480032960565872</v>
      </c>
      <c r="LG31" s="33">
        <f t="shared" si="58"/>
        <v>47.642436313639628</v>
      </c>
      <c r="LH31" s="33">
        <f t="shared" si="58"/>
        <v>47.805602985670461</v>
      </c>
      <c r="LI31" s="33">
        <f t="shared" si="58"/>
        <v>47.969536265451914</v>
      </c>
      <c r="LJ31" s="33">
        <f t="shared" si="58"/>
        <v>48.134239455616239</v>
      </c>
      <c r="LK31" s="33">
        <f t="shared" ref="LK31:NV31" si="59">(LK25+LK30)*$B$13</f>
        <v>48.299715872692133</v>
      </c>
      <c r="LL31" s="33">
        <f t="shared" si="59"/>
        <v>48.465968847162969</v>
      </c>
      <c r="LM31" s="33">
        <f t="shared" si="59"/>
        <v>48.633001723524934</v>
      </c>
      <c r="LN31" s="33">
        <f t="shared" si="59"/>
        <v>48.800817860345688</v>
      </c>
      <c r="LO31" s="33">
        <f t="shared" si="59"/>
        <v>48.969420630323185</v>
      </c>
      <c r="LP31" s="33">
        <f t="shared" si="59"/>
        <v>49.138813420344626</v>
      </c>
      <c r="LQ31" s="33">
        <f t="shared" si="59"/>
        <v>49.308999631545817</v>
      </c>
      <c r="LR31" s="33">
        <f t="shared" si="59"/>
        <v>49.479982679370707</v>
      </c>
      <c r="LS31" s="33">
        <f t="shared" si="59"/>
        <v>49.651765993631159</v>
      </c>
      <c r="LT31" s="33">
        <f t="shared" si="59"/>
        <v>49.824353018567002</v>
      </c>
      <c r="LU31" s="33">
        <f t="shared" si="59"/>
        <v>49.997747212906269</v>
      </c>
      <c r="LV31" s="33">
        <f t="shared" si="59"/>
        <v>50.171952049925842</v>
      </c>
      <c r="LW31" s="33">
        <f t="shared" si="59"/>
        <v>50.346971017512118</v>
      </c>
      <c r="LX31" s="33">
        <f t="shared" si="59"/>
        <v>50.522807618222146</v>
      </c>
      <c r="LY31" s="33">
        <f t="shared" si="59"/>
        <v>50.6994653693449</v>
      </c>
      <c r="LZ31" s="33">
        <f t="shared" si="59"/>
        <v>50.876947802962803</v>
      </c>
      <c r="MA31" s="33">
        <f t="shared" si="59"/>
        <v>51.055258466013612</v>
      </c>
      <c r="MB31" s="33">
        <f t="shared" si="59"/>
        <v>51.234400920352385</v>
      </c>
      <c r="MC31" s="33">
        <f t="shared" si="59"/>
        <v>51.414378742813895</v>
      </c>
      <c r="MD31" s="33">
        <f t="shared" si="59"/>
        <v>51.595195525275223</v>
      </c>
      <c r="ME31" s="33">
        <f t="shared" si="59"/>
        <v>51.776854874718509</v>
      </c>
      <c r="MF31" s="33">
        <f t="shared" si="59"/>
        <v>51.959360413294171</v>
      </c>
      <c r="MG31" s="33">
        <f t="shared" si="59"/>
        <v>52.142715778384236</v>
      </c>
      <c r="MH31" s="33">
        <f t="shared" si="59"/>
        <v>52.326924622665985</v>
      </c>
      <c r="MI31" s="33">
        <f t="shared" si="59"/>
        <v>52.511990614175829</v>
      </c>
      <c r="MJ31" s="33">
        <f t="shared" si="59"/>
        <v>52.697917436373537</v>
      </c>
      <c r="MK31" s="33">
        <f t="shared" si="59"/>
        <v>52.88470878820663</v>
      </c>
      <c r="ML31" s="33">
        <f t="shared" si="59"/>
        <v>53.072368384175078</v>
      </c>
      <c r="MM31" s="33">
        <f t="shared" si="59"/>
        <v>53.260899954396344</v>
      </c>
      <c r="MN31" s="33">
        <f t="shared" si="59"/>
        <v>53.450307244670576</v>
      </c>
      <c r="MO31" s="33">
        <f t="shared" si="59"/>
        <v>53.64059401654611</v>
      </c>
      <c r="MP31" s="33">
        <f t="shared" si="59"/>
        <v>53.831764047385334</v>
      </c>
      <c r="MQ31" s="33">
        <f t="shared" si="59"/>
        <v>54.023821130430683</v>
      </c>
      <c r="MR31" s="33">
        <f t="shared" si="59"/>
        <v>54.216769074871038</v>
      </c>
      <c r="MS31" s="33">
        <f t="shared" si="59"/>
        <v>54.410611705908316</v>
      </c>
      <c r="MT31" s="33">
        <f t="shared" si="59"/>
        <v>54.605352864824361</v>
      </c>
      <c r="MU31" s="33">
        <f t="shared" si="59"/>
        <v>54.800996409048167</v>
      </c>
      <c r="MV31" s="33">
        <f t="shared" si="59"/>
        <v>54.997546212223263</v>
      </c>
      <c r="MW31" s="33">
        <f t="shared" si="59"/>
        <v>55.195006164275526</v>
      </c>
      <c r="MX31" s="55">
        <f t="shared" si="59"/>
        <v>55.393380171481141</v>
      </c>
      <c r="MY31" s="1"/>
      <c r="MZ31" s="1"/>
      <c r="NA31" s="1"/>
      <c r="NB31" s="1"/>
      <c r="NC31" s="1"/>
      <c r="ND31" s="1"/>
      <c r="NE31" s="1"/>
      <c r="NF31" s="1"/>
      <c r="NG31" s="1"/>
      <c r="NH31" s="13">
        <v>0.15</v>
      </c>
      <c r="NI31" s="1">
        <f>Combine!A33</f>
        <v>48170</v>
      </c>
      <c r="NJ31" s="14">
        <f>Combine!F33</f>
        <v>417891.42041844199</v>
      </c>
    </row>
    <row r="32" spans="1:374" ht="12.75" customHeight="1" x14ac:dyDescent="0.3">
      <c r="A32" s="37" t="s">
        <v>873</v>
      </c>
      <c r="B32" s="38"/>
      <c r="C32" s="39">
        <f t="shared" ref="C32:BN32" si="60">C26+C28+C29+C30-C31</f>
        <v>2345.1940679917107</v>
      </c>
      <c r="D32" s="39">
        <f t="shared" si="60"/>
        <v>2347.7545793600766</v>
      </c>
      <c r="E32" s="39">
        <f t="shared" si="60"/>
        <v>2350.325701071929</v>
      </c>
      <c r="F32" s="39">
        <f t="shared" si="60"/>
        <v>2352.9074772639651</v>
      </c>
      <c r="G32" s="39">
        <f t="shared" si="60"/>
        <v>2355.4999522566941</v>
      </c>
      <c r="H32" s="39">
        <f t="shared" si="60"/>
        <v>2358.1031705552014</v>
      </c>
      <c r="I32" s="39">
        <f t="shared" si="60"/>
        <v>2360.7171768499202</v>
      </c>
      <c r="J32" s="39">
        <f t="shared" si="60"/>
        <v>2363.3420160174005</v>
      </c>
      <c r="K32" s="39">
        <f t="shared" si="60"/>
        <v>2365.977733121088</v>
      </c>
      <c r="L32" s="39">
        <f t="shared" si="60"/>
        <v>2368.624373412099</v>
      </c>
      <c r="M32" s="39">
        <f t="shared" si="60"/>
        <v>2371.2819823300056</v>
      </c>
      <c r="N32" s="39">
        <f t="shared" si="60"/>
        <v>2373.9506055036172</v>
      </c>
      <c r="O32" s="39">
        <f t="shared" si="60"/>
        <v>2376.6302887517741</v>
      </c>
      <c r="P32" s="39">
        <f t="shared" si="60"/>
        <v>2379.3210780841337</v>
      </c>
      <c r="Q32" s="39">
        <f t="shared" si="60"/>
        <v>2382.0230197019682</v>
      </c>
      <c r="R32" s="39">
        <f t="shared" si="60"/>
        <v>2384.736159998964</v>
      </c>
      <c r="S32" s="39">
        <f t="shared" si="60"/>
        <v>2387.460545562019</v>
      </c>
      <c r="T32" s="39">
        <f t="shared" si="60"/>
        <v>2390.1962231720527</v>
      </c>
      <c r="U32" s="39">
        <f t="shared" si="60"/>
        <v>2392.943239804812</v>
      </c>
      <c r="V32" s="39">
        <f t="shared" si="60"/>
        <v>2395.7016426316818</v>
      </c>
      <c r="W32" s="39">
        <f t="shared" si="60"/>
        <v>2398.4714790205021</v>
      </c>
      <c r="X32" s="39">
        <f t="shared" si="60"/>
        <v>2401.2527965363847</v>
      </c>
      <c r="Y32" s="39">
        <f t="shared" si="60"/>
        <v>2404.0456429425381</v>
      </c>
      <c r="Z32" s="39">
        <f t="shared" si="60"/>
        <v>2406.8500662010879</v>
      </c>
      <c r="AA32" s="39">
        <f t="shared" si="60"/>
        <v>2409.6661144739105</v>
      </c>
      <c r="AB32" s="39">
        <f t="shared" si="60"/>
        <v>2412.4938361234608</v>
      </c>
      <c r="AC32" s="39">
        <f t="shared" si="60"/>
        <v>2415.3332797136131</v>
      </c>
      <c r="AD32" s="39">
        <f t="shared" si="60"/>
        <v>2418.1844940104943</v>
      </c>
      <c r="AE32" s="39">
        <f t="shared" si="60"/>
        <v>2421.0475279833299</v>
      </c>
      <c r="AF32" s="39">
        <f t="shared" si="60"/>
        <v>2423.9224308052917</v>
      </c>
      <c r="AG32" s="39">
        <f t="shared" si="60"/>
        <v>2426.8092518543431</v>
      </c>
      <c r="AH32" s="39">
        <f t="shared" si="60"/>
        <v>2429.7080407140948</v>
      </c>
      <c r="AI32" s="39">
        <f t="shared" si="60"/>
        <v>2432.6188471746627</v>
      </c>
      <c r="AJ32" s="39">
        <f t="shared" si="60"/>
        <v>2435.5417212335251</v>
      </c>
      <c r="AK32" s="39">
        <f t="shared" si="60"/>
        <v>2438.4767130963892</v>
      </c>
      <c r="AL32" s="39">
        <f t="shared" si="60"/>
        <v>2441.4238731780583</v>
      </c>
      <c r="AM32" s="39">
        <f t="shared" si="60"/>
        <v>2444.3832521033014</v>
      </c>
      <c r="AN32" s="39">
        <f t="shared" si="60"/>
        <v>2447.3549007077295</v>
      </c>
      <c r="AO32" s="39">
        <f t="shared" si="60"/>
        <v>2450.3388700386718</v>
      </c>
      <c r="AP32" s="39">
        <f t="shared" si="60"/>
        <v>2453.3352113560609</v>
      </c>
      <c r="AQ32" s="39">
        <f t="shared" si="60"/>
        <v>2456.343976133317</v>
      </c>
      <c r="AR32" s="39">
        <f t="shared" si="60"/>
        <v>2459.365216058236</v>
      </c>
      <c r="AS32" s="39">
        <f t="shared" si="60"/>
        <v>2462.3989830338851</v>
      </c>
      <c r="AT32" s="39">
        <f t="shared" si="60"/>
        <v>2465.4453291794971</v>
      </c>
      <c r="AU32" s="39">
        <f t="shared" si="60"/>
        <v>2468.5043068313739</v>
      </c>
      <c r="AV32" s="39">
        <f t="shared" si="60"/>
        <v>2471.5759685437874</v>
      </c>
      <c r="AW32" s="39">
        <f t="shared" si="60"/>
        <v>2474.6603670898908</v>
      </c>
      <c r="AX32" s="39">
        <f t="shared" si="60"/>
        <v>2477.7575554626283</v>
      </c>
      <c r="AY32" s="39">
        <f t="shared" si="60"/>
        <v>2480.8675868756513</v>
      </c>
      <c r="AZ32" s="39">
        <f t="shared" si="60"/>
        <v>2483.9905147642398</v>
      </c>
      <c r="BA32" s="39">
        <f t="shared" si="60"/>
        <v>2487.1263927862215</v>
      </c>
      <c r="BB32" s="39">
        <f t="shared" si="60"/>
        <v>2490.2752748229036</v>
      </c>
      <c r="BC32" s="39">
        <f t="shared" si="60"/>
        <v>2493.4372149800001</v>
      </c>
      <c r="BD32" s="39">
        <f t="shared" si="60"/>
        <v>2496.6122675885708</v>
      </c>
      <c r="BE32" s="39">
        <f t="shared" si="60"/>
        <v>2499.8004872059555</v>
      </c>
      <c r="BF32" s="39">
        <f t="shared" si="60"/>
        <v>2503.0019286167199</v>
      </c>
      <c r="BG32" s="39">
        <f t="shared" si="60"/>
        <v>2506.2166468336</v>
      </c>
      <c r="BH32" s="39">
        <f t="shared" si="60"/>
        <v>2509.4446970984554</v>
      </c>
      <c r="BI32" s="39">
        <f t="shared" si="60"/>
        <v>2512.6861348832222</v>
      </c>
      <c r="BJ32" s="39">
        <f t="shared" si="60"/>
        <v>2515.9410158908713</v>
      </c>
      <c r="BK32" s="39">
        <f t="shared" si="60"/>
        <v>2519.209396056372</v>
      </c>
      <c r="BL32" s="39">
        <f t="shared" si="60"/>
        <v>2522.4913315476565</v>
      </c>
      <c r="BM32" s="39">
        <f t="shared" si="60"/>
        <v>2525.786878766593</v>
      </c>
      <c r="BN32" s="39">
        <f t="shared" si="60"/>
        <v>2529.096094349959</v>
      </c>
      <c r="BO32" s="39">
        <f t="shared" ref="BO32:DZ32" si="61">BO26+BO28+BO29+BO30-BO31</f>
        <v>2532.419035170421</v>
      </c>
      <c r="BP32" s="39">
        <f t="shared" si="61"/>
        <v>2535.7557583375142</v>
      </c>
      <c r="BQ32" s="39">
        <f t="shared" si="61"/>
        <v>2539.1063211986334</v>
      </c>
      <c r="BR32" s="39">
        <f t="shared" si="61"/>
        <v>2542.4707813400205</v>
      </c>
      <c r="BS32" s="39">
        <f t="shared" si="61"/>
        <v>2545.8491965877629</v>
      </c>
      <c r="BT32" s="39">
        <f t="shared" si="61"/>
        <v>2549.2416250087904</v>
      </c>
      <c r="BU32" s="39">
        <f t="shared" si="61"/>
        <v>2552.6481249118783</v>
      </c>
      <c r="BV32" s="39">
        <f t="shared" si="61"/>
        <v>2556.0687548486567</v>
      </c>
      <c r="BW32" s="39">
        <f t="shared" si="61"/>
        <v>2559.5035736146206</v>
      </c>
      <c r="BX32" s="39">
        <f t="shared" si="61"/>
        <v>2562.9526402501479</v>
      </c>
      <c r="BY32" s="39">
        <f t="shared" si="61"/>
        <v>2566.416014041517</v>
      </c>
      <c r="BZ32" s="39">
        <f t="shared" si="61"/>
        <v>2569.8937545219333</v>
      </c>
      <c r="CA32" s="39">
        <f t="shared" si="61"/>
        <v>2573.385921472558</v>
      </c>
      <c r="CB32" s="39">
        <f t="shared" si="61"/>
        <v>2576.8925749235395</v>
      </c>
      <c r="CC32" s="39">
        <f t="shared" si="61"/>
        <v>2580.4137751550511</v>
      </c>
      <c r="CD32" s="39">
        <f t="shared" si="61"/>
        <v>2583.9495826983352</v>
      </c>
      <c r="CE32" s="39">
        <f t="shared" si="61"/>
        <v>2587.500058336745</v>
      </c>
      <c r="CF32" s="39">
        <f t="shared" si="61"/>
        <v>2591.0652631067983</v>
      </c>
      <c r="CG32" s="39">
        <f t="shared" si="61"/>
        <v>2594.645258299231</v>
      </c>
      <c r="CH32" s="39">
        <f t="shared" si="61"/>
        <v>2598.2401054600568</v>
      </c>
      <c r="CI32" s="39">
        <f t="shared" si="61"/>
        <v>2601.8498663916289</v>
      </c>
      <c r="CJ32" s="39">
        <f t="shared" si="61"/>
        <v>2605.4746031537097</v>
      </c>
      <c r="CK32" s="39">
        <f t="shared" si="61"/>
        <v>2609.114378064543</v>
      </c>
      <c r="CL32" s="39">
        <f t="shared" si="61"/>
        <v>2612.7692537019311</v>
      </c>
      <c r="CM32" s="39">
        <f t="shared" si="61"/>
        <v>2616.4392929043147</v>
      </c>
      <c r="CN32" s="39">
        <f t="shared" si="61"/>
        <v>2620.1245587718604</v>
      </c>
      <c r="CO32" s="39">
        <f t="shared" si="61"/>
        <v>2623.8251146675502</v>
      </c>
      <c r="CP32" s="39">
        <f t="shared" si="61"/>
        <v>2627.5410242182775</v>
      </c>
      <c r="CQ32" s="39">
        <f t="shared" si="61"/>
        <v>2631.2723513159435</v>
      </c>
      <c r="CR32" s="39">
        <f t="shared" si="61"/>
        <v>2635.019160118567</v>
      </c>
      <c r="CS32" s="39">
        <f t="shared" si="61"/>
        <v>2638.781515051387</v>
      </c>
      <c r="CT32" s="39">
        <f t="shared" si="61"/>
        <v>2642.5594808079795</v>
      </c>
      <c r="CU32" s="39">
        <f t="shared" si="61"/>
        <v>2646.3531223513755</v>
      </c>
      <c r="CV32" s="39">
        <f t="shared" si="61"/>
        <v>2650.1625049151803</v>
      </c>
      <c r="CW32" s="39">
        <f t="shared" si="61"/>
        <v>2653.9876940047061</v>
      </c>
      <c r="CX32" s="39">
        <f t="shared" si="61"/>
        <v>2657.8287553980995</v>
      </c>
      <c r="CY32" s="39">
        <f t="shared" si="61"/>
        <v>2661.6857551474795</v>
      </c>
      <c r="CZ32" s="39">
        <f t="shared" si="61"/>
        <v>2665.5587595800798</v>
      </c>
      <c r="DA32" s="39">
        <f t="shared" si="61"/>
        <v>2669.4478352993942</v>
      </c>
      <c r="DB32" s="39">
        <f t="shared" si="61"/>
        <v>2673.3530491863276</v>
      </c>
      <c r="DC32" s="39">
        <f t="shared" si="61"/>
        <v>2677.2744684003515</v>
      </c>
      <c r="DD32" s="39">
        <f t="shared" si="61"/>
        <v>2681.2121603806663</v>
      </c>
      <c r="DE32" s="39">
        <f t="shared" si="61"/>
        <v>2685.1661928473636</v>
      </c>
      <c r="DF32" s="39">
        <f t="shared" si="61"/>
        <v>2689.1366338025991</v>
      </c>
      <c r="DG32" s="39">
        <f t="shared" si="61"/>
        <v>2693.1235515317662</v>
      </c>
      <c r="DH32" s="39">
        <f t="shared" si="61"/>
        <v>2697.1270146046777</v>
      </c>
      <c r="DI32" s="39">
        <f t="shared" si="61"/>
        <v>2701.1470918767486</v>
      </c>
      <c r="DJ32" s="39">
        <f t="shared" si="61"/>
        <v>2705.1838524901882</v>
      </c>
      <c r="DK32" s="39">
        <f t="shared" si="61"/>
        <v>2709.2373658751922</v>
      </c>
      <c r="DL32" s="39">
        <f t="shared" si="61"/>
        <v>2713.3077017511459</v>
      </c>
      <c r="DM32" s="39">
        <f t="shared" si="61"/>
        <v>2717.3949301278253</v>
      </c>
      <c r="DN32" s="39">
        <f t="shared" si="61"/>
        <v>2721.499121306611</v>
      </c>
      <c r="DO32" s="39">
        <f t="shared" si="61"/>
        <v>2725.6203458816994</v>
      </c>
      <c r="DP32" s="39">
        <f t="shared" si="61"/>
        <v>2729.7586747413252</v>
      </c>
      <c r="DQ32" s="39">
        <f t="shared" si="61"/>
        <v>2733.9141790689846</v>
      </c>
      <c r="DR32" s="39">
        <f t="shared" si="61"/>
        <v>2738.0869303446666</v>
      </c>
      <c r="DS32" s="39">
        <f t="shared" si="61"/>
        <v>2742.2770003460882</v>
      </c>
      <c r="DT32" s="39">
        <f t="shared" si="61"/>
        <v>2746.4844611499343</v>
      </c>
      <c r="DU32" s="39">
        <f t="shared" si="61"/>
        <v>2750.7093851331033</v>
      </c>
      <c r="DV32" s="39">
        <f t="shared" si="61"/>
        <v>2754.9518449739576</v>
      </c>
      <c r="DW32" s="39">
        <f t="shared" si="61"/>
        <v>2759.2119136535816</v>
      </c>
      <c r="DX32" s="39">
        <f t="shared" si="61"/>
        <v>2763.4896644570404</v>
      </c>
      <c r="DY32" s="39">
        <f t="shared" si="61"/>
        <v>2767.7851709746456</v>
      </c>
      <c r="DZ32" s="39">
        <f t="shared" si="61"/>
        <v>2772.0985071032314</v>
      </c>
      <c r="EA32" s="39">
        <f t="shared" ref="EA32:GL32" si="62">EA26+EA28+EA29+EA30-EA31</f>
        <v>2776.4297470474276</v>
      </c>
      <c r="EB32" s="39">
        <f t="shared" si="62"/>
        <v>2780.778965320942</v>
      </c>
      <c r="EC32" s="39">
        <f t="shared" si="62"/>
        <v>2785.1462367478507</v>
      </c>
      <c r="ED32" s="39">
        <f t="shared" si="62"/>
        <v>2789.5316364638902</v>
      </c>
      <c r="EE32" s="39">
        <f t="shared" si="62"/>
        <v>2793.9352399177537</v>
      </c>
      <c r="EF32" s="39">
        <f t="shared" si="62"/>
        <v>2798.3571228723977</v>
      </c>
      <c r="EG32" s="39">
        <f t="shared" si="62"/>
        <v>2802.7973614063508</v>
      </c>
      <c r="EH32" s="39">
        <f t="shared" si="62"/>
        <v>2807.2560319150266</v>
      </c>
      <c r="EI32" s="39">
        <f t="shared" si="62"/>
        <v>2811.7332111120463</v>
      </c>
      <c r="EJ32" s="39">
        <f t="shared" si="62"/>
        <v>2816.2289760305616</v>
      </c>
      <c r="EK32" s="39">
        <f t="shared" si="62"/>
        <v>2820.7434040245903</v>
      </c>
      <c r="EL32" s="39">
        <f t="shared" si="62"/>
        <v>2825.276572770349</v>
      </c>
      <c r="EM32" s="39">
        <f t="shared" si="62"/>
        <v>2829.828560267596</v>
      </c>
      <c r="EN32" s="39">
        <f t="shared" si="62"/>
        <v>2834.3994448409831</v>
      </c>
      <c r="EO32" s="39">
        <f t="shared" si="62"/>
        <v>2838.9893051414033</v>
      </c>
      <c r="EP32" s="39">
        <f t="shared" si="62"/>
        <v>2843.5982201473535</v>
      </c>
      <c r="EQ32" s="39">
        <f t="shared" si="62"/>
        <v>2848.2262691663009</v>
      </c>
      <c r="ER32" s="39">
        <f t="shared" si="62"/>
        <v>2852.8735318360509</v>
      </c>
      <c r="ES32" s="39">
        <f t="shared" si="62"/>
        <v>2857.5400881261207</v>
      </c>
      <c r="ET32" s="39">
        <f t="shared" si="62"/>
        <v>2862.2260183391304</v>
      </c>
      <c r="EU32" s="39">
        <f t="shared" si="62"/>
        <v>2866.9314031121799</v>
      </c>
      <c r="EV32" s="39">
        <f t="shared" si="62"/>
        <v>2871.6563234182504</v>
      </c>
      <c r="EW32" s="39">
        <f t="shared" si="62"/>
        <v>2876.4008605675995</v>
      </c>
      <c r="EX32" s="39">
        <f t="shared" si="62"/>
        <v>2881.1650962091685</v>
      </c>
      <c r="EY32" s="39">
        <f t="shared" si="62"/>
        <v>2885.9491123319931</v>
      </c>
      <c r="EZ32" s="39">
        <f t="shared" si="62"/>
        <v>2890.7529912666187</v>
      </c>
      <c r="FA32" s="39">
        <f t="shared" si="62"/>
        <v>2895.5768156865256</v>
      </c>
      <c r="FB32" s="39">
        <f t="shared" si="62"/>
        <v>2900.4206686095563</v>
      </c>
      <c r="FC32" s="39">
        <f t="shared" si="62"/>
        <v>2905.2846333993512</v>
      </c>
      <c r="FD32" s="39">
        <f t="shared" si="62"/>
        <v>2910.1687937667871</v>
      </c>
      <c r="FE32" s="39">
        <f t="shared" si="62"/>
        <v>2915.0732337714267</v>
      </c>
      <c r="FF32" s="39">
        <f t="shared" si="62"/>
        <v>2919.9980378229684</v>
      </c>
      <c r="FG32" s="39">
        <f t="shared" si="62"/>
        <v>2924.9432906827101</v>
      </c>
      <c r="FH32" s="39">
        <f t="shared" si="62"/>
        <v>2929.9090774650067</v>
      </c>
      <c r="FI32" s="39">
        <f t="shared" si="62"/>
        <v>2934.8954836387479</v>
      </c>
      <c r="FJ32" s="39">
        <f t="shared" si="62"/>
        <v>2939.9025950288296</v>
      </c>
      <c r="FK32" s="39">
        <f t="shared" si="62"/>
        <v>2944.9304978176438</v>
      </c>
      <c r="FL32" s="39">
        <f t="shared" si="62"/>
        <v>2949.9792785465597</v>
      </c>
      <c r="FM32" s="39">
        <f t="shared" si="62"/>
        <v>2955.0490241174266</v>
      </c>
      <c r="FN32" s="39">
        <f t="shared" si="62"/>
        <v>2960.1398217940723</v>
      </c>
      <c r="FO32" s="39">
        <f t="shared" si="62"/>
        <v>2965.2517592038112</v>
      </c>
      <c r="FP32" s="39">
        <f t="shared" si="62"/>
        <v>2970.38492433896</v>
      </c>
      <c r="FQ32" s="39">
        <f t="shared" si="62"/>
        <v>2975.5394055583574</v>
      </c>
      <c r="FR32" s="39">
        <f t="shared" si="62"/>
        <v>2980.715291588891</v>
      </c>
      <c r="FS32" s="39">
        <f t="shared" si="62"/>
        <v>2985.9126715270318</v>
      </c>
      <c r="FT32" s="39">
        <f t="shared" si="62"/>
        <v>2991.1316348403725</v>
      </c>
      <c r="FU32" s="39">
        <f t="shared" si="62"/>
        <v>2996.372271369175</v>
      </c>
      <c r="FV32" s="39">
        <f t="shared" si="62"/>
        <v>3001.6346713279227</v>
      </c>
      <c r="FW32" s="39">
        <f t="shared" si="62"/>
        <v>3006.9189253068794</v>
      </c>
      <c r="FX32" s="39">
        <f t="shared" si="62"/>
        <v>3012.2251242736543</v>
      </c>
      <c r="FY32" s="39">
        <f t="shared" si="62"/>
        <v>3017.5533595747752</v>
      </c>
      <c r="FZ32" s="39">
        <f t="shared" si="62"/>
        <v>3022.903722937267</v>
      </c>
      <c r="GA32" s="39">
        <f t="shared" si="62"/>
        <v>3028.2763064702367</v>
      </c>
      <c r="GB32" s="39">
        <f t="shared" si="62"/>
        <v>3033.6712026664659</v>
      </c>
      <c r="GC32" s="39">
        <f t="shared" si="62"/>
        <v>3039.0885044040065</v>
      </c>
      <c r="GD32" s="39">
        <f t="shared" si="62"/>
        <v>3044.5283049477912</v>
      </c>
      <c r="GE32" s="39">
        <f t="shared" si="62"/>
        <v>3049.9906979512398</v>
      </c>
      <c r="GF32" s="39">
        <f t="shared" si="62"/>
        <v>3055.4757774578802</v>
      </c>
      <c r="GG32" s="39">
        <f t="shared" si="62"/>
        <v>3060.9836379029762</v>
      </c>
      <c r="GH32" s="39">
        <f t="shared" si="62"/>
        <v>3066.5143741151537</v>
      </c>
      <c r="GI32" s="39">
        <f t="shared" si="62"/>
        <v>3072.0680813180456</v>
      </c>
      <c r="GJ32" s="39">
        <f t="shared" si="62"/>
        <v>3077.644855131934</v>
      </c>
      <c r="GK32" s="39">
        <f t="shared" si="62"/>
        <v>3083.2447915754024</v>
      </c>
      <c r="GL32" s="39">
        <f t="shared" si="62"/>
        <v>3088.8679870669985</v>
      </c>
      <c r="GM32" s="39">
        <f t="shared" ref="GM32:IX32" si="63">GM26+GM28+GM29+GM30-GM31</f>
        <v>3094.5145384268963</v>
      </c>
      <c r="GN32" s="39">
        <f t="shared" si="63"/>
        <v>3100.1845428785728</v>
      </c>
      <c r="GO32" s="39">
        <f t="shared" si="63"/>
        <v>3105.8780980504876</v>
      </c>
      <c r="GP32" s="39">
        <f t="shared" si="63"/>
        <v>3111.5953019777676</v>
      </c>
      <c r="GQ32" s="39">
        <f t="shared" si="63"/>
        <v>3117.336253103907</v>
      </c>
      <c r="GR32" s="39">
        <f t="shared" si="63"/>
        <v>3123.1010502824588</v>
      </c>
      <c r="GS32" s="39">
        <f t="shared" si="63"/>
        <v>3128.8897927787561</v>
      </c>
      <c r="GT32" s="39">
        <f t="shared" si="63"/>
        <v>3134.7025802716166</v>
      </c>
      <c r="GU32" s="39">
        <f t="shared" si="63"/>
        <v>3140.5395128550713</v>
      </c>
      <c r="GV32" s="39">
        <f t="shared" si="63"/>
        <v>3146.4006910400944</v>
      </c>
      <c r="GW32" s="39">
        <f t="shared" si="63"/>
        <v>3152.2862157563336</v>
      </c>
      <c r="GX32" s="39">
        <f t="shared" si="63"/>
        <v>3158.1961883538675</v>
      </c>
      <c r="GY32" s="39">
        <f t="shared" si="63"/>
        <v>3164.1307106049417</v>
      </c>
      <c r="GZ32" s="39">
        <f t="shared" si="63"/>
        <v>3170.0898847057415</v>
      </c>
      <c r="HA32" s="39">
        <f t="shared" si="63"/>
        <v>3176.0738132781476</v>
      </c>
      <c r="HB32" s="39">
        <f t="shared" si="63"/>
        <v>3182.082599371518</v>
      </c>
      <c r="HC32" s="39">
        <f t="shared" si="63"/>
        <v>3188.116346464461</v>
      </c>
      <c r="HD32" s="39">
        <f t="shared" si="63"/>
        <v>3194.1751584666317</v>
      </c>
      <c r="HE32" s="39">
        <f t="shared" si="63"/>
        <v>3200.2591397205219</v>
      </c>
      <c r="HF32" s="39">
        <f t="shared" si="63"/>
        <v>3206.3683950032664</v>
      </c>
      <c r="HG32" s="39">
        <f t="shared" si="63"/>
        <v>3212.503029528451</v>
      </c>
      <c r="HH32" s="39">
        <f t="shared" si="63"/>
        <v>3218.663148947936</v>
      </c>
      <c r="HI32" s="39">
        <f t="shared" si="63"/>
        <v>3224.8488593536758</v>
      </c>
      <c r="HJ32" s="39">
        <f t="shared" si="63"/>
        <v>3231.060267279559</v>
      </c>
      <c r="HK32" s="39">
        <f t="shared" si="63"/>
        <v>3237.297479703243</v>
      </c>
      <c r="HL32" s="39">
        <f t="shared" si="63"/>
        <v>3243.5606040480088</v>
      </c>
      <c r="HM32" s="39">
        <f t="shared" si="63"/>
        <v>3249.8497481846152</v>
      </c>
      <c r="HN32" s="39">
        <f t="shared" si="63"/>
        <v>3256.1650204331604</v>
      </c>
      <c r="HO32" s="39">
        <f t="shared" si="63"/>
        <v>3262.5065295649583</v>
      </c>
      <c r="HP32" s="39">
        <f t="shared" si="63"/>
        <v>3268.8743848044187</v>
      </c>
      <c r="HQ32" s="39">
        <f t="shared" si="63"/>
        <v>3275.2686958309296</v>
      </c>
      <c r="HR32" s="39">
        <f t="shared" si="63"/>
        <v>3281.6895727807582</v>
      </c>
      <c r="HS32" s="39">
        <f t="shared" si="63"/>
        <v>3288.1371262489538</v>
      </c>
      <c r="HT32" s="39">
        <f t="shared" si="63"/>
        <v>3294.6114672912558</v>
      </c>
      <c r="HU32" s="39">
        <f t="shared" si="63"/>
        <v>3301.1127074260171</v>
      </c>
      <c r="HV32" s="39">
        <f t="shared" si="63"/>
        <v>3307.6409586361287</v>
      </c>
      <c r="HW32" s="39">
        <f t="shared" si="63"/>
        <v>3314.1963333709555</v>
      </c>
      <c r="HX32" s="39">
        <f t="shared" si="63"/>
        <v>3320.7789445482813</v>
      </c>
      <c r="HY32" s="39">
        <f t="shared" si="63"/>
        <v>3327.3889055562609</v>
      </c>
      <c r="HZ32" s="39">
        <f t="shared" si="63"/>
        <v>3334.0263302553763</v>
      </c>
      <c r="IA32" s="39">
        <f t="shared" si="63"/>
        <v>3340.6913329804079</v>
      </c>
      <c r="IB32" s="39">
        <f t="shared" si="63"/>
        <v>3347.3840285424094</v>
      </c>
      <c r="IC32" s="39">
        <f t="shared" si="63"/>
        <v>3354.10453223069</v>
      </c>
      <c r="ID32" s="39">
        <f t="shared" si="63"/>
        <v>3360.8529598148134</v>
      </c>
      <c r="IE32" s="39">
        <f t="shared" si="63"/>
        <v>3367.6294275465907</v>
      </c>
      <c r="IF32" s="39">
        <f t="shared" si="63"/>
        <v>3374.4340521620943</v>
      </c>
      <c r="IG32" s="39">
        <f t="shared" si="63"/>
        <v>3381.2669508836761</v>
      </c>
      <c r="IH32" s="39">
        <f t="shared" si="63"/>
        <v>3388.1282414219904</v>
      </c>
      <c r="II32" s="39">
        <f t="shared" si="63"/>
        <v>3395.0180419780295</v>
      </c>
      <c r="IJ32" s="39">
        <f t="shared" si="63"/>
        <v>3401.9364712451697</v>
      </c>
      <c r="IK32" s="39">
        <f t="shared" si="63"/>
        <v>3408.8836484112171</v>
      </c>
      <c r="IL32" s="39">
        <f t="shared" si="63"/>
        <v>3415.8596931604711</v>
      </c>
      <c r="IM32" s="39">
        <f t="shared" si="63"/>
        <v>3422.8647256757936</v>
      </c>
      <c r="IN32" s="39">
        <f t="shared" si="63"/>
        <v>3429.8988666406849</v>
      </c>
      <c r="IO32" s="39">
        <f t="shared" si="63"/>
        <v>3436.9622372413687</v>
      </c>
      <c r="IP32" s="39">
        <f t="shared" si="63"/>
        <v>3444.0549591688878</v>
      </c>
      <c r="IQ32" s="39">
        <f t="shared" si="63"/>
        <v>3451.1771546212076</v>
      </c>
      <c r="IR32" s="39">
        <f t="shared" si="63"/>
        <v>3458.328946305327</v>
      </c>
      <c r="IS32" s="39">
        <f t="shared" si="63"/>
        <v>3465.5104574394004</v>
      </c>
      <c r="IT32" s="39">
        <f t="shared" si="63"/>
        <v>3472.7218117548678</v>
      </c>
      <c r="IU32" s="39">
        <f t="shared" si="63"/>
        <v>3479.9631334985902</v>
      </c>
      <c r="IV32" s="39">
        <f t="shared" si="63"/>
        <v>3487.234547435</v>
      </c>
      <c r="IW32" s="39">
        <f t="shared" si="63"/>
        <v>3494.5361788482569</v>
      </c>
      <c r="IX32" s="39">
        <f t="shared" si="63"/>
        <v>3501.8681535444139</v>
      </c>
      <c r="IY32" s="39">
        <f t="shared" ref="IY32:LJ32" si="64">IY26+IY28+IY29+IY30-IY31</f>
        <v>3509.2305978535887</v>
      </c>
      <c r="IZ32" s="39">
        <f t="shared" si="64"/>
        <v>3516.6236386321507</v>
      </c>
      <c r="JA32" s="39">
        <f t="shared" si="64"/>
        <v>3524.0474032649122</v>
      </c>
      <c r="JB32" s="39">
        <f t="shared" si="64"/>
        <v>3531.5020196673286</v>
      </c>
      <c r="JC32" s="39">
        <f t="shared" si="64"/>
        <v>3538.9876162877117</v>
      </c>
      <c r="JD32" s="39">
        <f t="shared" si="64"/>
        <v>3546.5043221094479</v>
      </c>
      <c r="JE32" s="39">
        <f t="shared" si="64"/>
        <v>3554.0522666532297</v>
      </c>
      <c r="JF32" s="39">
        <f t="shared" si="64"/>
        <v>3561.631579979291</v>
      </c>
      <c r="JG32" s="39">
        <f t="shared" si="64"/>
        <v>3569.2423926896586</v>
      </c>
      <c r="JH32" s="39">
        <f t="shared" si="64"/>
        <v>3576.8848359304075</v>
      </c>
      <c r="JI32" s="39">
        <f t="shared" si="64"/>
        <v>3584.5590413939276</v>
      </c>
      <c r="JJ32" s="39">
        <f t="shared" si="64"/>
        <v>3592.2651413211997</v>
      </c>
      <c r="JK32" s="39">
        <f t="shared" si="64"/>
        <v>3600.0032685040828</v>
      </c>
      <c r="JL32" s="39">
        <f t="shared" si="64"/>
        <v>3607.7735562876078</v>
      </c>
      <c r="JM32" s="39">
        <f t="shared" si="64"/>
        <v>3615.5761385722813</v>
      </c>
      <c r="JN32" s="39">
        <f t="shared" si="64"/>
        <v>3623.4111498164048</v>
      </c>
      <c r="JO32" s="39">
        <f t="shared" si="64"/>
        <v>3631.2787250383903</v>
      </c>
      <c r="JP32" s="39">
        <f t="shared" si="64"/>
        <v>3639.178999819103</v>
      </c>
      <c r="JQ32" s="39">
        <f t="shared" si="64"/>
        <v>3647.112110304196</v>
      </c>
      <c r="JR32" s="39">
        <f t="shared" si="64"/>
        <v>3655.078193206472</v>
      </c>
      <c r="JS32" s="39">
        <f t="shared" si="64"/>
        <v>3663.0773858082389</v>
      </c>
      <c r="JT32" s="39">
        <f t="shared" si="64"/>
        <v>3671.1098259636883</v>
      </c>
      <c r="JU32" s="39">
        <f t="shared" si="64"/>
        <v>3679.1756521012744</v>
      </c>
      <c r="JV32" s="39">
        <f t="shared" si="64"/>
        <v>3687.2750032261083</v>
      </c>
      <c r="JW32" s="39">
        <f t="shared" si="64"/>
        <v>3695.4080189223582</v>
      </c>
      <c r="JX32" s="39">
        <f t="shared" si="64"/>
        <v>3703.5748393556669</v>
      </c>
      <c r="JY32" s="39">
        <f t="shared" si="64"/>
        <v>3711.7756052755703</v>
      </c>
      <c r="JZ32" s="39">
        <f t="shared" si="64"/>
        <v>3720.0104580179291</v>
      </c>
      <c r="KA32" s="39">
        <f t="shared" si="64"/>
        <v>3728.2795395073776</v>
      </c>
      <c r="KB32" s="39">
        <f t="shared" si="64"/>
        <v>3736.5829922597704</v>
      </c>
      <c r="KC32" s="39">
        <f t="shared" si="64"/>
        <v>3744.9209593846504</v>
      </c>
      <c r="KD32" s="39">
        <f t="shared" si="64"/>
        <v>3753.2935845877164</v>
      </c>
      <c r="KE32" s="39">
        <f t="shared" si="64"/>
        <v>3761.7010121733151</v>
      </c>
      <c r="KF32" s="39">
        <f t="shared" si="64"/>
        <v>3770.1433870469282</v>
      </c>
      <c r="KG32" s="39">
        <f t="shared" si="64"/>
        <v>3778.6208547176802</v>
      </c>
      <c r="KH32" s="39">
        <f t="shared" si="64"/>
        <v>3787.1335613008537</v>
      </c>
      <c r="KI32" s="39">
        <f t="shared" si="64"/>
        <v>3795.6816535204134</v>
      </c>
      <c r="KJ32" s="39">
        <f t="shared" si="64"/>
        <v>3804.2652787115426</v>
      </c>
      <c r="KK32" s="39">
        <f t="shared" si="64"/>
        <v>3812.8845848231908</v>
      </c>
      <c r="KL32" s="39">
        <f t="shared" si="64"/>
        <v>3821.5397204206288</v>
      </c>
      <c r="KM32" s="39">
        <f t="shared" si="64"/>
        <v>3830.23083468802</v>
      </c>
      <c r="KN32" s="39">
        <f t="shared" si="64"/>
        <v>3838.9580774309939</v>
      </c>
      <c r="KO32" s="39">
        <f t="shared" si="64"/>
        <v>3847.7215990792406</v>
      </c>
      <c r="KP32" s="39">
        <f t="shared" si="64"/>
        <v>3856.5215506891072</v>
      </c>
      <c r="KQ32" s="39">
        <f t="shared" si="64"/>
        <v>3865.3580839462115</v>
      </c>
      <c r="KR32" s="39">
        <f t="shared" si="64"/>
        <v>3874.2313511680604</v>
      </c>
      <c r="KS32" s="39">
        <f t="shared" si="64"/>
        <v>3883.1415053066862</v>
      </c>
      <c r="KT32" s="39">
        <f t="shared" si="64"/>
        <v>3892.0886999512877</v>
      </c>
      <c r="KU32" s="39">
        <f t="shared" si="64"/>
        <v>3901.073089330886</v>
      </c>
      <c r="KV32" s="39">
        <f t="shared" si="64"/>
        <v>3910.0948283169905</v>
      </c>
      <c r="KW32" s="39">
        <f t="shared" si="64"/>
        <v>3919.1540724262754</v>
      </c>
      <c r="KX32" s="39">
        <f t="shared" si="64"/>
        <v>3928.2509778232666</v>
      </c>
      <c r="KY32" s="39">
        <f t="shared" si="64"/>
        <v>3937.3857013230431</v>
      </c>
      <c r="KZ32" s="39">
        <f t="shared" si="64"/>
        <v>3946.5584003939466</v>
      </c>
      <c r="LA32" s="39">
        <f t="shared" si="64"/>
        <v>3955.7692331603016</v>
      </c>
      <c r="LB32" s="39">
        <f t="shared" si="64"/>
        <v>3965.0183584051515</v>
      </c>
      <c r="LC32" s="39">
        <f t="shared" si="64"/>
        <v>3974.3059355729997</v>
      </c>
      <c r="LD32" s="39">
        <f t="shared" si="64"/>
        <v>3983.6321247725696</v>
      </c>
      <c r="LE32" s="39">
        <f t="shared" si="64"/>
        <v>3992.9970867795687</v>
      </c>
      <c r="LF32" s="39">
        <f t="shared" si="64"/>
        <v>4002.4009830394675</v>
      </c>
      <c r="LG32" s="39">
        <f t="shared" si="64"/>
        <v>4011.8439756702928</v>
      </c>
      <c r="LH32" s="39">
        <f t="shared" si="64"/>
        <v>4021.3262274654276</v>
      </c>
      <c r="LI32" s="39">
        <f t="shared" si="64"/>
        <v>4030.8479018964244</v>
      </c>
      <c r="LJ32" s="39">
        <f t="shared" si="64"/>
        <v>4040.409163115834</v>
      </c>
      <c r="LK32" s="39">
        <f t="shared" ref="LK32:NV32" si="65">LK26+LK28+LK29+LK30-LK31</f>
        <v>4050.0101759600384</v>
      </c>
      <c r="LL32" s="39">
        <f t="shared" si="65"/>
        <v>4059.6511059521026</v>
      </c>
      <c r="LM32" s="39">
        <f t="shared" si="65"/>
        <v>4069.3321193046359</v>
      </c>
      <c r="LN32" s="39">
        <f t="shared" si="65"/>
        <v>4079.0533829226652</v>
      </c>
      <c r="LO32" s="39">
        <f t="shared" si="65"/>
        <v>4088.8150644065149</v>
      </c>
      <c r="LP32" s="39">
        <f t="shared" si="65"/>
        <v>4098.6173320547132</v>
      </c>
      <c r="LQ32" s="39">
        <f t="shared" si="65"/>
        <v>4108.4603548668902</v>
      </c>
      <c r="LR32" s="39">
        <f t="shared" si="65"/>
        <v>4118.3443025467086</v>
      </c>
      <c r="LS32" s="39">
        <f t="shared" si="65"/>
        <v>4128.2693455047884</v>
      </c>
      <c r="LT32" s="39">
        <f t="shared" si="65"/>
        <v>4138.2356548616617</v>
      </c>
      <c r="LU32" s="39">
        <f t="shared" si="65"/>
        <v>4148.243402450722</v>
      </c>
      <c r="LV32" s="39">
        <f t="shared" si="65"/>
        <v>4158.2927608212003</v>
      </c>
      <c r="LW32" s="39">
        <f t="shared" si="65"/>
        <v>4168.3839032411424</v>
      </c>
      <c r="LX32" s="39">
        <f t="shared" si="65"/>
        <v>4178.5170037004091</v>
      </c>
      <c r="LY32" s="39">
        <f t="shared" si="65"/>
        <v>4188.6922369136801</v>
      </c>
      <c r="LZ32" s="39">
        <f t="shared" si="65"/>
        <v>4198.9097783234738</v>
      </c>
      <c r="MA32" s="39">
        <f t="shared" si="65"/>
        <v>4209.1698041031823</v>
      </c>
      <c r="MB32" s="39">
        <f t="shared" si="65"/>
        <v>4219.4724911601143</v>
      </c>
      <c r="MC32" s="39">
        <f t="shared" si="65"/>
        <v>4229.8180171385529</v>
      </c>
      <c r="MD32" s="39">
        <f t="shared" si="65"/>
        <v>4240.2065604228301</v>
      </c>
      <c r="ME32" s="39">
        <f t="shared" si="65"/>
        <v>4250.6383001404038</v>
      </c>
      <c r="MF32" s="39">
        <f t="shared" si="65"/>
        <v>4261.1134161649561</v>
      </c>
      <c r="MG32" s="39">
        <f t="shared" si="65"/>
        <v>4271.6320891195073</v>
      </c>
      <c r="MH32" s="39">
        <f t="shared" si="65"/>
        <v>4282.1945003795317</v>
      </c>
      <c r="MI32" s="39">
        <f t="shared" si="65"/>
        <v>4292.8008320760982</v>
      </c>
      <c r="MJ32" s="39">
        <f t="shared" si="65"/>
        <v>4303.451267099008</v>
      </c>
      <c r="MK32" s="39">
        <f t="shared" si="65"/>
        <v>4314.1459890999713</v>
      </c>
      <c r="ML32" s="39">
        <f t="shared" si="65"/>
        <v>4324.8851824957692</v>
      </c>
      <c r="MM32" s="39">
        <f t="shared" si="65"/>
        <v>4335.6690324714473</v>
      </c>
      <c r="MN32" s="39">
        <f t="shared" si="65"/>
        <v>4346.4977249835129</v>
      </c>
      <c r="MO32" s="39">
        <f t="shared" si="65"/>
        <v>4357.3714467631544</v>
      </c>
      <c r="MP32" s="39">
        <f t="shared" si="65"/>
        <v>4368.290385319463</v>
      </c>
      <c r="MQ32" s="39">
        <f t="shared" si="65"/>
        <v>4379.2547289426784</v>
      </c>
      <c r="MR32" s="39">
        <f t="shared" si="65"/>
        <v>4390.2646667074414</v>
      </c>
      <c r="MS32" s="39">
        <f t="shared" si="65"/>
        <v>4401.3203884760633</v>
      </c>
      <c r="MT32" s="39">
        <f t="shared" si="65"/>
        <v>4412.4220849018038</v>
      </c>
      <c r="MU32" s="39">
        <f t="shared" si="65"/>
        <v>4423.5699474321727</v>
      </c>
      <c r="MV32" s="39">
        <f t="shared" si="65"/>
        <v>4434.7641683122356</v>
      </c>
      <c r="MW32" s="39">
        <f t="shared" si="65"/>
        <v>4446.0049405879336</v>
      </c>
      <c r="MX32" s="57">
        <f t="shared" si="65"/>
        <v>4457.2924581094285</v>
      </c>
      <c r="MY32" s="1"/>
      <c r="MZ32" s="1"/>
      <c r="NA32" s="1"/>
      <c r="NB32" s="1"/>
      <c r="NC32" s="1"/>
      <c r="ND32" s="1"/>
      <c r="NE32" s="1"/>
      <c r="NF32" s="1"/>
      <c r="NG32" s="1"/>
      <c r="NH32" s="13">
        <v>0.155</v>
      </c>
      <c r="NI32" s="1">
        <f>Combine!A34</f>
        <v>49504</v>
      </c>
      <c r="NJ32" s="14">
        <f>Combine!F34</f>
        <v>237449.929711376</v>
      </c>
    </row>
    <row r="33" spans="1:374" ht="12.75" customHeight="1" x14ac:dyDescent="0.3">
      <c r="A33" s="9"/>
      <c r="B33" s="10"/>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
      <c r="NG33" s="1"/>
      <c r="NH33" s="13">
        <v>0.16</v>
      </c>
      <c r="NI33" s="1">
        <f>Combine!A35</f>
        <v>48198</v>
      </c>
      <c r="NJ33" s="14">
        <f>Combine!F35</f>
        <v>189350.57895318899</v>
      </c>
    </row>
    <row r="34" spans="1:374" ht="12.75" customHeight="1" x14ac:dyDescent="0.3">
      <c r="A34" s="26" t="s">
        <v>874</v>
      </c>
      <c r="B34" s="40"/>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c r="ES34" s="41"/>
      <c r="ET34" s="41"/>
      <c r="EU34" s="41"/>
      <c r="EV34" s="41"/>
      <c r="EW34" s="41"/>
      <c r="EX34" s="41"/>
      <c r="EY34" s="41"/>
      <c r="EZ34" s="41"/>
      <c r="FA34" s="41"/>
      <c r="FB34" s="41"/>
      <c r="FC34" s="41"/>
      <c r="FD34" s="41"/>
      <c r="FE34" s="41"/>
      <c r="FF34" s="41"/>
      <c r="FG34" s="41"/>
      <c r="FH34" s="41"/>
      <c r="FI34" s="41"/>
      <c r="FJ34" s="41"/>
      <c r="FK34" s="41"/>
      <c r="FL34" s="41"/>
      <c r="FM34" s="41"/>
      <c r="FN34" s="41"/>
      <c r="FO34" s="41"/>
      <c r="FP34" s="41"/>
      <c r="FQ34" s="41"/>
      <c r="FR34" s="41"/>
      <c r="FS34" s="41"/>
      <c r="FT34" s="41"/>
      <c r="FU34" s="41"/>
      <c r="FV34" s="41"/>
      <c r="FW34" s="41"/>
      <c r="FX34" s="41"/>
      <c r="FY34" s="41"/>
      <c r="FZ34" s="41"/>
      <c r="GA34" s="41"/>
      <c r="GB34" s="41"/>
      <c r="GC34" s="41"/>
      <c r="GD34" s="41"/>
      <c r="GE34" s="41"/>
      <c r="GF34" s="41"/>
      <c r="GG34" s="41"/>
      <c r="GH34" s="41"/>
      <c r="GI34" s="41"/>
      <c r="GJ34" s="41"/>
      <c r="GK34" s="41"/>
      <c r="GL34" s="41"/>
      <c r="GM34" s="41"/>
      <c r="GN34" s="41"/>
      <c r="GO34" s="41"/>
      <c r="GP34" s="41"/>
      <c r="GQ34" s="41"/>
      <c r="GR34" s="41"/>
      <c r="GS34" s="41"/>
      <c r="GT34" s="41"/>
      <c r="GU34" s="41"/>
      <c r="GV34" s="41"/>
      <c r="GW34" s="41"/>
      <c r="GX34" s="41"/>
      <c r="GY34" s="41"/>
      <c r="GZ34" s="41"/>
      <c r="HA34" s="41"/>
      <c r="HB34" s="41"/>
      <c r="HC34" s="41"/>
      <c r="HD34" s="41"/>
      <c r="HE34" s="41"/>
      <c r="HF34" s="41"/>
      <c r="HG34" s="41"/>
      <c r="HH34" s="41"/>
      <c r="HI34" s="41"/>
      <c r="HJ34" s="41"/>
      <c r="HK34" s="41"/>
      <c r="HL34" s="41"/>
      <c r="HM34" s="41"/>
      <c r="HN34" s="41"/>
      <c r="HO34" s="41"/>
      <c r="HP34" s="41"/>
      <c r="HQ34" s="41"/>
      <c r="HR34" s="41"/>
      <c r="HS34" s="41"/>
      <c r="HT34" s="41"/>
      <c r="HU34" s="41"/>
      <c r="HV34" s="41"/>
      <c r="HW34" s="41"/>
      <c r="HX34" s="41"/>
      <c r="HY34" s="41"/>
      <c r="HZ34" s="41"/>
      <c r="IA34" s="41"/>
      <c r="IB34" s="41"/>
      <c r="IC34" s="41"/>
      <c r="ID34" s="41"/>
      <c r="IE34" s="41"/>
      <c r="IF34" s="41"/>
      <c r="IG34" s="41"/>
      <c r="IH34" s="41"/>
      <c r="II34" s="41"/>
      <c r="IJ34" s="41"/>
      <c r="IK34" s="41"/>
      <c r="IL34" s="41"/>
      <c r="IM34" s="41"/>
      <c r="IN34" s="41"/>
      <c r="IO34" s="41"/>
      <c r="IP34" s="41"/>
      <c r="IQ34" s="41"/>
      <c r="IR34" s="41"/>
      <c r="IS34" s="41"/>
      <c r="IT34" s="41"/>
      <c r="IU34" s="41"/>
      <c r="IV34" s="41"/>
      <c r="IW34" s="41"/>
      <c r="IX34" s="41"/>
      <c r="IY34" s="41"/>
      <c r="IZ34" s="41"/>
      <c r="JA34" s="41"/>
      <c r="JB34" s="41"/>
      <c r="JC34" s="41"/>
      <c r="JD34" s="41"/>
      <c r="JE34" s="41"/>
      <c r="JF34" s="41"/>
      <c r="JG34" s="41"/>
      <c r="JH34" s="41"/>
      <c r="JI34" s="41"/>
      <c r="JJ34" s="41"/>
      <c r="JK34" s="41"/>
      <c r="JL34" s="41"/>
      <c r="JM34" s="41"/>
      <c r="JN34" s="41"/>
      <c r="JO34" s="41"/>
      <c r="JP34" s="41"/>
      <c r="JQ34" s="41"/>
      <c r="JR34" s="41"/>
      <c r="JS34" s="41"/>
      <c r="JT34" s="41"/>
      <c r="JU34" s="41"/>
      <c r="JV34" s="41"/>
      <c r="JW34" s="41"/>
      <c r="JX34" s="41"/>
      <c r="JY34" s="41"/>
      <c r="JZ34" s="41"/>
      <c r="KA34" s="41"/>
      <c r="KB34" s="41"/>
      <c r="KC34" s="41"/>
      <c r="KD34" s="41"/>
      <c r="KE34" s="41"/>
      <c r="KF34" s="41"/>
      <c r="KG34" s="41"/>
      <c r="KH34" s="41"/>
      <c r="KI34" s="41"/>
      <c r="KJ34" s="41"/>
      <c r="KK34" s="41"/>
      <c r="KL34" s="41"/>
      <c r="KM34" s="41"/>
      <c r="KN34" s="41"/>
      <c r="KO34" s="41"/>
      <c r="KP34" s="41"/>
      <c r="KQ34" s="41"/>
      <c r="KR34" s="41"/>
      <c r="KS34" s="41"/>
      <c r="KT34" s="41"/>
      <c r="KU34" s="41"/>
      <c r="KV34" s="41"/>
      <c r="KW34" s="41"/>
      <c r="KX34" s="41"/>
      <c r="KY34" s="41"/>
      <c r="KZ34" s="41"/>
      <c r="LA34" s="41"/>
      <c r="LB34" s="41"/>
      <c r="LC34" s="41"/>
      <c r="LD34" s="41"/>
      <c r="LE34" s="41"/>
      <c r="LF34" s="41"/>
      <c r="LG34" s="41"/>
      <c r="LH34" s="41"/>
      <c r="LI34" s="41"/>
      <c r="LJ34" s="41"/>
      <c r="LK34" s="41"/>
      <c r="LL34" s="41"/>
      <c r="LM34" s="41"/>
      <c r="LN34" s="41"/>
      <c r="LO34" s="41"/>
      <c r="LP34" s="41"/>
      <c r="LQ34" s="41"/>
      <c r="LR34" s="41"/>
      <c r="LS34" s="41"/>
      <c r="LT34" s="41"/>
      <c r="LU34" s="41"/>
      <c r="LV34" s="41"/>
      <c r="LW34" s="41"/>
      <c r="LX34" s="41"/>
      <c r="LY34" s="41"/>
      <c r="LZ34" s="41"/>
      <c r="MA34" s="41"/>
      <c r="MB34" s="41"/>
      <c r="MC34" s="41"/>
      <c r="MD34" s="41"/>
      <c r="ME34" s="41"/>
      <c r="MF34" s="41"/>
      <c r="MG34" s="41"/>
      <c r="MH34" s="41"/>
      <c r="MI34" s="41"/>
      <c r="MJ34" s="41"/>
      <c r="MK34" s="41"/>
      <c r="ML34" s="41"/>
      <c r="MM34" s="41"/>
      <c r="MN34" s="41"/>
      <c r="MO34" s="41"/>
      <c r="MP34" s="41"/>
      <c r="MQ34" s="41"/>
      <c r="MR34" s="41"/>
      <c r="MS34" s="41"/>
      <c r="MT34" s="41"/>
      <c r="MU34" s="41"/>
      <c r="MV34" s="41"/>
      <c r="MW34" s="41"/>
      <c r="MX34" s="41"/>
      <c r="MY34" s="1"/>
      <c r="MZ34" s="1"/>
      <c r="NA34" s="1"/>
      <c r="NB34" s="1"/>
      <c r="NC34" s="1"/>
      <c r="ND34" s="1"/>
      <c r="NE34" s="1"/>
      <c r="NF34" s="1"/>
      <c r="NG34" s="1"/>
      <c r="NH34" s="13">
        <v>0.16500000000000001</v>
      </c>
      <c r="NI34" s="1">
        <f>Combine!A36</f>
        <v>48105</v>
      </c>
      <c r="NJ34" s="14">
        <f>Combine!F36</f>
        <v>516425.402275133</v>
      </c>
    </row>
    <row r="35" spans="1:374" ht="12.75" customHeight="1" x14ac:dyDescent="0.3">
      <c r="A35" s="28" t="s">
        <v>862</v>
      </c>
      <c r="B35" s="29">
        <v>0</v>
      </c>
      <c r="C35" s="30">
        <v>1</v>
      </c>
      <c r="D35" s="30">
        <v>2</v>
      </c>
      <c r="E35" s="30">
        <v>3</v>
      </c>
      <c r="F35" s="30">
        <v>4</v>
      </c>
      <c r="G35" s="30">
        <v>5</v>
      </c>
      <c r="H35" s="30">
        <v>6</v>
      </c>
      <c r="I35" s="30">
        <v>7</v>
      </c>
      <c r="J35" s="30">
        <v>8</v>
      </c>
      <c r="K35" s="30">
        <v>9</v>
      </c>
      <c r="L35" s="30">
        <v>10</v>
      </c>
      <c r="M35" s="30">
        <v>11</v>
      </c>
      <c r="N35" s="30">
        <v>12</v>
      </c>
      <c r="O35" s="30">
        <v>13</v>
      </c>
      <c r="P35" s="30">
        <v>14</v>
      </c>
      <c r="Q35" s="30">
        <v>15</v>
      </c>
      <c r="R35" s="30">
        <v>16</v>
      </c>
      <c r="S35" s="30">
        <v>17</v>
      </c>
      <c r="T35" s="30">
        <v>18</v>
      </c>
      <c r="U35" s="30">
        <v>19</v>
      </c>
      <c r="V35" s="30">
        <v>20</v>
      </c>
      <c r="W35" s="30">
        <v>21</v>
      </c>
      <c r="X35" s="30">
        <v>22</v>
      </c>
      <c r="Y35" s="30">
        <v>23</v>
      </c>
      <c r="Z35" s="30">
        <v>24</v>
      </c>
      <c r="AA35" s="30">
        <v>25</v>
      </c>
      <c r="AB35" s="30">
        <v>26</v>
      </c>
      <c r="AC35" s="30">
        <v>27</v>
      </c>
      <c r="AD35" s="30">
        <v>28</v>
      </c>
      <c r="AE35" s="30">
        <v>29</v>
      </c>
      <c r="AF35" s="30">
        <v>30</v>
      </c>
      <c r="AG35" s="30">
        <v>31</v>
      </c>
      <c r="AH35" s="30">
        <v>32</v>
      </c>
      <c r="AI35" s="30">
        <v>33</v>
      </c>
      <c r="AJ35" s="30">
        <v>34</v>
      </c>
      <c r="AK35" s="30">
        <v>35</v>
      </c>
      <c r="AL35" s="30">
        <v>36</v>
      </c>
      <c r="AM35" s="30">
        <v>37</v>
      </c>
      <c r="AN35" s="30">
        <v>38</v>
      </c>
      <c r="AO35" s="30">
        <v>39</v>
      </c>
      <c r="AP35" s="30">
        <v>40</v>
      </c>
      <c r="AQ35" s="30">
        <v>41</v>
      </c>
      <c r="AR35" s="30">
        <v>42</v>
      </c>
      <c r="AS35" s="30">
        <v>43</v>
      </c>
      <c r="AT35" s="30">
        <v>44</v>
      </c>
      <c r="AU35" s="30">
        <v>45</v>
      </c>
      <c r="AV35" s="30">
        <v>46</v>
      </c>
      <c r="AW35" s="30">
        <v>47</v>
      </c>
      <c r="AX35" s="30">
        <v>48</v>
      </c>
      <c r="AY35" s="30">
        <v>49</v>
      </c>
      <c r="AZ35" s="30">
        <v>50</v>
      </c>
      <c r="BA35" s="30">
        <v>51</v>
      </c>
      <c r="BB35" s="30">
        <v>52</v>
      </c>
      <c r="BC35" s="30">
        <v>53</v>
      </c>
      <c r="BD35" s="30">
        <v>54</v>
      </c>
      <c r="BE35" s="30">
        <v>55</v>
      </c>
      <c r="BF35" s="30">
        <v>56</v>
      </c>
      <c r="BG35" s="30">
        <v>57</v>
      </c>
      <c r="BH35" s="30">
        <v>58</v>
      </c>
      <c r="BI35" s="30">
        <v>59</v>
      </c>
      <c r="BJ35" s="30">
        <v>60</v>
      </c>
      <c r="BK35" s="30">
        <v>61</v>
      </c>
      <c r="BL35" s="30">
        <v>62</v>
      </c>
      <c r="BM35" s="30">
        <v>63</v>
      </c>
      <c r="BN35" s="30">
        <v>64</v>
      </c>
      <c r="BO35" s="30">
        <v>65</v>
      </c>
      <c r="BP35" s="30">
        <v>66</v>
      </c>
      <c r="BQ35" s="30">
        <v>67</v>
      </c>
      <c r="BR35" s="30">
        <v>68</v>
      </c>
      <c r="BS35" s="30">
        <v>69</v>
      </c>
      <c r="BT35" s="30">
        <v>70</v>
      </c>
      <c r="BU35" s="30">
        <v>71</v>
      </c>
      <c r="BV35" s="30">
        <v>72</v>
      </c>
      <c r="BW35" s="30">
        <v>73</v>
      </c>
      <c r="BX35" s="30">
        <v>74</v>
      </c>
      <c r="BY35" s="30">
        <v>75</v>
      </c>
      <c r="BZ35" s="30">
        <v>76</v>
      </c>
      <c r="CA35" s="30">
        <v>77</v>
      </c>
      <c r="CB35" s="30">
        <v>78</v>
      </c>
      <c r="CC35" s="30">
        <v>79</v>
      </c>
      <c r="CD35" s="30">
        <v>80</v>
      </c>
      <c r="CE35" s="30">
        <v>81</v>
      </c>
      <c r="CF35" s="30">
        <v>82</v>
      </c>
      <c r="CG35" s="30">
        <v>83</v>
      </c>
      <c r="CH35" s="30">
        <v>84</v>
      </c>
      <c r="CI35" s="30">
        <v>85</v>
      </c>
      <c r="CJ35" s="30">
        <v>86</v>
      </c>
      <c r="CK35" s="30">
        <v>87</v>
      </c>
      <c r="CL35" s="30">
        <v>88</v>
      </c>
      <c r="CM35" s="30">
        <v>89</v>
      </c>
      <c r="CN35" s="30">
        <v>90</v>
      </c>
      <c r="CO35" s="30">
        <v>91</v>
      </c>
      <c r="CP35" s="30">
        <v>92</v>
      </c>
      <c r="CQ35" s="30">
        <v>93</v>
      </c>
      <c r="CR35" s="30">
        <v>94</v>
      </c>
      <c r="CS35" s="30">
        <v>95</v>
      </c>
      <c r="CT35" s="30">
        <v>96</v>
      </c>
      <c r="CU35" s="30">
        <v>97</v>
      </c>
      <c r="CV35" s="30">
        <v>98</v>
      </c>
      <c r="CW35" s="30">
        <v>99</v>
      </c>
      <c r="CX35" s="30">
        <v>100</v>
      </c>
      <c r="CY35" s="30">
        <v>101</v>
      </c>
      <c r="CZ35" s="30">
        <v>102</v>
      </c>
      <c r="DA35" s="30">
        <v>103</v>
      </c>
      <c r="DB35" s="30">
        <v>104</v>
      </c>
      <c r="DC35" s="30">
        <v>105</v>
      </c>
      <c r="DD35" s="30">
        <v>106</v>
      </c>
      <c r="DE35" s="30">
        <v>107</v>
      </c>
      <c r="DF35" s="30">
        <v>108</v>
      </c>
      <c r="DG35" s="30">
        <v>109</v>
      </c>
      <c r="DH35" s="30">
        <v>110</v>
      </c>
      <c r="DI35" s="30">
        <v>111</v>
      </c>
      <c r="DJ35" s="30">
        <v>112</v>
      </c>
      <c r="DK35" s="30">
        <v>113</v>
      </c>
      <c r="DL35" s="30">
        <v>114</v>
      </c>
      <c r="DM35" s="30">
        <v>115</v>
      </c>
      <c r="DN35" s="30">
        <v>116</v>
      </c>
      <c r="DO35" s="30">
        <v>117</v>
      </c>
      <c r="DP35" s="30">
        <v>118</v>
      </c>
      <c r="DQ35" s="30">
        <v>119</v>
      </c>
      <c r="DR35" s="30">
        <v>120</v>
      </c>
      <c r="DS35" s="30">
        <v>121</v>
      </c>
      <c r="DT35" s="30">
        <v>122</v>
      </c>
      <c r="DU35" s="30">
        <v>123</v>
      </c>
      <c r="DV35" s="30">
        <v>124</v>
      </c>
      <c r="DW35" s="30">
        <v>125</v>
      </c>
      <c r="DX35" s="30">
        <v>126</v>
      </c>
      <c r="DY35" s="30">
        <v>127</v>
      </c>
      <c r="DZ35" s="30">
        <v>128</v>
      </c>
      <c r="EA35" s="30">
        <v>129</v>
      </c>
      <c r="EB35" s="30">
        <v>130</v>
      </c>
      <c r="EC35" s="30">
        <v>131</v>
      </c>
      <c r="ED35" s="30">
        <v>132</v>
      </c>
      <c r="EE35" s="30">
        <v>133</v>
      </c>
      <c r="EF35" s="30">
        <v>134</v>
      </c>
      <c r="EG35" s="30">
        <v>135</v>
      </c>
      <c r="EH35" s="30">
        <v>136</v>
      </c>
      <c r="EI35" s="30">
        <v>137</v>
      </c>
      <c r="EJ35" s="30">
        <v>138</v>
      </c>
      <c r="EK35" s="30">
        <v>139</v>
      </c>
      <c r="EL35" s="30">
        <v>140</v>
      </c>
      <c r="EM35" s="30">
        <v>141</v>
      </c>
      <c r="EN35" s="30">
        <v>142</v>
      </c>
      <c r="EO35" s="30">
        <v>143</v>
      </c>
      <c r="EP35" s="30">
        <v>144</v>
      </c>
      <c r="EQ35" s="30">
        <v>145</v>
      </c>
      <c r="ER35" s="30">
        <v>146</v>
      </c>
      <c r="ES35" s="30">
        <v>147</v>
      </c>
      <c r="ET35" s="30">
        <v>148</v>
      </c>
      <c r="EU35" s="30">
        <v>149</v>
      </c>
      <c r="EV35" s="30">
        <v>150</v>
      </c>
      <c r="EW35" s="30">
        <v>151</v>
      </c>
      <c r="EX35" s="30">
        <v>152</v>
      </c>
      <c r="EY35" s="30">
        <v>153</v>
      </c>
      <c r="EZ35" s="30">
        <v>154</v>
      </c>
      <c r="FA35" s="30">
        <v>155</v>
      </c>
      <c r="FB35" s="30">
        <v>156</v>
      </c>
      <c r="FC35" s="30">
        <v>157</v>
      </c>
      <c r="FD35" s="30">
        <v>158</v>
      </c>
      <c r="FE35" s="30">
        <v>159</v>
      </c>
      <c r="FF35" s="30">
        <v>160</v>
      </c>
      <c r="FG35" s="30">
        <v>161</v>
      </c>
      <c r="FH35" s="30">
        <v>162</v>
      </c>
      <c r="FI35" s="30">
        <v>163</v>
      </c>
      <c r="FJ35" s="30">
        <v>164</v>
      </c>
      <c r="FK35" s="30">
        <v>165</v>
      </c>
      <c r="FL35" s="30">
        <v>166</v>
      </c>
      <c r="FM35" s="30">
        <v>167</v>
      </c>
      <c r="FN35" s="30">
        <v>168</v>
      </c>
      <c r="FO35" s="30">
        <v>169</v>
      </c>
      <c r="FP35" s="30">
        <v>170</v>
      </c>
      <c r="FQ35" s="30">
        <v>171</v>
      </c>
      <c r="FR35" s="30">
        <v>172</v>
      </c>
      <c r="FS35" s="30">
        <v>173</v>
      </c>
      <c r="FT35" s="30">
        <v>174</v>
      </c>
      <c r="FU35" s="30">
        <v>175</v>
      </c>
      <c r="FV35" s="30">
        <v>176</v>
      </c>
      <c r="FW35" s="30">
        <v>177</v>
      </c>
      <c r="FX35" s="30">
        <v>178</v>
      </c>
      <c r="FY35" s="30">
        <v>179</v>
      </c>
      <c r="FZ35" s="30">
        <v>180</v>
      </c>
      <c r="GA35" s="30">
        <v>181</v>
      </c>
      <c r="GB35" s="30">
        <v>182</v>
      </c>
      <c r="GC35" s="30">
        <v>183</v>
      </c>
      <c r="GD35" s="30">
        <v>184</v>
      </c>
      <c r="GE35" s="30">
        <v>185</v>
      </c>
      <c r="GF35" s="30">
        <v>186</v>
      </c>
      <c r="GG35" s="30">
        <v>187</v>
      </c>
      <c r="GH35" s="30">
        <v>188</v>
      </c>
      <c r="GI35" s="30">
        <v>189</v>
      </c>
      <c r="GJ35" s="30">
        <v>190</v>
      </c>
      <c r="GK35" s="30">
        <v>191</v>
      </c>
      <c r="GL35" s="30">
        <v>192</v>
      </c>
      <c r="GM35" s="30">
        <v>193</v>
      </c>
      <c r="GN35" s="30">
        <v>194</v>
      </c>
      <c r="GO35" s="30">
        <v>195</v>
      </c>
      <c r="GP35" s="30">
        <v>196</v>
      </c>
      <c r="GQ35" s="30">
        <v>197</v>
      </c>
      <c r="GR35" s="30">
        <v>198</v>
      </c>
      <c r="GS35" s="30">
        <v>199</v>
      </c>
      <c r="GT35" s="30">
        <v>200</v>
      </c>
      <c r="GU35" s="30">
        <v>201</v>
      </c>
      <c r="GV35" s="30">
        <v>202</v>
      </c>
      <c r="GW35" s="30">
        <v>203</v>
      </c>
      <c r="GX35" s="30">
        <v>204</v>
      </c>
      <c r="GY35" s="30">
        <v>205</v>
      </c>
      <c r="GZ35" s="30">
        <v>206</v>
      </c>
      <c r="HA35" s="30">
        <v>207</v>
      </c>
      <c r="HB35" s="30">
        <v>208</v>
      </c>
      <c r="HC35" s="30">
        <v>209</v>
      </c>
      <c r="HD35" s="30">
        <v>210</v>
      </c>
      <c r="HE35" s="30">
        <v>211</v>
      </c>
      <c r="HF35" s="30">
        <v>212</v>
      </c>
      <c r="HG35" s="30">
        <v>213</v>
      </c>
      <c r="HH35" s="30">
        <v>214</v>
      </c>
      <c r="HI35" s="30">
        <v>215</v>
      </c>
      <c r="HJ35" s="30">
        <v>216</v>
      </c>
      <c r="HK35" s="30">
        <v>217</v>
      </c>
      <c r="HL35" s="30">
        <v>218</v>
      </c>
      <c r="HM35" s="30">
        <v>219</v>
      </c>
      <c r="HN35" s="30">
        <v>220</v>
      </c>
      <c r="HO35" s="30">
        <v>221</v>
      </c>
      <c r="HP35" s="30">
        <v>222</v>
      </c>
      <c r="HQ35" s="30">
        <v>223</v>
      </c>
      <c r="HR35" s="30">
        <v>224</v>
      </c>
      <c r="HS35" s="30">
        <v>225</v>
      </c>
      <c r="HT35" s="30">
        <v>226</v>
      </c>
      <c r="HU35" s="30">
        <v>227</v>
      </c>
      <c r="HV35" s="30">
        <v>228</v>
      </c>
      <c r="HW35" s="30">
        <v>229</v>
      </c>
      <c r="HX35" s="30">
        <v>230</v>
      </c>
      <c r="HY35" s="30">
        <v>231</v>
      </c>
      <c r="HZ35" s="30">
        <v>232</v>
      </c>
      <c r="IA35" s="30">
        <v>233</v>
      </c>
      <c r="IB35" s="30">
        <v>234</v>
      </c>
      <c r="IC35" s="30">
        <v>235</v>
      </c>
      <c r="ID35" s="30">
        <v>236</v>
      </c>
      <c r="IE35" s="30">
        <v>237</v>
      </c>
      <c r="IF35" s="30">
        <v>238</v>
      </c>
      <c r="IG35" s="30">
        <v>239</v>
      </c>
      <c r="IH35" s="30">
        <v>240</v>
      </c>
      <c r="II35" s="30">
        <v>241</v>
      </c>
      <c r="IJ35" s="30">
        <v>242</v>
      </c>
      <c r="IK35" s="30">
        <v>243</v>
      </c>
      <c r="IL35" s="30">
        <v>244</v>
      </c>
      <c r="IM35" s="30">
        <v>245</v>
      </c>
      <c r="IN35" s="30">
        <v>246</v>
      </c>
      <c r="IO35" s="30">
        <v>247</v>
      </c>
      <c r="IP35" s="30">
        <v>248</v>
      </c>
      <c r="IQ35" s="30">
        <v>249</v>
      </c>
      <c r="IR35" s="30">
        <v>250</v>
      </c>
      <c r="IS35" s="30">
        <v>251</v>
      </c>
      <c r="IT35" s="30">
        <v>252</v>
      </c>
      <c r="IU35" s="30">
        <v>253</v>
      </c>
      <c r="IV35" s="30">
        <v>254</v>
      </c>
      <c r="IW35" s="30">
        <v>255</v>
      </c>
      <c r="IX35" s="30">
        <v>256</v>
      </c>
      <c r="IY35" s="30">
        <v>257</v>
      </c>
      <c r="IZ35" s="30">
        <v>258</v>
      </c>
      <c r="JA35" s="30">
        <v>259</v>
      </c>
      <c r="JB35" s="30">
        <v>260</v>
      </c>
      <c r="JC35" s="30">
        <v>261</v>
      </c>
      <c r="JD35" s="30">
        <v>262</v>
      </c>
      <c r="JE35" s="30">
        <v>263</v>
      </c>
      <c r="JF35" s="30">
        <v>264</v>
      </c>
      <c r="JG35" s="30">
        <v>265</v>
      </c>
      <c r="JH35" s="30">
        <v>266</v>
      </c>
      <c r="JI35" s="30">
        <v>267</v>
      </c>
      <c r="JJ35" s="30">
        <v>268</v>
      </c>
      <c r="JK35" s="30">
        <v>269</v>
      </c>
      <c r="JL35" s="30">
        <v>270</v>
      </c>
      <c r="JM35" s="30">
        <v>271</v>
      </c>
      <c r="JN35" s="30">
        <v>272</v>
      </c>
      <c r="JO35" s="30">
        <v>273</v>
      </c>
      <c r="JP35" s="30">
        <v>274</v>
      </c>
      <c r="JQ35" s="30">
        <v>275</v>
      </c>
      <c r="JR35" s="30">
        <v>276</v>
      </c>
      <c r="JS35" s="30">
        <v>277</v>
      </c>
      <c r="JT35" s="30">
        <v>278</v>
      </c>
      <c r="JU35" s="30">
        <v>279</v>
      </c>
      <c r="JV35" s="30">
        <v>280</v>
      </c>
      <c r="JW35" s="30">
        <v>281</v>
      </c>
      <c r="JX35" s="30">
        <v>282</v>
      </c>
      <c r="JY35" s="30">
        <v>283</v>
      </c>
      <c r="JZ35" s="30">
        <v>284</v>
      </c>
      <c r="KA35" s="30">
        <v>285</v>
      </c>
      <c r="KB35" s="30">
        <v>286</v>
      </c>
      <c r="KC35" s="30">
        <v>287</v>
      </c>
      <c r="KD35" s="30">
        <v>288</v>
      </c>
      <c r="KE35" s="30">
        <v>289</v>
      </c>
      <c r="KF35" s="30">
        <v>290</v>
      </c>
      <c r="KG35" s="30">
        <v>291</v>
      </c>
      <c r="KH35" s="30">
        <v>292</v>
      </c>
      <c r="KI35" s="30">
        <v>293</v>
      </c>
      <c r="KJ35" s="30">
        <v>294</v>
      </c>
      <c r="KK35" s="30">
        <v>295</v>
      </c>
      <c r="KL35" s="30">
        <v>296</v>
      </c>
      <c r="KM35" s="30">
        <v>297</v>
      </c>
      <c r="KN35" s="30">
        <v>298</v>
      </c>
      <c r="KO35" s="30">
        <v>299</v>
      </c>
      <c r="KP35" s="30">
        <v>300</v>
      </c>
      <c r="KQ35" s="30">
        <v>301</v>
      </c>
      <c r="KR35" s="30">
        <v>302</v>
      </c>
      <c r="KS35" s="30">
        <v>303</v>
      </c>
      <c r="KT35" s="30">
        <v>304</v>
      </c>
      <c r="KU35" s="30">
        <v>305</v>
      </c>
      <c r="KV35" s="30">
        <v>306</v>
      </c>
      <c r="KW35" s="30">
        <v>307</v>
      </c>
      <c r="KX35" s="30">
        <v>308</v>
      </c>
      <c r="KY35" s="30">
        <v>309</v>
      </c>
      <c r="KZ35" s="30">
        <v>310</v>
      </c>
      <c r="LA35" s="30">
        <v>311</v>
      </c>
      <c r="LB35" s="30">
        <v>312</v>
      </c>
      <c r="LC35" s="30">
        <v>313</v>
      </c>
      <c r="LD35" s="30">
        <v>314</v>
      </c>
      <c r="LE35" s="30">
        <v>315</v>
      </c>
      <c r="LF35" s="30">
        <v>316</v>
      </c>
      <c r="LG35" s="30">
        <v>317</v>
      </c>
      <c r="LH35" s="30">
        <v>318</v>
      </c>
      <c r="LI35" s="30">
        <v>319</v>
      </c>
      <c r="LJ35" s="30">
        <v>320</v>
      </c>
      <c r="LK35" s="30">
        <v>321</v>
      </c>
      <c r="LL35" s="30">
        <v>322</v>
      </c>
      <c r="LM35" s="30">
        <v>323</v>
      </c>
      <c r="LN35" s="30">
        <v>324</v>
      </c>
      <c r="LO35" s="30">
        <v>325</v>
      </c>
      <c r="LP35" s="30">
        <v>326</v>
      </c>
      <c r="LQ35" s="30">
        <v>327</v>
      </c>
      <c r="LR35" s="30">
        <v>328</v>
      </c>
      <c r="LS35" s="30">
        <v>329</v>
      </c>
      <c r="LT35" s="30">
        <v>330</v>
      </c>
      <c r="LU35" s="30">
        <v>331</v>
      </c>
      <c r="LV35" s="30">
        <v>332</v>
      </c>
      <c r="LW35" s="30">
        <v>333</v>
      </c>
      <c r="LX35" s="30">
        <v>334</v>
      </c>
      <c r="LY35" s="30">
        <v>335</v>
      </c>
      <c r="LZ35" s="30">
        <v>336</v>
      </c>
      <c r="MA35" s="30">
        <v>337</v>
      </c>
      <c r="MB35" s="30">
        <v>338</v>
      </c>
      <c r="MC35" s="30">
        <v>339</v>
      </c>
      <c r="MD35" s="30">
        <v>340</v>
      </c>
      <c r="ME35" s="30">
        <v>341</v>
      </c>
      <c r="MF35" s="30">
        <v>342</v>
      </c>
      <c r="MG35" s="30">
        <v>343</v>
      </c>
      <c r="MH35" s="30">
        <v>344</v>
      </c>
      <c r="MI35" s="30">
        <v>345</v>
      </c>
      <c r="MJ35" s="30">
        <v>346</v>
      </c>
      <c r="MK35" s="30">
        <v>347</v>
      </c>
      <c r="ML35" s="30">
        <v>348</v>
      </c>
      <c r="MM35" s="30">
        <v>349</v>
      </c>
      <c r="MN35" s="30">
        <v>350</v>
      </c>
      <c r="MO35" s="30">
        <v>351</v>
      </c>
      <c r="MP35" s="30">
        <v>352</v>
      </c>
      <c r="MQ35" s="30">
        <v>353</v>
      </c>
      <c r="MR35" s="30">
        <v>354</v>
      </c>
      <c r="MS35" s="30">
        <v>355</v>
      </c>
      <c r="MT35" s="30">
        <v>356</v>
      </c>
      <c r="MU35" s="30">
        <v>357</v>
      </c>
      <c r="MV35" s="30">
        <v>358</v>
      </c>
      <c r="MW35" s="30">
        <v>359</v>
      </c>
      <c r="MX35" s="54">
        <v>360</v>
      </c>
      <c r="MY35" s="1"/>
      <c r="MZ35" s="1"/>
      <c r="NA35" s="1"/>
      <c r="NB35" s="1"/>
      <c r="NC35" s="1"/>
      <c r="ND35" s="1"/>
      <c r="NE35" s="1"/>
      <c r="NF35" s="1"/>
      <c r="NG35" s="1"/>
      <c r="NH35" s="13">
        <v>0.17</v>
      </c>
      <c r="NI35" s="1">
        <f>Combine!A37</f>
        <v>49507</v>
      </c>
      <c r="NJ35" s="14">
        <f>Combine!F37</f>
        <v>192020.518194576</v>
      </c>
    </row>
    <row r="36" spans="1:374" ht="15.75" customHeight="1" x14ac:dyDescent="0.3">
      <c r="A36" s="31" t="s">
        <v>885</v>
      </c>
      <c r="B36" s="32"/>
      <c r="C36" s="33">
        <f t="shared" ref="C36:BN36" si="66">C32</f>
        <v>2345.1940679917107</v>
      </c>
      <c r="D36" s="33">
        <f t="shared" si="66"/>
        <v>2347.7545793600766</v>
      </c>
      <c r="E36" s="33">
        <f t="shared" si="66"/>
        <v>2350.325701071929</v>
      </c>
      <c r="F36" s="33">
        <f t="shared" si="66"/>
        <v>2352.9074772639651</v>
      </c>
      <c r="G36" s="33">
        <f t="shared" si="66"/>
        <v>2355.4999522566941</v>
      </c>
      <c r="H36" s="33">
        <f t="shared" si="66"/>
        <v>2358.1031705552014</v>
      </c>
      <c r="I36" s="33">
        <f t="shared" si="66"/>
        <v>2360.7171768499202</v>
      </c>
      <c r="J36" s="33">
        <f t="shared" si="66"/>
        <v>2363.3420160174005</v>
      </c>
      <c r="K36" s="33">
        <f t="shared" si="66"/>
        <v>2365.977733121088</v>
      </c>
      <c r="L36" s="33">
        <f t="shared" si="66"/>
        <v>2368.624373412099</v>
      </c>
      <c r="M36" s="33">
        <f t="shared" si="66"/>
        <v>2371.2819823300056</v>
      </c>
      <c r="N36" s="33">
        <f t="shared" si="66"/>
        <v>2373.9506055036172</v>
      </c>
      <c r="O36" s="33">
        <f t="shared" si="66"/>
        <v>2376.6302887517741</v>
      </c>
      <c r="P36" s="33">
        <f t="shared" si="66"/>
        <v>2379.3210780841337</v>
      </c>
      <c r="Q36" s="33">
        <f t="shared" si="66"/>
        <v>2382.0230197019682</v>
      </c>
      <c r="R36" s="33">
        <f t="shared" si="66"/>
        <v>2384.736159998964</v>
      </c>
      <c r="S36" s="33">
        <f t="shared" si="66"/>
        <v>2387.460545562019</v>
      </c>
      <c r="T36" s="33">
        <f t="shared" si="66"/>
        <v>2390.1962231720527</v>
      </c>
      <c r="U36" s="33">
        <f t="shared" si="66"/>
        <v>2392.943239804812</v>
      </c>
      <c r="V36" s="33">
        <f t="shared" si="66"/>
        <v>2395.7016426316818</v>
      </c>
      <c r="W36" s="33">
        <f t="shared" si="66"/>
        <v>2398.4714790205021</v>
      </c>
      <c r="X36" s="33">
        <f t="shared" si="66"/>
        <v>2401.2527965363847</v>
      </c>
      <c r="Y36" s="33">
        <f t="shared" si="66"/>
        <v>2404.0456429425381</v>
      </c>
      <c r="Z36" s="33">
        <f t="shared" si="66"/>
        <v>2406.8500662010879</v>
      </c>
      <c r="AA36" s="33">
        <f t="shared" si="66"/>
        <v>2409.6661144739105</v>
      </c>
      <c r="AB36" s="33">
        <f t="shared" si="66"/>
        <v>2412.4938361234608</v>
      </c>
      <c r="AC36" s="33">
        <f t="shared" si="66"/>
        <v>2415.3332797136131</v>
      </c>
      <c r="AD36" s="33">
        <f t="shared" si="66"/>
        <v>2418.1844940104943</v>
      </c>
      <c r="AE36" s="33">
        <f t="shared" si="66"/>
        <v>2421.0475279833299</v>
      </c>
      <c r="AF36" s="33">
        <f t="shared" si="66"/>
        <v>2423.9224308052917</v>
      </c>
      <c r="AG36" s="33">
        <f t="shared" si="66"/>
        <v>2426.8092518543431</v>
      </c>
      <c r="AH36" s="33">
        <f t="shared" si="66"/>
        <v>2429.7080407140948</v>
      </c>
      <c r="AI36" s="33">
        <f t="shared" si="66"/>
        <v>2432.6188471746627</v>
      </c>
      <c r="AJ36" s="33">
        <f t="shared" si="66"/>
        <v>2435.5417212335251</v>
      </c>
      <c r="AK36" s="33">
        <f t="shared" si="66"/>
        <v>2438.4767130963892</v>
      </c>
      <c r="AL36" s="33">
        <f t="shared" si="66"/>
        <v>2441.4238731780583</v>
      </c>
      <c r="AM36" s="33">
        <f t="shared" si="66"/>
        <v>2444.3832521033014</v>
      </c>
      <c r="AN36" s="33">
        <f t="shared" si="66"/>
        <v>2447.3549007077295</v>
      </c>
      <c r="AO36" s="33">
        <f t="shared" si="66"/>
        <v>2450.3388700386718</v>
      </c>
      <c r="AP36" s="33">
        <f t="shared" si="66"/>
        <v>2453.3352113560609</v>
      </c>
      <c r="AQ36" s="33">
        <f t="shared" si="66"/>
        <v>2456.343976133317</v>
      </c>
      <c r="AR36" s="33">
        <f t="shared" si="66"/>
        <v>2459.365216058236</v>
      </c>
      <c r="AS36" s="33">
        <f t="shared" si="66"/>
        <v>2462.3989830338851</v>
      </c>
      <c r="AT36" s="33">
        <f t="shared" si="66"/>
        <v>2465.4453291794971</v>
      </c>
      <c r="AU36" s="33">
        <f t="shared" si="66"/>
        <v>2468.5043068313739</v>
      </c>
      <c r="AV36" s="33">
        <f t="shared" si="66"/>
        <v>2471.5759685437874</v>
      </c>
      <c r="AW36" s="33">
        <f t="shared" si="66"/>
        <v>2474.6603670898908</v>
      </c>
      <c r="AX36" s="33">
        <f t="shared" si="66"/>
        <v>2477.7575554626283</v>
      </c>
      <c r="AY36" s="33">
        <f t="shared" si="66"/>
        <v>2480.8675868756513</v>
      </c>
      <c r="AZ36" s="33">
        <f t="shared" si="66"/>
        <v>2483.9905147642398</v>
      </c>
      <c r="BA36" s="33">
        <f t="shared" si="66"/>
        <v>2487.1263927862215</v>
      </c>
      <c r="BB36" s="33">
        <f t="shared" si="66"/>
        <v>2490.2752748229036</v>
      </c>
      <c r="BC36" s="33">
        <f t="shared" si="66"/>
        <v>2493.4372149800001</v>
      </c>
      <c r="BD36" s="33">
        <f t="shared" si="66"/>
        <v>2496.6122675885708</v>
      </c>
      <c r="BE36" s="33">
        <f t="shared" si="66"/>
        <v>2499.8004872059555</v>
      </c>
      <c r="BF36" s="33">
        <f t="shared" si="66"/>
        <v>2503.0019286167199</v>
      </c>
      <c r="BG36" s="33">
        <f t="shared" si="66"/>
        <v>2506.2166468336</v>
      </c>
      <c r="BH36" s="33">
        <f t="shared" si="66"/>
        <v>2509.4446970984554</v>
      </c>
      <c r="BI36" s="33">
        <f t="shared" si="66"/>
        <v>2512.6861348832222</v>
      </c>
      <c r="BJ36" s="33">
        <f t="shared" si="66"/>
        <v>2515.9410158908713</v>
      </c>
      <c r="BK36" s="33">
        <f t="shared" si="66"/>
        <v>2519.209396056372</v>
      </c>
      <c r="BL36" s="33">
        <f t="shared" si="66"/>
        <v>2522.4913315476565</v>
      </c>
      <c r="BM36" s="33">
        <f t="shared" si="66"/>
        <v>2525.786878766593</v>
      </c>
      <c r="BN36" s="33">
        <f t="shared" si="66"/>
        <v>2529.096094349959</v>
      </c>
      <c r="BO36" s="33">
        <f t="shared" ref="BO36:DZ36" si="67">BO32</f>
        <v>2532.419035170421</v>
      </c>
      <c r="BP36" s="33">
        <f t="shared" si="67"/>
        <v>2535.7557583375142</v>
      </c>
      <c r="BQ36" s="33">
        <f t="shared" si="67"/>
        <v>2539.1063211986334</v>
      </c>
      <c r="BR36" s="33">
        <f t="shared" si="67"/>
        <v>2542.4707813400205</v>
      </c>
      <c r="BS36" s="33">
        <f t="shared" si="67"/>
        <v>2545.8491965877629</v>
      </c>
      <c r="BT36" s="33">
        <f t="shared" si="67"/>
        <v>2549.2416250087904</v>
      </c>
      <c r="BU36" s="33">
        <f t="shared" si="67"/>
        <v>2552.6481249118783</v>
      </c>
      <c r="BV36" s="33">
        <f t="shared" si="67"/>
        <v>2556.0687548486567</v>
      </c>
      <c r="BW36" s="33">
        <f t="shared" si="67"/>
        <v>2559.5035736146206</v>
      </c>
      <c r="BX36" s="33">
        <f t="shared" si="67"/>
        <v>2562.9526402501479</v>
      </c>
      <c r="BY36" s="33">
        <f t="shared" si="67"/>
        <v>2566.416014041517</v>
      </c>
      <c r="BZ36" s="33">
        <f t="shared" si="67"/>
        <v>2569.8937545219333</v>
      </c>
      <c r="CA36" s="33">
        <f t="shared" si="67"/>
        <v>2573.385921472558</v>
      </c>
      <c r="CB36" s="33">
        <f t="shared" si="67"/>
        <v>2576.8925749235395</v>
      </c>
      <c r="CC36" s="33">
        <f t="shared" si="67"/>
        <v>2580.4137751550511</v>
      </c>
      <c r="CD36" s="33">
        <f t="shared" si="67"/>
        <v>2583.9495826983352</v>
      </c>
      <c r="CE36" s="33">
        <f t="shared" si="67"/>
        <v>2587.500058336745</v>
      </c>
      <c r="CF36" s="33">
        <f t="shared" si="67"/>
        <v>2591.0652631067983</v>
      </c>
      <c r="CG36" s="33">
        <f t="shared" si="67"/>
        <v>2594.645258299231</v>
      </c>
      <c r="CH36" s="33">
        <f t="shared" si="67"/>
        <v>2598.2401054600568</v>
      </c>
      <c r="CI36" s="33">
        <f t="shared" si="67"/>
        <v>2601.8498663916289</v>
      </c>
      <c r="CJ36" s="33">
        <f t="shared" si="67"/>
        <v>2605.4746031537097</v>
      </c>
      <c r="CK36" s="33">
        <f t="shared" si="67"/>
        <v>2609.114378064543</v>
      </c>
      <c r="CL36" s="33">
        <f t="shared" si="67"/>
        <v>2612.7692537019311</v>
      </c>
      <c r="CM36" s="33">
        <f t="shared" si="67"/>
        <v>2616.4392929043147</v>
      </c>
      <c r="CN36" s="33">
        <f t="shared" si="67"/>
        <v>2620.1245587718604</v>
      </c>
      <c r="CO36" s="33">
        <f t="shared" si="67"/>
        <v>2623.8251146675502</v>
      </c>
      <c r="CP36" s="33">
        <f t="shared" si="67"/>
        <v>2627.5410242182775</v>
      </c>
      <c r="CQ36" s="33">
        <f t="shared" si="67"/>
        <v>2631.2723513159435</v>
      </c>
      <c r="CR36" s="33">
        <f t="shared" si="67"/>
        <v>2635.019160118567</v>
      </c>
      <c r="CS36" s="33">
        <f t="shared" si="67"/>
        <v>2638.781515051387</v>
      </c>
      <c r="CT36" s="33">
        <f t="shared" si="67"/>
        <v>2642.5594808079795</v>
      </c>
      <c r="CU36" s="33">
        <f t="shared" si="67"/>
        <v>2646.3531223513755</v>
      </c>
      <c r="CV36" s="33">
        <f t="shared" si="67"/>
        <v>2650.1625049151803</v>
      </c>
      <c r="CW36" s="33">
        <f t="shared" si="67"/>
        <v>2653.9876940047061</v>
      </c>
      <c r="CX36" s="33">
        <f t="shared" si="67"/>
        <v>2657.8287553980995</v>
      </c>
      <c r="CY36" s="33">
        <f t="shared" si="67"/>
        <v>2661.6857551474795</v>
      </c>
      <c r="CZ36" s="33">
        <f t="shared" si="67"/>
        <v>2665.5587595800798</v>
      </c>
      <c r="DA36" s="33">
        <f t="shared" si="67"/>
        <v>2669.4478352993942</v>
      </c>
      <c r="DB36" s="33">
        <f t="shared" si="67"/>
        <v>2673.3530491863276</v>
      </c>
      <c r="DC36" s="33">
        <f t="shared" si="67"/>
        <v>2677.2744684003515</v>
      </c>
      <c r="DD36" s="33">
        <f t="shared" si="67"/>
        <v>2681.2121603806663</v>
      </c>
      <c r="DE36" s="33">
        <f t="shared" si="67"/>
        <v>2685.1661928473636</v>
      </c>
      <c r="DF36" s="33">
        <f t="shared" si="67"/>
        <v>2689.1366338025991</v>
      </c>
      <c r="DG36" s="33">
        <f t="shared" si="67"/>
        <v>2693.1235515317662</v>
      </c>
      <c r="DH36" s="33">
        <f t="shared" si="67"/>
        <v>2697.1270146046777</v>
      </c>
      <c r="DI36" s="33">
        <f t="shared" si="67"/>
        <v>2701.1470918767486</v>
      </c>
      <c r="DJ36" s="33">
        <f t="shared" si="67"/>
        <v>2705.1838524901882</v>
      </c>
      <c r="DK36" s="33">
        <f t="shared" si="67"/>
        <v>2709.2373658751922</v>
      </c>
      <c r="DL36" s="33">
        <f t="shared" si="67"/>
        <v>2713.3077017511459</v>
      </c>
      <c r="DM36" s="33">
        <f t="shared" si="67"/>
        <v>2717.3949301278253</v>
      </c>
      <c r="DN36" s="33">
        <f t="shared" si="67"/>
        <v>2721.499121306611</v>
      </c>
      <c r="DO36" s="33">
        <f t="shared" si="67"/>
        <v>2725.6203458816994</v>
      </c>
      <c r="DP36" s="33">
        <f t="shared" si="67"/>
        <v>2729.7586747413252</v>
      </c>
      <c r="DQ36" s="33">
        <f t="shared" si="67"/>
        <v>2733.9141790689846</v>
      </c>
      <c r="DR36" s="33">
        <f t="shared" si="67"/>
        <v>2738.0869303446666</v>
      </c>
      <c r="DS36" s="33">
        <f t="shared" si="67"/>
        <v>2742.2770003460882</v>
      </c>
      <c r="DT36" s="33">
        <f t="shared" si="67"/>
        <v>2746.4844611499343</v>
      </c>
      <c r="DU36" s="33">
        <f t="shared" si="67"/>
        <v>2750.7093851331033</v>
      </c>
      <c r="DV36" s="33">
        <f t="shared" si="67"/>
        <v>2754.9518449739576</v>
      </c>
      <c r="DW36" s="33">
        <f t="shared" si="67"/>
        <v>2759.2119136535816</v>
      </c>
      <c r="DX36" s="33">
        <f t="shared" si="67"/>
        <v>2763.4896644570404</v>
      </c>
      <c r="DY36" s="33">
        <f t="shared" si="67"/>
        <v>2767.7851709746456</v>
      </c>
      <c r="DZ36" s="33">
        <f t="shared" si="67"/>
        <v>2772.0985071032314</v>
      </c>
      <c r="EA36" s="33">
        <f t="shared" ref="EA36:GL36" si="68">EA32</f>
        <v>2776.4297470474276</v>
      </c>
      <c r="EB36" s="33">
        <f t="shared" si="68"/>
        <v>2780.778965320942</v>
      </c>
      <c r="EC36" s="33">
        <f t="shared" si="68"/>
        <v>2785.1462367478507</v>
      </c>
      <c r="ED36" s="33">
        <f t="shared" si="68"/>
        <v>2789.5316364638902</v>
      </c>
      <c r="EE36" s="33">
        <f t="shared" si="68"/>
        <v>2793.9352399177537</v>
      </c>
      <c r="EF36" s="33">
        <f t="shared" si="68"/>
        <v>2798.3571228723977</v>
      </c>
      <c r="EG36" s="33">
        <f t="shared" si="68"/>
        <v>2802.7973614063508</v>
      </c>
      <c r="EH36" s="33">
        <f t="shared" si="68"/>
        <v>2807.2560319150266</v>
      </c>
      <c r="EI36" s="33">
        <f t="shared" si="68"/>
        <v>2811.7332111120463</v>
      </c>
      <c r="EJ36" s="33">
        <f t="shared" si="68"/>
        <v>2816.2289760305616</v>
      </c>
      <c r="EK36" s="33">
        <f t="shared" si="68"/>
        <v>2820.7434040245903</v>
      </c>
      <c r="EL36" s="33">
        <f t="shared" si="68"/>
        <v>2825.276572770349</v>
      </c>
      <c r="EM36" s="33">
        <f t="shared" si="68"/>
        <v>2829.828560267596</v>
      </c>
      <c r="EN36" s="33">
        <f t="shared" si="68"/>
        <v>2834.3994448409831</v>
      </c>
      <c r="EO36" s="33">
        <f t="shared" si="68"/>
        <v>2838.9893051414033</v>
      </c>
      <c r="EP36" s="33">
        <f t="shared" si="68"/>
        <v>2843.5982201473535</v>
      </c>
      <c r="EQ36" s="33">
        <f t="shared" si="68"/>
        <v>2848.2262691663009</v>
      </c>
      <c r="ER36" s="33">
        <f t="shared" si="68"/>
        <v>2852.8735318360509</v>
      </c>
      <c r="ES36" s="33">
        <f t="shared" si="68"/>
        <v>2857.5400881261207</v>
      </c>
      <c r="ET36" s="33">
        <f t="shared" si="68"/>
        <v>2862.2260183391304</v>
      </c>
      <c r="EU36" s="33">
        <f t="shared" si="68"/>
        <v>2866.9314031121799</v>
      </c>
      <c r="EV36" s="33">
        <f t="shared" si="68"/>
        <v>2871.6563234182504</v>
      </c>
      <c r="EW36" s="33">
        <f t="shared" si="68"/>
        <v>2876.4008605675995</v>
      </c>
      <c r="EX36" s="33">
        <f t="shared" si="68"/>
        <v>2881.1650962091685</v>
      </c>
      <c r="EY36" s="33">
        <f t="shared" si="68"/>
        <v>2885.9491123319931</v>
      </c>
      <c r="EZ36" s="33">
        <f t="shared" si="68"/>
        <v>2890.7529912666187</v>
      </c>
      <c r="FA36" s="33">
        <f t="shared" si="68"/>
        <v>2895.5768156865256</v>
      </c>
      <c r="FB36" s="33">
        <f t="shared" si="68"/>
        <v>2900.4206686095563</v>
      </c>
      <c r="FC36" s="33">
        <f t="shared" si="68"/>
        <v>2905.2846333993512</v>
      </c>
      <c r="FD36" s="33">
        <f t="shared" si="68"/>
        <v>2910.1687937667871</v>
      </c>
      <c r="FE36" s="33">
        <f t="shared" si="68"/>
        <v>2915.0732337714267</v>
      </c>
      <c r="FF36" s="33">
        <f t="shared" si="68"/>
        <v>2919.9980378229684</v>
      </c>
      <c r="FG36" s="33">
        <f t="shared" si="68"/>
        <v>2924.9432906827101</v>
      </c>
      <c r="FH36" s="33">
        <f t="shared" si="68"/>
        <v>2929.9090774650067</v>
      </c>
      <c r="FI36" s="33">
        <f t="shared" si="68"/>
        <v>2934.8954836387479</v>
      </c>
      <c r="FJ36" s="33">
        <f t="shared" si="68"/>
        <v>2939.9025950288296</v>
      </c>
      <c r="FK36" s="33">
        <f t="shared" si="68"/>
        <v>2944.9304978176438</v>
      </c>
      <c r="FL36" s="33">
        <f t="shared" si="68"/>
        <v>2949.9792785465597</v>
      </c>
      <c r="FM36" s="33">
        <f t="shared" si="68"/>
        <v>2955.0490241174266</v>
      </c>
      <c r="FN36" s="33">
        <f t="shared" si="68"/>
        <v>2960.1398217940723</v>
      </c>
      <c r="FO36" s="33">
        <f t="shared" si="68"/>
        <v>2965.2517592038112</v>
      </c>
      <c r="FP36" s="33">
        <f t="shared" si="68"/>
        <v>2970.38492433896</v>
      </c>
      <c r="FQ36" s="33">
        <f t="shared" si="68"/>
        <v>2975.5394055583574</v>
      </c>
      <c r="FR36" s="33">
        <f t="shared" si="68"/>
        <v>2980.715291588891</v>
      </c>
      <c r="FS36" s="33">
        <f t="shared" si="68"/>
        <v>2985.9126715270318</v>
      </c>
      <c r="FT36" s="33">
        <f t="shared" si="68"/>
        <v>2991.1316348403725</v>
      </c>
      <c r="FU36" s="33">
        <f t="shared" si="68"/>
        <v>2996.372271369175</v>
      </c>
      <c r="FV36" s="33">
        <f t="shared" si="68"/>
        <v>3001.6346713279227</v>
      </c>
      <c r="FW36" s="33">
        <f t="shared" si="68"/>
        <v>3006.9189253068794</v>
      </c>
      <c r="FX36" s="33">
        <f t="shared" si="68"/>
        <v>3012.2251242736543</v>
      </c>
      <c r="FY36" s="33">
        <f t="shared" si="68"/>
        <v>3017.5533595747752</v>
      </c>
      <c r="FZ36" s="33">
        <f t="shared" si="68"/>
        <v>3022.903722937267</v>
      </c>
      <c r="GA36" s="33">
        <f t="shared" si="68"/>
        <v>3028.2763064702367</v>
      </c>
      <c r="GB36" s="33">
        <f t="shared" si="68"/>
        <v>3033.6712026664659</v>
      </c>
      <c r="GC36" s="33">
        <f t="shared" si="68"/>
        <v>3039.0885044040065</v>
      </c>
      <c r="GD36" s="33">
        <f t="shared" si="68"/>
        <v>3044.5283049477912</v>
      </c>
      <c r="GE36" s="33">
        <f t="shared" si="68"/>
        <v>3049.9906979512398</v>
      </c>
      <c r="GF36" s="33">
        <f t="shared" si="68"/>
        <v>3055.4757774578802</v>
      </c>
      <c r="GG36" s="33">
        <f t="shared" si="68"/>
        <v>3060.9836379029762</v>
      </c>
      <c r="GH36" s="33">
        <f t="shared" si="68"/>
        <v>3066.5143741151537</v>
      </c>
      <c r="GI36" s="33">
        <f t="shared" si="68"/>
        <v>3072.0680813180456</v>
      </c>
      <c r="GJ36" s="33">
        <f t="shared" si="68"/>
        <v>3077.644855131934</v>
      </c>
      <c r="GK36" s="33">
        <f t="shared" si="68"/>
        <v>3083.2447915754024</v>
      </c>
      <c r="GL36" s="33">
        <f t="shared" si="68"/>
        <v>3088.8679870669985</v>
      </c>
      <c r="GM36" s="33">
        <f t="shared" ref="GM36:IX36" si="69">GM32</f>
        <v>3094.5145384268963</v>
      </c>
      <c r="GN36" s="33">
        <f t="shared" si="69"/>
        <v>3100.1845428785728</v>
      </c>
      <c r="GO36" s="33">
        <f t="shared" si="69"/>
        <v>3105.8780980504876</v>
      </c>
      <c r="GP36" s="33">
        <f t="shared" si="69"/>
        <v>3111.5953019777676</v>
      </c>
      <c r="GQ36" s="33">
        <f t="shared" si="69"/>
        <v>3117.336253103907</v>
      </c>
      <c r="GR36" s="33">
        <f t="shared" si="69"/>
        <v>3123.1010502824588</v>
      </c>
      <c r="GS36" s="33">
        <f t="shared" si="69"/>
        <v>3128.8897927787561</v>
      </c>
      <c r="GT36" s="33">
        <f t="shared" si="69"/>
        <v>3134.7025802716166</v>
      </c>
      <c r="GU36" s="33">
        <f t="shared" si="69"/>
        <v>3140.5395128550713</v>
      </c>
      <c r="GV36" s="33">
        <f t="shared" si="69"/>
        <v>3146.4006910400944</v>
      </c>
      <c r="GW36" s="33">
        <f t="shared" si="69"/>
        <v>3152.2862157563336</v>
      </c>
      <c r="GX36" s="33">
        <f t="shared" si="69"/>
        <v>3158.1961883538675</v>
      </c>
      <c r="GY36" s="33">
        <f t="shared" si="69"/>
        <v>3164.1307106049417</v>
      </c>
      <c r="GZ36" s="33">
        <f t="shared" si="69"/>
        <v>3170.0898847057415</v>
      </c>
      <c r="HA36" s="33">
        <f t="shared" si="69"/>
        <v>3176.0738132781476</v>
      </c>
      <c r="HB36" s="33">
        <f t="shared" si="69"/>
        <v>3182.082599371518</v>
      </c>
      <c r="HC36" s="33">
        <f t="shared" si="69"/>
        <v>3188.116346464461</v>
      </c>
      <c r="HD36" s="33">
        <f t="shared" si="69"/>
        <v>3194.1751584666317</v>
      </c>
      <c r="HE36" s="33">
        <f t="shared" si="69"/>
        <v>3200.2591397205219</v>
      </c>
      <c r="HF36" s="33">
        <f t="shared" si="69"/>
        <v>3206.3683950032664</v>
      </c>
      <c r="HG36" s="33">
        <f t="shared" si="69"/>
        <v>3212.503029528451</v>
      </c>
      <c r="HH36" s="33">
        <f t="shared" si="69"/>
        <v>3218.663148947936</v>
      </c>
      <c r="HI36" s="33">
        <f t="shared" si="69"/>
        <v>3224.8488593536758</v>
      </c>
      <c r="HJ36" s="33">
        <f t="shared" si="69"/>
        <v>3231.060267279559</v>
      </c>
      <c r="HK36" s="33">
        <f t="shared" si="69"/>
        <v>3237.297479703243</v>
      </c>
      <c r="HL36" s="33">
        <f t="shared" si="69"/>
        <v>3243.5606040480088</v>
      </c>
      <c r="HM36" s="33">
        <f t="shared" si="69"/>
        <v>3249.8497481846152</v>
      </c>
      <c r="HN36" s="33">
        <f t="shared" si="69"/>
        <v>3256.1650204331604</v>
      </c>
      <c r="HO36" s="33">
        <f t="shared" si="69"/>
        <v>3262.5065295649583</v>
      </c>
      <c r="HP36" s="33">
        <f t="shared" si="69"/>
        <v>3268.8743848044187</v>
      </c>
      <c r="HQ36" s="33">
        <f t="shared" si="69"/>
        <v>3275.2686958309296</v>
      </c>
      <c r="HR36" s="33">
        <f t="shared" si="69"/>
        <v>3281.6895727807582</v>
      </c>
      <c r="HS36" s="33">
        <f t="shared" si="69"/>
        <v>3288.1371262489538</v>
      </c>
      <c r="HT36" s="33">
        <f t="shared" si="69"/>
        <v>3294.6114672912558</v>
      </c>
      <c r="HU36" s="33">
        <f t="shared" si="69"/>
        <v>3301.1127074260171</v>
      </c>
      <c r="HV36" s="33">
        <f t="shared" si="69"/>
        <v>3307.6409586361287</v>
      </c>
      <c r="HW36" s="33">
        <f t="shared" si="69"/>
        <v>3314.1963333709555</v>
      </c>
      <c r="HX36" s="33">
        <f t="shared" si="69"/>
        <v>3320.7789445482813</v>
      </c>
      <c r="HY36" s="33">
        <f t="shared" si="69"/>
        <v>3327.3889055562609</v>
      </c>
      <c r="HZ36" s="33">
        <f t="shared" si="69"/>
        <v>3334.0263302553763</v>
      </c>
      <c r="IA36" s="33">
        <f t="shared" si="69"/>
        <v>3340.6913329804079</v>
      </c>
      <c r="IB36" s="33">
        <f t="shared" si="69"/>
        <v>3347.3840285424094</v>
      </c>
      <c r="IC36" s="33">
        <f t="shared" si="69"/>
        <v>3354.10453223069</v>
      </c>
      <c r="ID36" s="33">
        <f t="shared" si="69"/>
        <v>3360.8529598148134</v>
      </c>
      <c r="IE36" s="33">
        <f t="shared" si="69"/>
        <v>3367.6294275465907</v>
      </c>
      <c r="IF36" s="33">
        <f t="shared" si="69"/>
        <v>3374.4340521620943</v>
      </c>
      <c r="IG36" s="33">
        <f t="shared" si="69"/>
        <v>3381.2669508836761</v>
      </c>
      <c r="IH36" s="33">
        <f t="shared" si="69"/>
        <v>3388.1282414219904</v>
      </c>
      <c r="II36" s="33">
        <f t="shared" si="69"/>
        <v>3395.0180419780295</v>
      </c>
      <c r="IJ36" s="33">
        <f t="shared" si="69"/>
        <v>3401.9364712451697</v>
      </c>
      <c r="IK36" s="33">
        <f t="shared" si="69"/>
        <v>3408.8836484112171</v>
      </c>
      <c r="IL36" s="33">
        <f t="shared" si="69"/>
        <v>3415.8596931604711</v>
      </c>
      <c r="IM36" s="33">
        <f t="shared" si="69"/>
        <v>3422.8647256757936</v>
      </c>
      <c r="IN36" s="33">
        <f t="shared" si="69"/>
        <v>3429.8988666406849</v>
      </c>
      <c r="IO36" s="33">
        <f t="shared" si="69"/>
        <v>3436.9622372413687</v>
      </c>
      <c r="IP36" s="33">
        <f t="shared" si="69"/>
        <v>3444.0549591688878</v>
      </c>
      <c r="IQ36" s="33">
        <f t="shared" si="69"/>
        <v>3451.1771546212076</v>
      </c>
      <c r="IR36" s="33">
        <f t="shared" si="69"/>
        <v>3458.328946305327</v>
      </c>
      <c r="IS36" s="33">
        <f t="shared" si="69"/>
        <v>3465.5104574394004</v>
      </c>
      <c r="IT36" s="33">
        <f t="shared" si="69"/>
        <v>3472.7218117548678</v>
      </c>
      <c r="IU36" s="33">
        <f t="shared" si="69"/>
        <v>3479.9631334985902</v>
      </c>
      <c r="IV36" s="33">
        <f t="shared" si="69"/>
        <v>3487.234547435</v>
      </c>
      <c r="IW36" s="33">
        <f t="shared" si="69"/>
        <v>3494.5361788482569</v>
      </c>
      <c r="IX36" s="33">
        <f t="shared" si="69"/>
        <v>3501.8681535444139</v>
      </c>
      <c r="IY36" s="33">
        <f t="shared" ref="IY36:LJ36" si="70">IY32</f>
        <v>3509.2305978535887</v>
      </c>
      <c r="IZ36" s="33">
        <f t="shared" si="70"/>
        <v>3516.6236386321507</v>
      </c>
      <c r="JA36" s="33">
        <f t="shared" si="70"/>
        <v>3524.0474032649122</v>
      </c>
      <c r="JB36" s="33">
        <f t="shared" si="70"/>
        <v>3531.5020196673286</v>
      </c>
      <c r="JC36" s="33">
        <f t="shared" si="70"/>
        <v>3538.9876162877117</v>
      </c>
      <c r="JD36" s="33">
        <f t="shared" si="70"/>
        <v>3546.5043221094479</v>
      </c>
      <c r="JE36" s="33">
        <f t="shared" si="70"/>
        <v>3554.0522666532297</v>
      </c>
      <c r="JF36" s="33">
        <f t="shared" si="70"/>
        <v>3561.631579979291</v>
      </c>
      <c r="JG36" s="33">
        <f t="shared" si="70"/>
        <v>3569.2423926896586</v>
      </c>
      <c r="JH36" s="33">
        <f t="shared" si="70"/>
        <v>3576.8848359304075</v>
      </c>
      <c r="JI36" s="33">
        <f t="shared" si="70"/>
        <v>3584.5590413939276</v>
      </c>
      <c r="JJ36" s="33">
        <f t="shared" si="70"/>
        <v>3592.2651413211997</v>
      </c>
      <c r="JK36" s="33">
        <f t="shared" si="70"/>
        <v>3600.0032685040828</v>
      </c>
      <c r="JL36" s="33">
        <f t="shared" si="70"/>
        <v>3607.7735562876078</v>
      </c>
      <c r="JM36" s="33">
        <f t="shared" si="70"/>
        <v>3615.5761385722813</v>
      </c>
      <c r="JN36" s="33">
        <f t="shared" si="70"/>
        <v>3623.4111498164048</v>
      </c>
      <c r="JO36" s="33">
        <f t="shared" si="70"/>
        <v>3631.2787250383903</v>
      </c>
      <c r="JP36" s="33">
        <f t="shared" si="70"/>
        <v>3639.178999819103</v>
      </c>
      <c r="JQ36" s="33">
        <f t="shared" si="70"/>
        <v>3647.112110304196</v>
      </c>
      <c r="JR36" s="33">
        <f t="shared" si="70"/>
        <v>3655.078193206472</v>
      </c>
      <c r="JS36" s="33">
        <f t="shared" si="70"/>
        <v>3663.0773858082389</v>
      </c>
      <c r="JT36" s="33">
        <f t="shared" si="70"/>
        <v>3671.1098259636883</v>
      </c>
      <c r="JU36" s="33">
        <f t="shared" si="70"/>
        <v>3679.1756521012744</v>
      </c>
      <c r="JV36" s="33">
        <f t="shared" si="70"/>
        <v>3687.2750032261083</v>
      </c>
      <c r="JW36" s="33">
        <f t="shared" si="70"/>
        <v>3695.4080189223582</v>
      </c>
      <c r="JX36" s="33">
        <f t="shared" si="70"/>
        <v>3703.5748393556669</v>
      </c>
      <c r="JY36" s="33">
        <f t="shared" si="70"/>
        <v>3711.7756052755703</v>
      </c>
      <c r="JZ36" s="33">
        <f t="shared" si="70"/>
        <v>3720.0104580179291</v>
      </c>
      <c r="KA36" s="33">
        <f t="shared" si="70"/>
        <v>3728.2795395073776</v>
      </c>
      <c r="KB36" s="33">
        <f t="shared" si="70"/>
        <v>3736.5829922597704</v>
      </c>
      <c r="KC36" s="33">
        <f t="shared" si="70"/>
        <v>3744.9209593846504</v>
      </c>
      <c r="KD36" s="33">
        <f t="shared" si="70"/>
        <v>3753.2935845877164</v>
      </c>
      <c r="KE36" s="33">
        <f t="shared" si="70"/>
        <v>3761.7010121733151</v>
      </c>
      <c r="KF36" s="33">
        <f t="shared" si="70"/>
        <v>3770.1433870469282</v>
      </c>
      <c r="KG36" s="33">
        <f t="shared" si="70"/>
        <v>3778.6208547176802</v>
      </c>
      <c r="KH36" s="33">
        <f t="shared" si="70"/>
        <v>3787.1335613008537</v>
      </c>
      <c r="KI36" s="33">
        <f t="shared" si="70"/>
        <v>3795.6816535204134</v>
      </c>
      <c r="KJ36" s="33">
        <f t="shared" si="70"/>
        <v>3804.2652787115426</v>
      </c>
      <c r="KK36" s="33">
        <f t="shared" si="70"/>
        <v>3812.8845848231908</v>
      </c>
      <c r="KL36" s="33">
        <f t="shared" si="70"/>
        <v>3821.5397204206288</v>
      </c>
      <c r="KM36" s="33">
        <f t="shared" si="70"/>
        <v>3830.23083468802</v>
      </c>
      <c r="KN36" s="33">
        <f t="shared" si="70"/>
        <v>3838.9580774309939</v>
      </c>
      <c r="KO36" s="33">
        <f t="shared" si="70"/>
        <v>3847.7215990792406</v>
      </c>
      <c r="KP36" s="33">
        <f t="shared" si="70"/>
        <v>3856.5215506891072</v>
      </c>
      <c r="KQ36" s="33">
        <f t="shared" si="70"/>
        <v>3865.3580839462115</v>
      </c>
      <c r="KR36" s="33">
        <f t="shared" si="70"/>
        <v>3874.2313511680604</v>
      </c>
      <c r="KS36" s="33">
        <f t="shared" si="70"/>
        <v>3883.1415053066862</v>
      </c>
      <c r="KT36" s="33">
        <f t="shared" si="70"/>
        <v>3892.0886999512877</v>
      </c>
      <c r="KU36" s="33">
        <f t="shared" si="70"/>
        <v>3901.073089330886</v>
      </c>
      <c r="KV36" s="33">
        <f t="shared" si="70"/>
        <v>3910.0948283169905</v>
      </c>
      <c r="KW36" s="33">
        <f t="shared" si="70"/>
        <v>3919.1540724262754</v>
      </c>
      <c r="KX36" s="33">
        <f t="shared" si="70"/>
        <v>3928.2509778232666</v>
      </c>
      <c r="KY36" s="33">
        <f t="shared" si="70"/>
        <v>3937.3857013230431</v>
      </c>
      <c r="KZ36" s="33">
        <f t="shared" si="70"/>
        <v>3946.5584003939466</v>
      </c>
      <c r="LA36" s="33">
        <f t="shared" si="70"/>
        <v>3955.7692331603016</v>
      </c>
      <c r="LB36" s="33">
        <f t="shared" si="70"/>
        <v>3965.0183584051515</v>
      </c>
      <c r="LC36" s="33">
        <f t="shared" si="70"/>
        <v>3974.3059355729997</v>
      </c>
      <c r="LD36" s="33">
        <f t="shared" si="70"/>
        <v>3983.6321247725696</v>
      </c>
      <c r="LE36" s="33">
        <f t="shared" si="70"/>
        <v>3992.9970867795687</v>
      </c>
      <c r="LF36" s="33">
        <f t="shared" si="70"/>
        <v>4002.4009830394675</v>
      </c>
      <c r="LG36" s="33">
        <f t="shared" si="70"/>
        <v>4011.8439756702928</v>
      </c>
      <c r="LH36" s="33">
        <f t="shared" si="70"/>
        <v>4021.3262274654276</v>
      </c>
      <c r="LI36" s="33">
        <f t="shared" si="70"/>
        <v>4030.8479018964244</v>
      </c>
      <c r="LJ36" s="33">
        <f t="shared" si="70"/>
        <v>4040.409163115834</v>
      </c>
      <c r="LK36" s="33">
        <f t="shared" ref="LK36:MX36" si="71">LK32</f>
        <v>4050.0101759600384</v>
      </c>
      <c r="LL36" s="33">
        <f t="shared" si="71"/>
        <v>4059.6511059521026</v>
      </c>
      <c r="LM36" s="33">
        <f t="shared" si="71"/>
        <v>4069.3321193046359</v>
      </c>
      <c r="LN36" s="33">
        <f t="shared" si="71"/>
        <v>4079.0533829226652</v>
      </c>
      <c r="LO36" s="33">
        <f t="shared" si="71"/>
        <v>4088.8150644065149</v>
      </c>
      <c r="LP36" s="33">
        <f t="shared" si="71"/>
        <v>4098.6173320547132</v>
      </c>
      <c r="LQ36" s="33">
        <f t="shared" si="71"/>
        <v>4108.4603548668902</v>
      </c>
      <c r="LR36" s="33">
        <f t="shared" si="71"/>
        <v>4118.3443025467086</v>
      </c>
      <c r="LS36" s="33">
        <f t="shared" si="71"/>
        <v>4128.2693455047884</v>
      </c>
      <c r="LT36" s="33">
        <f t="shared" si="71"/>
        <v>4138.2356548616617</v>
      </c>
      <c r="LU36" s="33">
        <f t="shared" si="71"/>
        <v>4148.243402450722</v>
      </c>
      <c r="LV36" s="33">
        <f t="shared" si="71"/>
        <v>4158.2927608212003</v>
      </c>
      <c r="LW36" s="33">
        <f t="shared" si="71"/>
        <v>4168.3839032411424</v>
      </c>
      <c r="LX36" s="33">
        <f t="shared" si="71"/>
        <v>4178.5170037004091</v>
      </c>
      <c r="LY36" s="33">
        <f t="shared" si="71"/>
        <v>4188.6922369136801</v>
      </c>
      <c r="LZ36" s="33">
        <f t="shared" si="71"/>
        <v>4198.9097783234738</v>
      </c>
      <c r="MA36" s="33">
        <f t="shared" si="71"/>
        <v>4209.1698041031823</v>
      </c>
      <c r="MB36" s="33">
        <f t="shared" si="71"/>
        <v>4219.4724911601143</v>
      </c>
      <c r="MC36" s="33">
        <f t="shared" si="71"/>
        <v>4229.8180171385529</v>
      </c>
      <c r="MD36" s="33">
        <f t="shared" si="71"/>
        <v>4240.2065604228301</v>
      </c>
      <c r="ME36" s="33">
        <f t="shared" si="71"/>
        <v>4250.6383001404038</v>
      </c>
      <c r="MF36" s="33">
        <f t="shared" si="71"/>
        <v>4261.1134161649561</v>
      </c>
      <c r="MG36" s="33">
        <f t="shared" si="71"/>
        <v>4271.6320891195073</v>
      </c>
      <c r="MH36" s="33">
        <f t="shared" si="71"/>
        <v>4282.1945003795317</v>
      </c>
      <c r="MI36" s="33">
        <f t="shared" si="71"/>
        <v>4292.8008320760982</v>
      </c>
      <c r="MJ36" s="33">
        <f t="shared" si="71"/>
        <v>4303.451267099008</v>
      </c>
      <c r="MK36" s="33">
        <f t="shared" si="71"/>
        <v>4314.1459890999713</v>
      </c>
      <c r="ML36" s="33">
        <f t="shared" si="71"/>
        <v>4324.8851824957692</v>
      </c>
      <c r="MM36" s="33">
        <f t="shared" si="71"/>
        <v>4335.6690324714473</v>
      </c>
      <c r="MN36" s="33">
        <f t="shared" si="71"/>
        <v>4346.4977249835129</v>
      </c>
      <c r="MO36" s="33">
        <f t="shared" si="71"/>
        <v>4357.3714467631544</v>
      </c>
      <c r="MP36" s="33">
        <f t="shared" si="71"/>
        <v>4368.290385319463</v>
      </c>
      <c r="MQ36" s="33">
        <f t="shared" si="71"/>
        <v>4379.2547289426784</v>
      </c>
      <c r="MR36" s="33">
        <f t="shared" si="71"/>
        <v>4390.2646667074414</v>
      </c>
      <c r="MS36" s="33">
        <f t="shared" si="71"/>
        <v>4401.3203884760633</v>
      </c>
      <c r="MT36" s="33">
        <f t="shared" si="71"/>
        <v>4412.4220849018038</v>
      </c>
      <c r="MU36" s="33">
        <f t="shared" si="71"/>
        <v>4423.5699474321727</v>
      </c>
      <c r="MV36" s="33">
        <f t="shared" si="71"/>
        <v>4434.7641683122356</v>
      </c>
      <c r="MW36" s="33">
        <f t="shared" si="71"/>
        <v>4446.0049405879336</v>
      </c>
      <c r="MX36" s="55">
        <f t="shared" si="71"/>
        <v>4457.2924581094285</v>
      </c>
      <c r="MY36" s="1"/>
      <c r="MZ36" s="1"/>
      <c r="NA36" s="1"/>
      <c r="NB36" s="1"/>
      <c r="NC36" s="1"/>
      <c r="ND36" s="1"/>
      <c r="NE36" s="1"/>
      <c r="NF36" s="1"/>
      <c r="NG36" s="1"/>
      <c r="NH36" s="13">
        <v>0.17499999999999999</v>
      </c>
      <c r="NI36" s="1">
        <f>Combine!A38</f>
        <v>48430</v>
      </c>
      <c r="NJ36" s="14">
        <f>Combine!F38</f>
        <v>329554.21385650098</v>
      </c>
    </row>
    <row r="37" spans="1:374" ht="12.75" customHeight="1" x14ac:dyDescent="0.3">
      <c r="A37" s="31" t="s">
        <v>875</v>
      </c>
      <c r="B37" s="32">
        <f>B16</f>
        <v>1885.375</v>
      </c>
      <c r="C37" s="33">
        <f t="shared" ref="C37:BN37" si="72">(1+$B$17/12)*B37</f>
        <v>1893.2307291666666</v>
      </c>
      <c r="D37" s="33">
        <f t="shared" si="72"/>
        <v>1901.1191905381943</v>
      </c>
      <c r="E37" s="33">
        <f t="shared" si="72"/>
        <v>1909.0405204987701</v>
      </c>
      <c r="F37" s="33">
        <f t="shared" si="72"/>
        <v>1916.9948560008484</v>
      </c>
      <c r="G37" s="33">
        <f t="shared" si="72"/>
        <v>1924.9823345675186</v>
      </c>
      <c r="H37" s="33">
        <f t="shared" si="72"/>
        <v>1933.0030942948831</v>
      </c>
      <c r="I37" s="33">
        <f t="shared" si="72"/>
        <v>1941.0572738544452</v>
      </c>
      <c r="J37" s="33">
        <f t="shared" si="72"/>
        <v>1949.1450124955054</v>
      </c>
      <c r="K37" s="33">
        <f t="shared" si="72"/>
        <v>1957.2664500475701</v>
      </c>
      <c r="L37" s="33">
        <f t="shared" si="72"/>
        <v>1965.4217269227681</v>
      </c>
      <c r="M37" s="33">
        <f t="shared" si="72"/>
        <v>1973.6109841182797</v>
      </c>
      <c r="N37" s="33">
        <f t="shared" si="72"/>
        <v>1981.8343632187725</v>
      </c>
      <c r="O37" s="33">
        <f t="shared" si="72"/>
        <v>1990.0920063988508</v>
      </c>
      <c r="P37" s="33">
        <f t="shared" si="72"/>
        <v>1998.3840564255127</v>
      </c>
      <c r="Q37" s="33">
        <f t="shared" si="72"/>
        <v>2006.710656660619</v>
      </c>
      <c r="R37" s="33">
        <f t="shared" si="72"/>
        <v>2015.0719510633714</v>
      </c>
      <c r="S37" s="33">
        <f t="shared" si="72"/>
        <v>2023.4680841928021</v>
      </c>
      <c r="T37" s="33">
        <f t="shared" si="72"/>
        <v>2031.8992012102719</v>
      </c>
      <c r="U37" s="33">
        <f t="shared" si="72"/>
        <v>2040.3654478819815</v>
      </c>
      <c r="V37" s="33">
        <f t="shared" si="72"/>
        <v>2048.8669705814896</v>
      </c>
      <c r="W37" s="33">
        <f t="shared" si="72"/>
        <v>2057.4039162922459</v>
      </c>
      <c r="X37" s="33">
        <f t="shared" si="72"/>
        <v>2065.9764326101304</v>
      </c>
      <c r="Y37" s="33">
        <f t="shared" si="72"/>
        <v>2074.5846677460058</v>
      </c>
      <c r="Z37" s="33">
        <f t="shared" si="72"/>
        <v>2083.2287705282806</v>
      </c>
      <c r="AA37" s="33">
        <f t="shared" si="72"/>
        <v>2091.9088904054815</v>
      </c>
      <c r="AB37" s="33">
        <f t="shared" si="72"/>
        <v>2100.6251774488378</v>
      </c>
      <c r="AC37" s="33">
        <f t="shared" si="72"/>
        <v>2109.3777823548744</v>
      </c>
      <c r="AD37" s="33">
        <f t="shared" si="72"/>
        <v>2118.1668564480196</v>
      </c>
      <c r="AE37" s="33">
        <f t="shared" si="72"/>
        <v>2126.9925516832195</v>
      </c>
      <c r="AF37" s="33">
        <f t="shared" si="72"/>
        <v>2135.8550206485661</v>
      </c>
      <c r="AG37" s="33">
        <f t="shared" si="72"/>
        <v>2144.7544165679351</v>
      </c>
      <c r="AH37" s="33">
        <f t="shared" si="72"/>
        <v>2153.6908933036348</v>
      </c>
      <c r="AI37" s="33">
        <f t="shared" si="72"/>
        <v>2162.6646053590666</v>
      </c>
      <c r="AJ37" s="33">
        <f t="shared" si="72"/>
        <v>2171.6757078813962</v>
      </c>
      <c r="AK37" s="33">
        <f t="shared" si="72"/>
        <v>2180.7243566642355</v>
      </c>
      <c r="AL37" s="33">
        <f t="shared" si="72"/>
        <v>2189.8107081503363</v>
      </c>
      <c r="AM37" s="33">
        <f t="shared" si="72"/>
        <v>2198.9349194342958</v>
      </c>
      <c r="AN37" s="33">
        <f t="shared" si="72"/>
        <v>2208.0971482652722</v>
      </c>
      <c r="AO37" s="33">
        <f t="shared" si="72"/>
        <v>2217.2975530497106</v>
      </c>
      <c r="AP37" s="33">
        <f t="shared" si="72"/>
        <v>2226.5362928540844</v>
      </c>
      <c r="AQ37" s="33">
        <f t="shared" si="72"/>
        <v>2235.8135274076431</v>
      </c>
      <c r="AR37" s="33">
        <f t="shared" si="72"/>
        <v>2245.129417105175</v>
      </c>
      <c r="AS37" s="33">
        <f t="shared" si="72"/>
        <v>2254.48412300978</v>
      </c>
      <c r="AT37" s="33">
        <f t="shared" si="72"/>
        <v>2263.8778068556539</v>
      </c>
      <c r="AU37" s="33">
        <f t="shared" si="72"/>
        <v>2273.3106310508856</v>
      </c>
      <c r="AV37" s="33">
        <f t="shared" si="72"/>
        <v>2282.7827586802641</v>
      </c>
      <c r="AW37" s="33">
        <f t="shared" si="72"/>
        <v>2292.2943535080985</v>
      </c>
      <c r="AX37" s="33">
        <f t="shared" si="72"/>
        <v>2301.845579981049</v>
      </c>
      <c r="AY37" s="33">
        <f t="shared" si="72"/>
        <v>2311.4366032309699</v>
      </c>
      <c r="AZ37" s="33">
        <f t="shared" si="72"/>
        <v>2321.0675890777657</v>
      </c>
      <c r="BA37" s="33">
        <f t="shared" si="72"/>
        <v>2330.7387040322565</v>
      </c>
      <c r="BB37" s="33">
        <f t="shared" si="72"/>
        <v>2340.4501152990574</v>
      </c>
      <c r="BC37" s="33">
        <f t="shared" si="72"/>
        <v>2350.2019907794702</v>
      </c>
      <c r="BD37" s="33">
        <f t="shared" si="72"/>
        <v>2359.9944990743847</v>
      </c>
      <c r="BE37" s="33">
        <f t="shared" si="72"/>
        <v>2369.8278094871948</v>
      </c>
      <c r="BF37" s="33">
        <f t="shared" si="72"/>
        <v>2379.7020920267246</v>
      </c>
      <c r="BG37" s="33">
        <f t="shared" si="72"/>
        <v>2389.6175174101691</v>
      </c>
      <c r="BH37" s="33">
        <f t="shared" si="72"/>
        <v>2399.5742570660445</v>
      </c>
      <c r="BI37" s="33">
        <f t="shared" si="72"/>
        <v>2409.5724831371531</v>
      </c>
      <c r="BJ37" s="33">
        <f t="shared" si="72"/>
        <v>2419.6123684835579</v>
      </c>
      <c r="BK37" s="33">
        <f t="shared" si="72"/>
        <v>2429.6940866855725</v>
      </c>
      <c r="BL37" s="33">
        <f t="shared" si="72"/>
        <v>2439.8178120467624</v>
      </c>
      <c r="BM37" s="33">
        <f t="shared" si="72"/>
        <v>2449.9837195969571</v>
      </c>
      <c r="BN37" s="33">
        <f t="shared" si="72"/>
        <v>2460.1919850952777</v>
      </c>
      <c r="BO37" s="33">
        <f t="shared" ref="BO37:DZ37" si="73">(1+$B$17/12)*BN37</f>
        <v>2470.4427850331745</v>
      </c>
      <c r="BP37" s="33">
        <f t="shared" si="73"/>
        <v>2480.7362966374794</v>
      </c>
      <c r="BQ37" s="33">
        <f t="shared" si="73"/>
        <v>2491.0726978734688</v>
      </c>
      <c r="BR37" s="33">
        <f t="shared" si="73"/>
        <v>2501.4521674479415</v>
      </c>
      <c r="BS37" s="33">
        <f t="shared" si="73"/>
        <v>2511.8748848123078</v>
      </c>
      <c r="BT37" s="33">
        <f t="shared" si="73"/>
        <v>2522.3410301656922</v>
      </c>
      <c r="BU37" s="33">
        <f t="shared" si="73"/>
        <v>2532.8507844580495</v>
      </c>
      <c r="BV37" s="33">
        <f t="shared" si="73"/>
        <v>2543.4043293932914</v>
      </c>
      <c r="BW37" s="33">
        <f t="shared" si="73"/>
        <v>2554.0018474324302</v>
      </c>
      <c r="BX37" s="33">
        <f t="shared" si="73"/>
        <v>2564.6435217967319</v>
      </c>
      <c r="BY37" s="33">
        <f t="shared" si="73"/>
        <v>2575.3295364708847</v>
      </c>
      <c r="BZ37" s="33">
        <f t="shared" si="73"/>
        <v>2586.0600762061799</v>
      </c>
      <c r="CA37" s="33">
        <f t="shared" si="73"/>
        <v>2596.8353265237056</v>
      </c>
      <c r="CB37" s="33">
        <f t="shared" si="73"/>
        <v>2607.6554737175543</v>
      </c>
      <c r="CC37" s="33">
        <f t="shared" si="73"/>
        <v>2618.5207048580442</v>
      </c>
      <c r="CD37" s="33">
        <f t="shared" si="73"/>
        <v>2629.4312077949526</v>
      </c>
      <c r="CE37" s="33">
        <f t="shared" si="73"/>
        <v>2640.3871711607649</v>
      </c>
      <c r="CF37" s="33">
        <f t="shared" si="73"/>
        <v>2651.3887843739349</v>
      </c>
      <c r="CG37" s="33">
        <f t="shared" si="73"/>
        <v>2662.4362376421595</v>
      </c>
      <c r="CH37" s="33">
        <f t="shared" si="73"/>
        <v>2673.5297219656686</v>
      </c>
      <c r="CI37" s="33">
        <f t="shared" si="73"/>
        <v>2684.6694291405256</v>
      </c>
      <c r="CJ37" s="33">
        <f t="shared" si="73"/>
        <v>2695.8555517619443</v>
      </c>
      <c r="CK37" s="33">
        <f t="shared" si="73"/>
        <v>2707.0882832276188</v>
      </c>
      <c r="CL37" s="33">
        <f t="shared" si="73"/>
        <v>2718.367817741067</v>
      </c>
      <c r="CM37" s="33">
        <f t="shared" si="73"/>
        <v>2729.6943503149882</v>
      </c>
      <c r="CN37" s="33">
        <f t="shared" si="73"/>
        <v>2741.0680767746339</v>
      </c>
      <c r="CO37" s="33">
        <f t="shared" si="73"/>
        <v>2752.4891937611947</v>
      </c>
      <c r="CP37" s="33">
        <f t="shared" si="73"/>
        <v>2763.9578987351997</v>
      </c>
      <c r="CQ37" s="33">
        <f t="shared" si="73"/>
        <v>2775.4743899799296</v>
      </c>
      <c r="CR37" s="33">
        <f t="shared" si="73"/>
        <v>2787.0388666048461</v>
      </c>
      <c r="CS37" s="33">
        <f t="shared" si="73"/>
        <v>2798.6515285490332</v>
      </c>
      <c r="CT37" s="33">
        <f t="shared" si="73"/>
        <v>2810.3125765846539</v>
      </c>
      <c r="CU37" s="33">
        <f t="shared" si="73"/>
        <v>2822.0222123204235</v>
      </c>
      <c r="CV37" s="33">
        <f t="shared" si="73"/>
        <v>2833.7806382050917</v>
      </c>
      <c r="CW37" s="33">
        <f t="shared" si="73"/>
        <v>2845.5880575309461</v>
      </c>
      <c r="CX37" s="33">
        <f t="shared" si="73"/>
        <v>2857.4446744373249</v>
      </c>
      <c r="CY37" s="33">
        <f t="shared" si="73"/>
        <v>2869.3506939141471</v>
      </c>
      <c r="CZ37" s="33">
        <f t="shared" si="73"/>
        <v>2881.3063218054558</v>
      </c>
      <c r="DA37" s="33">
        <f t="shared" si="73"/>
        <v>2893.3117648129787</v>
      </c>
      <c r="DB37" s="33">
        <f t="shared" si="73"/>
        <v>2905.3672304996994</v>
      </c>
      <c r="DC37" s="33">
        <f t="shared" si="73"/>
        <v>2917.4729272934483</v>
      </c>
      <c r="DD37" s="33">
        <f t="shared" si="73"/>
        <v>2929.6290644905043</v>
      </c>
      <c r="DE37" s="33">
        <f t="shared" si="73"/>
        <v>2941.8358522592148</v>
      </c>
      <c r="DF37" s="33">
        <f t="shared" si="73"/>
        <v>2954.0935016436283</v>
      </c>
      <c r="DG37" s="33">
        <f t="shared" si="73"/>
        <v>2966.4022245671435</v>
      </c>
      <c r="DH37" s="33">
        <f t="shared" si="73"/>
        <v>2978.7622338361734</v>
      </c>
      <c r="DI37" s="33">
        <f t="shared" si="73"/>
        <v>2991.1737431438241</v>
      </c>
      <c r="DJ37" s="33">
        <f t="shared" si="73"/>
        <v>3003.6369670735899</v>
      </c>
      <c r="DK37" s="33">
        <f t="shared" si="73"/>
        <v>3016.1521211030631</v>
      </c>
      <c r="DL37" s="33">
        <f t="shared" si="73"/>
        <v>3028.7194216076591</v>
      </c>
      <c r="DM37" s="33">
        <f t="shared" si="73"/>
        <v>3041.3390858643575</v>
      </c>
      <c r="DN37" s="33">
        <f t="shared" si="73"/>
        <v>3054.0113320554588</v>
      </c>
      <c r="DO37" s="33">
        <f t="shared" si="73"/>
        <v>3066.7363792723563</v>
      </c>
      <c r="DP37" s="33">
        <f t="shared" si="73"/>
        <v>3079.5144475193242</v>
      </c>
      <c r="DQ37" s="33">
        <f t="shared" si="73"/>
        <v>3092.3457577173212</v>
      </c>
      <c r="DR37" s="33">
        <f t="shared" si="73"/>
        <v>3105.2305317078099</v>
      </c>
      <c r="DS37" s="33">
        <f t="shared" si="73"/>
        <v>3118.1689922565924</v>
      </c>
      <c r="DT37" s="33">
        <f t="shared" si="73"/>
        <v>3131.1613630576617</v>
      </c>
      <c r="DU37" s="33">
        <f t="shared" si="73"/>
        <v>3144.2078687370686</v>
      </c>
      <c r="DV37" s="33">
        <f t="shared" si="73"/>
        <v>3157.3087348568065</v>
      </c>
      <c r="DW37" s="33">
        <f t="shared" si="73"/>
        <v>3170.4641879187097</v>
      </c>
      <c r="DX37" s="33">
        <f t="shared" si="73"/>
        <v>3183.6744553683711</v>
      </c>
      <c r="DY37" s="33">
        <f t="shared" si="73"/>
        <v>3196.9397655990724</v>
      </c>
      <c r="DZ37" s="33">
        <f t="shared" si="73"/>
        <v>3210.2603479557351</v>
      </c>
      <c r="EA37" s="33">
        <f t="shared" ref="EA37:GL37" si="74">(1+$B$17/12)*DZ37</f>
        <v>3223.6364327388842</v>
      </c>
      <c r="EB37" s="33">
        <f t="shared" si="74"/>
        <v>3237.0682512086296</v>
      </c>
      <c r="EC37" s="33">
        <f t="shared" si="74"/>
        <v>3250.5560355886655</v>
      </c>
      <c r="ED37" s="33">
        <f t="shared" si="74"/>
        <v>3264.1000190702848</v>
      </c>
      <c r="EE37" s="33">
        <f t="shared" si="74"/>
        <v>3277.7004358164108</v>
      </c>
      <c r="EF37" s="33">
        <f t="shared" si="74"/>
        <v>3291.357520965646</v>
      </c>
      <c r="EG37" s="33">
        <f t="shared" si="74"/>
        <v>3305.0715106363364</v>
      </c>
      <c r="EH37" s="33">
        <f t="shared" si="74"/>
        <v>3318.8426419306543</v>
      </c>
      <c r="EI37" s="33">
        <f t="shared" si="74"/>
        <v>3332.6711529386985</v>
      </c>
      <c r="EJ37" s="33">
        <f t="shared" si="74"/>
        <v>3346.5572827426095</v>
      </c>
      <c r="EK37" s="33">
        <f t="shared" si="74"/>
        <v>3360.5012714207037</v>
      </c>
      <c r="EL37" s="33">
        <f t="shared" si="74"/>
        <v>3374.5033600516231</v>
      </c>
      <c r="EM37" s="33">
        <f t="shared" si="74"/>
        <v>3388.5637907185046</v>
      </c>
      <c r="EN37" s="33">
        <f t="shared" si="74"/>
        <v>3402.6828065131649</v>
      </c>
      <c r="EO37" s="33">
        <f t="shared" si="74"/>
        <v>3416.860651540303</v>
      </c>
      <c r="EP37" s="33">
        <f t="shared" si="74"/>
        <v>3431.0975709217209</v>
      </c>
      <c r="EQ37" s="33">
        <f t="shared" si="74"/>
        <v>3445.3938108005614</v>
      </c>
      <c r="ER37" s="33">
        <f t="shared" si="74"/>
        <v>3459.7496183455637</v>
      </c>
      <c r="ES37" s="33">
        <f t="shared" si="74"/>
        <v>3474.1652417553369</v>
      </c>
      <c r="ET37" s="33">
        <f t="shared" si="74"/>
        <v>3488.6409302626507</v>
      </c>
      <c r="EU37" s="33">
        <f t="shared" si="74"/>
        <v>3503.1769341387449</v>
      </c>
      <c r="EV37" s="33">
        <f t="shared" si="74"/>
        <v>3517.7735046976563</v>
      </c>
      <c r="EW37" s="33">
        <f t="shared" si="74"/>
        <v>3532.4308943005631</v>
      </c>
      <c r="EX37" s="33">
        <f t="shared" si="74"/>
        <v>3547.1493563601489</v>
      </c>
      <c r="EY37" s="33">
        <f t="shared" si="74"/>
        <v>3561.9291453449828</v>
      </c>
      <c r="EZ37" s="33">
        <f t="shared" si="74"/>
        <v>3576.7705167839204</v>
      </c>
      <c r="FA37" s="33">
        <f t="shared" si="74"/>
        <v>3591.67372727052</v>
      </c>
      <c r="FB37" s="33">
        <f t="shared" si="74"/>
        <v>3606.6390344674805</v>
      </c>
      <c r="FC37" s="33">
        <f t="shared" si="74"/>
        <v>3621.6666971110949</v>
      </c>
      <c r="FD37" s="33">
        <f t="shared" si="74"/>
        <v>3636.7569750157245</v>
      </c>
      <c r="FE37" s="33">
        <f t="shared" si="74"/>
        <v>3651.9101290782901</v>
      </c>
      <c r="FF37" s="33">
        <f t="shared" si="74"/>
        <v>3667.1264212827828</v>
      </c>
      <c r="FG37" s="33">
        <f t="shared" si="74"/>
        <v>3682.4061147047942</v>
      </c>
      <c r="FH37" s="33">
        <f t="shared" si="74"/>
        <v>3697.749473516064</v>
      </c>
      <c r="FI37" s="33">
        <f t="shared" si="74"/>
        <v>3713.1567629890474</v>
      </c>
      <c r="FJ37" s="33">
        <f t="shared" si="74"/>
        <v>3728.6282495015016</v>
      </c>
      <c r="FK37" s="33">
        <f t="shared" si="74"/>
        <v>3744.1642005410913</v>
      </c>
      <c r="FL37" s="33">
        <f t="shared" si="74"/>
        <v>3759.7648847100127</v>
      </c>
      <c r="FM37" s="33">
        <f t="shared" si="74"/>
        <v>3775.4305717296374</v>
      </c>
      <c r="FN37" s="33">
        <f t="shared" si="74"/>
        <v>3791.1615324451777</v>
      </c>
      <c r="FO37" s="33">
        <f t="shared" si="74"/>
        <v>3806.9580388303657</v>
      </c>
      <c r="FP37" s="33">
        <f t="shared" si="74"/>
        <v>3822.8203639921589</v>
      </c>
      <c r="FQ37" s="33">
        <f t="shared" si="74"/>
        <v>3838.7487821754594</v>
      </c>
      <c r="FR37" s="33">
        <f t="shared" si="74"/>
        <v>3854.7435687678571</v>
      </c>
      <c r="FS37" s="33">
        <f t="shared" si="74"/>
        <v>3870.80500030439</v>
      </c>
      <c r="FT37" s="33">
        <f t="shared" si="74"/>
        <v>3886.9333544723249</v>
      </c>
      <c r="FU37" s="33">
        <f t="shared" si="74"/>
        <v>3903.1289101159596</v>
      </c>
      <c r="FV37" s="33">
        <f t="shared" si="74"/>
        <v>3919.3919472414427</v>
      </c>
      <c r="FW37" s="33">
        <f t="shared" si="74"/>
        <v>3935.7227470216153</v>
      </c>
      <c r="FX37" s="33">
        <f t="shared" si="74"/>
        <v>3952.121591800872</v>
      </c>
      <c r="FY37" s="33">
        <f t="shared" si="74"/>
        <v>3968.5887651000421</v>
      </c>
      <c r="FZ37" s="33">
        <f t="shared" si="74"/>
        <v>3985.1245516212921</v>
      </c>
      <c r="GA37" s="33">
        <f t="shared" si="74"/>
        <v>4001.7292372530474</v>
      </c>
      <c r="GB37" s="33">
        <f t="shared" si="74"/>
        <v>4018.4031090749349</v>
      </c>
      <c r="GC37" s="33">
        <f t="shared" si="74"/>
        <v>4035.146455362747</v>
      </c>
      <c r="GD37" s="33">
        <f t="shared" si="74"/>
        <v>4051.9595655934249</v>
      </c>
      <c r="GE37" s="33">
        <f t="shared" si="74"/>
        <v>4068.8427304500642</v>
      </c>
      <c r="GF37" s="33">
        <f t="shared" si="74"/>
        <v>4085.7962418269394</v>
      </c>
      <c r="GG37" s="33">
        <f t="shared" si="74"/>
        <v>4102.820392834552</v>
      </c>
      <c r="GH37" s="33">
        <f t="shared" si="74"/>
        <v>4119.9154778046959</v>
      </c>
      <c r="GI37" s="33">
        <f t="shared" si="74"/>
        <v>4137.0817922955484</v>
      </c>
      <c r="GJ37" s="33">
        <f t="shared" si="74"/>
        <v>4154.3196330967794</v>
      </c>
      <c r="GK37" s="33">
        <f t="shared" si="74"/>
        <v>4171.6292982346822</v>
      </c>
      <c r="GL37" s="33">
        <f t="shared" si="74"/>
        <v>4189.0110869773271</v>
      </c>
      <c r="GM37" s="33">
        <f t="shared" ref="GM37:IX37" si="75">(1+$B$17/12)*GL37</f>
        <v>4206.4652998397323</v>
      </c>
      <c r="GN37" s="33">
        <f t="shared" si="75"/>
        <v>4223.9922385890641</v>
      </c>
      <c r="GO37" s="33">
        <f t="shared" si="75"/>
        <v>4241.5922062498521</v>
      </c>
      <c r="GP37" s="33">
        <f t="shared" si="75"/>
        <v>4259.2655071092267</v>
      </c>
      <c r="GQ37" s="33">
        <f t="shared" si="75"/>
        <v>4277.0124467221822</v>
      </c>
      <c r="GR37" s="33">
        <f t="shared" si="75"/>
        <v>4294.8333319168578</v>
      </c>
      <c r="GS37" s="33">
        <f t="shared" si="75"/>
        <v>4312.7284707998442</v>
      </c>
      <c r="GT37" s="33">
        <f t="shared" si="75"/>
        <v>4330.6981727615102</v>
      </c>
      <c r="GU37" s="33">
        <f t="shared" si="75"/>
        <v>4348.7427484813497</v>
      </c>
      <c r="GV37" s="33">
        <f t="shared" si="75"/>
        <v>4366.8625099333549</v>
      </c>
      <c r="GW37" s="33">
        <f t="shared" si="75"/>
        <v>4385.0577703914105</v>
      </c>
      <c r="GX37" s="33">
        <f t="shared" si="75"/>
        <v>4403.3288444347081</v>
      </c>
      <c r="GY37" s="33">
        <f t="shared" si="75"/>
        <v>4421.6760479531858</v>
      </c>
      <c r="GZ37" s="33">
        <f t="shared" si="75"/>
        <v>4440.0996981529906</v>
      </c>
      <c r="HA37" s="33">
        <f t="shared" si="75"/>
        <v>4458.6001135619617</v>
      </c>
      <c r="HB37" s="33">
        <f t="shared" si="75"/>
        <v>4477.1776140351367</v>
      </c>
      <c r="HC37" s="33">
        <f t="shared" si="75"/>
        <v>4495.8325207602829</v>
      </c>
      <c r="HD37" s="33">
        <f t="shared" si="75"/>
        <v>4514.5651562634503</v>
      </c>
      <c r="HE37" s="33">
        <f t="shared" si="75"/>
        <v>4533.3758444145478</v>
      </c>
      <c r="HF37" s="33">
        <f t="shared" si="75"/>
        <v>4552.2649104329421</v>
      </c>
      <c r="HG37" s="33">
        <f t="shared" si="75"/>
        <v>4571.2326808930793</v>
      </c>
      <c r="HH37" s="33">
        <f t="shared" si="75"/>
        <v>4590.2794837301335</v>
      </c>
      <c r="HI37" s="33">
        <f t="shared" si="75"/>
        <v>4609.4056482456754</v>
      </c>
      <c r="HJ37" s="33">
        <f t="shared" si="75"/>
        <v>4628.6115051133656</v>
      </c>
      <c r="HK37" s="33">
        <f t="shared" si="75"/>
        <v>4647.8973863846713</v>
      </c>
      <c r="HL37" s="33">
        <f t="shared" si="75"/>
        <v>4667.2636254946074</v>
      </c>
      <c r="HM37" s="33">
        <f t="shared" si="75"/>
        <v>4686.7105572675018</v>
      </c>
      <c r="HN37" s="33">
        <f t="shared" si="75"/>
        <v>4706.2385179227831</v>
      </c>
      <c r="HO37" s="33">
        <f t="shared" si="75"/>
        <v>4725.8478450807943</v>
      </c>
      <c r="HP37" s="33">
        <f t="shared" si="75"/>
        <v>4745.5388777686312</v>
      </c>
      <c r="HQ37" s="33">
        <f t="shared" si="75"/>
        <v>4765.3119564260005</v>
      </c>
      <c r="HR37" s="33">
        <f t="shared" si="75"/>
        <v>4785.1674229111086</v>
      </c>
      <c r="HS37" s="33">
        <f t="shared" si="75"/>
        <v>4805.1056205065715</v>
      </c>
      <c r="HT37" s="33">
        <f t="shared" si="75"/>
        <v>4825.1268939253487</v>
      </c>
      <c r="HU37" s="33">
        <f t="shared" si="75"/>
        <v>4845.2315893167042</v>
      </c>
      <c r="HV37" s="33">
        <f t="shared" si="75"/>
        <v>4865.4200542721901</v>
      </c>
      <c r="HW37" s="33">
        <f t="shared" si="75"/>
        <v>4885.6926378316575</v>
      </c>
      <c r="HX37" s="33">
        <f t="shared" si="75"/>
        <v>4906.0496904892898</v>
      </c>
      <c r="HY37" s="33">
        <f t="shared" si="75"/>
        <v>4926.4915641996622</v>
      </c>
      <c r="HZ37" s="33">
        <f t="shared" si="75"/>
        <v>4947.0186123838275</v>
      </c>
      <c r="IA37" s="33">
        <f t="shared" si="75"/>
        <v>4967.6311899354268</v>
      </c>
      <c r="IB37" s="33">
        <f t="shared" si="75"/>
        <v>4988.3296532268241</v>
      </c>
      <c r="IC37" s="33">
        <f t="shared" si="75"/>
        <v>5009.1143601152689</v>
      </c>
      <c r="ID37" s="33">
        <f t="shared" si="75"/>
        <v>5029.9856699490829</v>
      </c>
      <c r="IE37" s="33">
        <f t="shared" si="75"/>
        <v>5050.9439435738705</v>
      </c>
      <c r="IF37" s="33">
        <f t="shared" si="75"/>
        <v>5071.9895433387619</v>
      </c>
      <c r="IG37" s="33">
        <f t="shared" si="75"/>
        <v>5093.1228331026732</v>
      </c>
      <c r="IH37" s="33">
        <f t="shared" si="75"/>
        <v>5114.3441782406007</v>
      </c>
      <c r="II37" s="33">
        <f t="shared" si="75"/>
        <v>5135.6539456499368</v>
      </c>
      <c r="IJ37" s="33">
        <f t="shared" si="75"/>
        <v>5157.0525037568113</v>
      </c>
      <c r="IK37" s="33">
        <f t="shared" si="75"/>
        <v>5178.5402225224643</v>
      </c>
      <c r="IL37" s="33">
        <f t="shared" si="75"/>
        <v>5200.1174734496408</v>
      </c>
      <c r="IM37" s="33">
        <f t="shared" si="75"/>
        <v>5221.784629589014</v>
      </c>
      <c r="IN37" s="33">
        <f t="shared" si="75"/>
        <v>5243.5420655456346</v>
      </c>
      <c r="IO37" s="33">
        <f t="shared" si="75"/>
        <v>5265.3901574854081</v>
      </c>
      <c r="IP37" s="33">
        <f t="shared" si="75"/>
        <v>5287.3292831415974</v>
      </c>
      <c r="IQ37" s="33">
        <f t="shared" si="75"/>
        <v>5309.3598218213538</v>
      </c>
      <c r="IR37" s="33">
        <f t="shared" si="75"/>
        <v>5331.482154412276</v>
      </c>
      <c r="IS37" s="33">
        <f t="shared" si="75"/>
        <v>5353.6966633889933</v>
      </c>
      <c r="IT37" s="33">
        <f t="shared" si="75"/>
        <v>5376.0037328197805</v>
      </c>
      <c r="IU37" s="33">
        <f t="shared" si="75"/>
        <v>5398.4037483731963</v>
      </c>
      <c r="IV37" s="33">
        <f t="shared" si="75"/>
        <v>5420.8970973247515</v>
      </c>
      <c r="IW37" s="33">
        <f t="shared" si="75"/>
        <v>5443.4841685636047</v>
      </c>
      <c r="IX37" s="33">
        <f t="shared" si="75"/>
        <v>5466.1653525992861</v>
      </c>
      <c r="IY37" s="33">
        <f t="shared" ref="IY37:LJ37" si="76">(1+$B$17/12)*IX37</f>
        <v>5488.9410415684497</v>
      </c>
      <c r="IZ37" s="33">
        <f t="shared" si="76"/>
        <v>5511.8116292416516</v>
      </c>
      <c r="JA37" s="33">
        <f t="shared" si="76"/>
        <v>5534.7775110301582</v>
      </c>
      <c r="JB37" s="33">
        <f t="shared" si="76"/>
        <v>5557.8390839927833</v>
      </c>
      <c r="JC37" s="33">
        <f t="shared" si="76"/>
        <v>5580.9967468427531</v>
      </c>
      <c r="JD37" s="33">
        <f t="shared" si="76"/>
        <v>5604.250899954598</v>
      </c>
      <c r="JE37" s="33">
        <f t="shared" si="76"/>
        <v>5627.6019453710751</v>
      </c>
      <c r="JF37" s="33">
        <f t="shared" si="76"/>
        <v>5651.0502868101212</v>
      </c>
      <c r="JG37" s="33">
        <f t="shared" si="76"/>
        <v>5674.5963296718301</v>
      </c>
      <c r="JH37" s="33">
        <f t="shared" si="76"/>
        <v>5698.2404810454627</v>
      </c>
      <c r="JI37" s="33">
        <f t="shared" si="76"/>
        <v>5721.9831497164851</v>
      </c>
      <c r="JJ37" s="33">
        <f t="shared" si="76"/>
        <v>5745.8247461736373</v>
      </c>
      <c r="JK37" s="33">
        <f t="shared" si="76"/>
        <v>5769.7656826160273</v>
      </c>
      <c r="JL37" s="33">
        <f t="shared" si="76"/>
        <v>5793.8063729602609</v>
      </c>
      <c r="JM37" s="33">
        <f t="shared" si="76"/>
        <v>5817.9472328475949</v>
      </c>
      <c r="JN37" s="33">
        <f t="shared" si="76"/>
        <v>5842.1886796511262</v>
      </c>
      <c r="JO37" s="33">
        <f t="shared" si="76"/>
        <v>5866.5311324830054</v>
      </c>
      <c r="JP37" s="33">
        <f t="shared" si="76"/>
        <v>5890.9750122016849</v>
      </c>
      <c r="JQ37" s="33">
        <f t="shared" si="76"/>
        <v>5915.5207414191918</v>
      </c>
      <c r="JR37" s="33">
        <f t="shared" si="76"/>
        <v>5940.1687445084381</v>
      </c>
      <c r="JS37" s="33">
        <f t="shared" si="76"/>
        <v>5964.9194476105567</v>
      </c>
      <c r="JT37" s="33">
        <f t="shared" si="76"/>
        <v>5989.7732786422675</v>
      </c>
      <c r="JU37" s="33">
        <f t="shared" si="76"/>
        <v>6014.7306673032772</v>
      </c>
      <c r="JV37" s="33">
        <f t="shared" si="76"/>
        <v>6039.7920450837073</v>
      </c>
      <c r="JW37" s="33">
        <f t="shared" si="76"/>
        <v>6064.9578452715559</v>
      </c>
      <c r="JX37" s="33">
        <f t="shared" si="76"/>
        <v>6090.2285029601871</v>
      </c>
      <c r="JY37" s="33">
        <f t="shared" si="76"/>
        <v>6115.6044550558545</v>
      </c>
      <c r="JZ37" s="33">
        <f t="shared" si="76"/>
        <v>6141.0861402852534</v>
      </c>
      <c r="KA37" s="33">
        <f t="shared" si="76"/>
        <v>6166.6739992031089</v>
      </c>
      <c r="KB37" s="33">
        <f t="shared" si="76"/>
        <v>6192.3684741997886</v>
      </c>
      <c r="KC37" s="33">
        <f t="shared" si="76"/>
        <v>6218.1700095089545</v>
      </c>
      <c r="KD37" s="33">
        <f t="shared" si="76"/>
        <v>6244.0790512152416</v>
      </c>
      <c r="KE37" s="33">
        <f t="shared" si="76"/>
        <v>6270.0960472619718</v>
      </c>
      <c r="KF37" s="33">
        <f t="shared" si="76"/>
        <v>6296.2214474588964</v>
      </c>
      <c r="KG37" s="33">
        <f t="shared" si="76"/>
        <v>6322.4557034899753</v>
      </c>
      <c r="KH37" s="33">
        <f t="shared" si="76"/>
        <v>6348.7992689211833</v>
      </c>
      <c r="KI37" s="33">
        <f t="shared" si="76"/>
        <v>6375.2525992083547</v>
      </c>
      <c r="KJ37" s="33">
        <f t="shared" si="76"/>
        <v>6401.8161517050557</v>
      </c>
      <c r="KK37" s="33">
        <f t="shared" si="76"/>
        <v>6428.4903856704932</v>
      </c>
      <c r="KL37" s="33">
        <f t="shared" si="76"/>
        <v>6455.2757622774534</v>
      </c>
      <c r="KM37" s="33">
        <f t="shared" si="76"/>
        <v>6482.1727446202758</v>
      </c>
      <c r="KN37" s="33">
        <f t="shared" si="76"/>
        <v>6509.1817977228602</v>
      </c>
      <c r="KO37" s="33">
        <f t="shared" si="76"/>
        <v>6536.3033885467057</v>
      </c>
      <c r="KP37" s="33">
        <f t="shared" si="76"/>
        <v>6563.5379859989835</v>
      </c>
      <c r="KQ37" s="33">
        <f t="shared" si="76"/>
        <v>6590.8860609406456</v>
      </c>
      <c r="KR37" s="33">
        <f t="shared" si="76"/>
        <v>6618.3480861945645</v>
      </c>
      <c r="KS37" s="33">
        <f t="shared" si="76"/>
        <v>6645.9245365537081</v>
      </c>
      <c r="KT37" s="33">
        <f t="shared" si="76"/>
        <v>6673.6158887893489</v>
      </c>
      <c r="KU37" s="33">
        <f t="shared" si="76"/>
        <v>6701.4226216593042</v>
      </c>
      <c r="KV37" s="33">
        <f t="shared" si="76"/>
        <v>6729.345215916218</v>
      </c>
      <c r="KW37" s="33">
        <f t="shared" si="76"/>
        <v>6757.3841543158687</v>
      </c>
      <c r="KX37" s="33">
        <f t="shared" si="76"/>
        <v>6785.5399216255182</v>
      </c>
      <c r="KY37" s="33">
        <f t="shared" si="76"/>
        <v>6813.8130046322913</v>
      </c>
      <c r="KZ37" s="33">
        <f t="shared" si="76"/>
        <v>6842.2038921515923</v>
      </c>
      <c r="LA37" s="33">
        <f t="shared" si="76"/>
        <v>6870.7130750355573</v>
      </c>
      <c r="LB37" s="33">
        <f t="shared" si="76"/>
        <v>6899.3410461815383</v>
      </c>
      <c r="LC37" s="33">
        <f t="shared" si="76"/>
        <v>6928.0883005406276</v>
      </c>
      <c r="LD37" s="33">
        <f t="shared" si="76"/>
        <v>6956.9553351262139</v>
      </c>
      <c r="LE37" s="33">
        <f t="shared" si="76"/>
        <v>6985.9426490225733</v>
      </c>
      <c r="LF37" s="33">
        <f t="shared" si="76"/>
        <v>7015.0507433935009</v>
      </c>
      <c r="LG37" s="33">
        <f t="shared" si="76"/>
        <v>7044.2801214909732</v>
      </c>
      <c r="LH37" s="33">
        <f t="shared" si="76"/>
        <v>7073.6312886638525</v>
      </c>
      <c r="LI37" s="33">
        <f t="shared" si="76"/>
        <v>7103.1047523666184</v>
      </c>
      <c r="LJ37" s="33">
        <f t="shared" si="76"/>
        <v>7132.7010221681458</v>
      </c>
      <c r="LK37" s="33">
        <f t="shared" ref="LK37:MX37" si="77">(1+$B$17/12)*LJ37</f>
        <v>7162.4206097605129</v>
      </c>
      <c r="LL37" s="33">
        <f t="shared" si="77"/>
        <v>7192.2640289678484</v>
      </c>
      <c r="LM37" s="33">
        <f t="shared" si="77"/>
        <v>7222.2317957552141</v>
      </c>
      <c r="LN37" s="33">
        <f t="shared" si="77"/>
        <v>7252.3244282375272</v>
      </c>
      <c r="LO37" s="33">
        <f t="shared" si="77"/>
        <v>7282.542446688517</v>
      </c>
      <c r="LP37" s="33">
        <f t="shared" si="77"/>
        <v>7312.8863735497189</v>
      </c>
      <c r="LQ37" s="33">
        <f t="shared" si="77"/>
        <v>7343.3567334395093</v>
      </c>
      <c r="LR37" s="33">
        <f t="shared" si="77"/>
        <v>7373.9540531621742</v>
      </c>
      <c r="LS37" s="33">
        <f t="shared" si="77"/>
        <v>7404.6788617170168</v>
      </c>
      <c r="LT37" s="33">
        <f t="shared" si="77"/>
        <v>7435.5316903075045</v>
      </c>
      <c r="LU37" s="33">
        <f t="shared" si="77"/>
        <v>7466.5130723504526</v>
      </c>
      <c r="LV37" s="33">
        <f t="shared" si="77"/>
        <v>7497.623543485246</v>
      </c>
      <c r="LW37" s="33">
        <f t="shared" si="77"/>
        <v>7528.8636415831015</v>
      </c>
      <c r="LX37" s="33">
        <f t="shared" si="77"/>
        <v>7560.2339067563644</v>
      </c>
      <c r="LY37" s="33">
        <f t="shared" si="77"/>
        <v>7591.7348813678491</v>
      </c>
      <c r="LZ37" s="33">
        <f t="shared" si="77"/>
        <v>7623.3671100402153</v>
      </c>
      <c r="MA37" s="33">
        <f t="shared" si="77"/>
        <v>7655.1311396653828</v>
      </c>
      <c r="MB37" s="33">
        <f t="shared" si="77"/>
        <v>7687.0275194139886</v>
      </c>
      <c r="MC37" s="33">
        <f t="shared" si="77"/>
        <v>7719.0568007448801</v>
      </c>
      <c r="MD37" s="33">
        <f t="shared" si="77"/>
        <v>7751.2195374146504</v>
      </c>
      <c r="ME37" s="33">
        <f t="shared" si="77"/>
        <v>7783.5162854872115</v>
      </c>
      <c r="MF37" s="33">
        <f t="shared" si="77"/>
        <v>7815.9476033434084</v>
      </c>
      <c r="MG37" s="33">
        <f t="shared" si="77"/>
        <v>7848.5140516906722</v>
      </c>
      <c r="MH37" s="33">
        <f t="shared" si="77"/>
        <v>7881.2161935727163</v>
      </c>
      <c r="MI37" s="33">
        <f t="shared" si="77"/>
        <v>7914.0545943792695</v>
      </c>
      <c r="MJ37" s="33">
        <f t="shared" si="77"/>
        <v>7947.0298218558501</v>
      </c>
      <c r="MK37" s="33">
        <f t="shared" si="77"/>
        <v>7980.142446113583</v>
      </c>
      <c r="ML37" s="33">
        <f t="shared" si="77"/>
        <v>8013.393039639056</v>
      </c>
      <c r="MM37" s="33">
        <f t="shared" si="77"/>
        <v>8046.7821773042187</v>
      </c>
      <c r="MN37" s="33">
        <f t="shared" si="77"/>
        <v>8080.3104363763196</v>
      </c>
      <c r="MO37" s="33">
        <f t="shared" si="77"/>
        <v>8113.9783965278875</v>
      </c>
      <c r="MP37" s="33">
        <f t="shared" si="77"/>
        <v>8147.786639846754</v>
      </c>
      <c r="MQ37" s="33">
        <f t="shared" si="77"/>
        <v>8181.7357508461155</v>
      </c>
      <c r="MR37" s="33">
        <f t="shared" si="77"/>
        <v>8215.8263164746404</v>
      </c>
      <c r="MS37" s="33">
        <f t="shared" si="77"/>
        <v>8250.0589261266177</v>
      </c>
      <c r="MT37" s="33">
        <f t="shared" si="77"/>
        <v>8284.4341716521449</v>
      </c>
      <c r="MU37" s="33">
        <f t="shared" si="77"/>
        <v>8318.9526473673614</v>
      </c>
      <c r="MV37" s="33">
        <f t="shared" si="77"/>
        <v>8353.6149500647243</v>
      </c>
      <c r="MW37" s="33">
        <f t="shared" si="77"/>
        <v>8388.4216790233277</v>
      </c>
      <c r="MX37" s="55">
        <f t="shared" si="77"/>
        <v>8423.3734360192575</v>
      </c>
      <c r="MY37" s="1"/>
      <c r="MZ37" s="1"/>
      <c r="NA37" s="1"/>
      <c r="NB37" s="1"/>
      <c r="NC37" s="1"/>
      <c r="ND37" s="1"/>
      <c r="NE37" s="1"/>
      <c r="NF37" s="1"/>
      <c r="NG37" s="1"/>
      <c r="NH37" s="13">
        <v>0.18</v>
      </c>
      <c r="NI37" s="1">
        <f>Combine!A39</f>
        <v>48212</v>
      </c>
      <c r="NJ37" s="14">
        <f>Combine!F39</f>
        <v>94542.440729063193</v>
      </c>
    </row>
    <row r="38" spans="1:374" ht="12.75" customHeight="1" x14ac:dyDescent="0.3">
      <c r="A38" s="42" t="s">
        <v>876</v>
      </c>
      <c r="B38" s="43">
        <f>B24</f>
        <v>91047.208912705202</v>
      </c>
      <c r="C38" s="44">
        <f t="shared" ref="C38:BN38" si="78">B38*(1+$B$18/12)+C36-C37</f>
        <v>92106.153644281614</v>
      </c>
      <c r="D38" s="44">
        <f t="shared" si="78"/>
        <v>93166.830057398693</v>
      </c>
      <c r="E38" s="44">
        <f t="shared" si="78"/>
        <v>94229.227438354486</v>
      </c>
      <c r="F38" s="44">
        <f t="shared" si="78"/>
        <v>95293.334909206635</v>
      </c>
      <c r="G38" s="44">
        <f t="shared" si="78"/>
        <v>96359.141426290502</v>
      </c>
      <c r="H38" s="44">
        <f t="shared" si="78"/>
        <v>97426.635778726093</v>
      </c>
      <c r="I38" s="44">
        <f t="shared" si="78"/>
        <v>98495.806586913081</v>
      </c>
      <c r="J38" s="44">
        <f t="shared" si="78"/>
        <v>99566.642301014392</v>
      </c>
      <c r="K38" s="44">
        <f t="shared" si="78"/>
        <v>100639.13119942801</v>
      </c>
      <c r="L38" s="44">
        <f t="shared" si="78"/>
        <v>101713.26138724685</v>
      </c>
      <c r="M38" s="44">
        <f t="shared" si="78"/>
        <v>102789.02079470688</v>
      </c>
      <c r="N38" s="44">
        <f t="shared" si="78"/>
        <v>103866.3971756231</v>
      </c>
      <c r="O38" s="44">
        <f t="shared" si="78"/>
        <v>104945.37810581351</v>
      </c>
      <c r="P38" s="44">
        <f t="shared" si="78"/>
        <v>106025.95098151088</v>
      </c>
      <c r="Q38" s="44">
        <f t="shared" si="78"/>
        <v>107108.10301776229</v>
      </c>
      <c r="R38" s="44">
        <f t="shared" si="78"/>
        <v>108191.8212468163</v>
      </c>
      <c r="S38" s="44">
        <f t="shared" si="78"/>
        <v>109277.09251649761</v>
      </c>
      <c r="T38" s="44">
        <f t="shared" si="78"/>
        <v>110363.90348856937</v>
      </c>
      <c r="U38" s="44">
        <f t="shared" si="78"/>
        <v>111452.24063708265</v>
      </c>
      <c r="V38" s="44">
        <f t="shared" si="78"/>
        <v>112542.0902467134</v>
      </c>
      <c r="W38" s="44">
        <f t="shared" si="78"/>
        <v>113633.4384110864</v>
      </c>
      <c r="X38" s="44">
        <f t="shared" si="78"/>
        <v>114726.27103108657</v>
      </c>
      <c r="Y38" s="44">
        <f t="shared" si="78"/>
        <v>115820.573813157</v>
      </c>
      <c r="Z38" s="44">
        <f t="shared" si="78"/>
        <v>116916.33226758418</v>
      </c>
      <c r="AA38" s="44">
        <f t="shared" si="78"/>
        <v>118013.53170676982</v>
      </c>
      <c r="AB38" s="44">
        <f t="shared" si="78"/>
        <v>119112.15724348958</v>
      </c>
      <c r="AC38" s="44">
        <f t="shared" si="78"/>
        <v>120212.19378913824</v>
      </c>
      <c r="AD38" s="44">
        <f t="shared" si="78"/>
        <v>121313.62605196162</v>
      </c>
      <c r="AE38" s="44">
        <f t="shared" si="78"/>
        <v>122416.43853527481</v>
      </c>
      <c r="AF38" s="44">
        <f t="shared" si="78"/>
        <v>123520.61553566669</v>
      </c>
      <c r="AG38" s="44">
        <f t="shared" si="78"/>
        <v>124626.14114119086</v>
      </c>
      <c r="AH38" s="44">
        <f t="shared" si="78"/>
        <v>125732.99922954259</v>
      </c>
      <c r="AI38" s="44">
        <f t="shared" si="78"/>
        <v>126841.17346622179</v>
      </c>
      <c r="AJ38" s="44">
        <f t="shared" si="78"/>
        <v>127950.64730268206</v>
      </c>
      <c r="AK38" s="44">
        <f t="shared" si="78"/>
        <v>129061.40397446544</v>
      </c>
      <c r="AL38" s="44">
        <f t="shared" si="78"/>
        <v>130173.42649932292</v>
      </c>
      <c r="AM38" s="44">
        <f t="shared" si="78"/>
        <v>131286.69767532073</v>
      </c>
      <c r="AN38" s="44">
        <f t="shared" si="78"/>
        <v>132401.20007893196</v>
      </c>
      <c r="AO38" s="44">
        <f t="shared" si="78"/>
        <v>133516.91606311381</v>
      </c>
      <c r="AP38" s="44">
        <f t="shared" si="78"/>
        <v>134633.82775536986</v>
      </c>
      <c r="AQ38" s="44">
        <f t="shared" si="78"/>
        <v>135751.917055798</v>
      </c>
      <c r="AR38" s="44">
        <f t="shared" si="78"/>
        <v>136871.16563512303</v>
      </c>
      <c r="AS38" s="44">
        <f t="shared" si="78"/>
        <v>137991.55493271461</v>
      </c>
      <c r="AT38" s="44">
        <f t="shared" si="78"/>
        <v>139113.06615458988</v>
      </c>
      <c r="AU38" s="44">
        <f t="shared" si="78"/>
        <v>140235.68027140095</v>
      </c>
      <c r="AV38" s="44">
        <f t="shared" si="78"/>
        <v>141359.37801640716</v>
      </c>
      <c r="AW38" s="44">
        <f t="shared" si="78"/>
        <v>142484.13988343164</v>
      </c>
      <c r="AX38" s="44">
        <f t="shared" si="78"/>
        <v>143609.94612480275</v>
      </c>
      <c r="AY38" s="44">
        <f t="shared" si="78"/>
        <v>144736.77674927944</v>
      </c>
      <c r="AZ38" s="44">
        <f t="shared" si="78"/>
        <v>145864.61151996109</v>
      </c>
      <c r="BA38" s="44">
        <f t="shared" si="78"/>
        <v>146993.42995218144</v>
      </c>
      <c r="BB38" s="44">
        <f t="shared" si="78"/>
        <v>148123.21131138649</v>
      </c>
      <c r="BC38" s="44">
        <f t="shared" si="78"/>
        <v>149253.93461099625</v>
      </c>
      <c r="BD38" s="44">
        <f t="shared" si="78"/>
        <v>150385.57861025041</v>
      </c>
      <c r="BE38" s="44">
        <f t="shared" si="78"/>
        <v>151518.12181203748</v>
      </c>
      <c r="BF38" s="44">
        <f t="shared" si="78"/>
        <v>152651.54246070771</v>
      </c>
      <c r="BG38" s="44">
        <f t="shared" si="78"/>
        <v>153785.81853986919</v>
      </c>
      <c r="BH38" s="44">
        <f t="shared" si="78"/>
        <v>154920.92777016739</v>
      </c>
      <c r="BI38" s="44">
        <f t="shared" si="78"/>
        <v>156056.84760704788</v>
      </c>
      <c r="BJ38" s="44">
        <f t="shared" si="78"/>
        <v>157193.55523850216</v>
      </c>
      <c r="BK38" s="44">
        <f t="shared" si="78"/>
        <v>158331.02758279629</v>
      </c>
      <c r="BL38" s="44">
        <f t="shared" si="78"/>
        <v>159469.24128618246</v>
      </c>
      <c r="BM38" s="44">
        <f t="shared" si="78"/>
        <v>160608.17272059328</v>
      </c>
      <c r="BN38" s="44">
        <f t="shared" si="78"/>
        <v>161747.79798131858</v>
      </c>
      <c r="BO38" s="44">
        <f t="shared" ref="BO38:DZ38" si="79">BN38*(1+$B$18/12)+BO36-BO37</f>
        <v>162888.09288466463</v>
      </c>
      <c r="BP38" s="44">
        <f t="shared" si="79"/>
        <v>164029.03296559575</v>
      </c>
      <c r="BQ38" s="44">
        <f t="shared" si="79"/>
        <v>165170.59347535821</v>
      </c>
      <c r="BR38" s="44">
        <f t="shared" si="79"/>
        <v>166312.74937908602</v>
      </c>
      <c r="BS38" s="44">
        <f t="shared" si="79"/>
        <v>167455.47535338873</v>
      </c>
      <c r="BT38" s="44">
        <f t="shared" si="79"/>
        <v>168598.74578392107</v>
      </c>
      <c r="BU38" s="44">
        <f t="shared" si="79"/>
        <v>169742.53476293437</v>
      </c>
      <c r="BV38" s="44">
        <f t="shared" si="79"/>
        <v>170886.81608680927</v>
      </c>
      <c r="BW38" s="44">
        <f t="shared" si="79"/>
        <v>172031.56325357017</v>
      </c>
      <c r="BX38" s="44">
        <f t="shared" si="79"/>
        <v>173176.7494603807</v>
      </c>
      <c r="BY38" s="44">
        <f t="shared" si="79"/>
        <v>174322.34760102053</v>
      </c>
      <c r="BZ38" s="44">
        <f t="shared" si="79"/>
        <v>175468.33026334309</v>
      </c>
      <c r="CA38" s="44">
        <f t="shared" si="79"/>
        <v>176614.66972671423</v>
      </c>
      <c r="CB38" s="44">
        <f t="shared" si="79"/>
        <v>177761.33795943164</v>
      </c>
      <c r="CC38" s="44">
        <f t="shared" si="79"/>
        <v>178908.30661612487</v>
      </c>
      <c r="CD38" s="44">
        <f t="shared" si="79"/>
        <v>180055.54703513574</v>
      </c>
      <c r="CE38" s="44">
        <f t="shared" si="79"/>
        <v>181203.03023587924</v>
      </c>
      <c r="CF38" s="44">
        <f t="shared" si="79"/>
        <v>182350.72691618462</v>
      </c>
      <c r="CG38" s="44">
        <f t="shared" si="79"/>
        <v>183498.60744961622</v>
      </c>
      <c r="CH38" s="44">
        <f t="shared" si="79"/>
        <v>184646.64188277471</v>
      </c>
      <c r="CI38" s="44">
        <f t="shared" si="79"/>
        <v>185794.79993257765</v>
      </c>
      <c r="CJ38" s="44">
        <f t="shared" si="79"/>
        <v>186943.0509835199</v>
      </c>
      <c r="CK38" s="44">
        <f t="shared" si="79"/>
        <v>188091.36408491363</v>
      </c>
      <c r="CL38" s="44">
        <f t="shared" si="79"/>
        <v>189239.70794810724</v>
      </c>
      <c r="CM38" s="44">
        <f t="shared" si="79"/>
        <v>190388.05094368392</v>
      </c>
      <c r="CN38" s="44">
        <f t="shared" si="79"/>
        <v>191536.36109863906</v>
      </c>
      <c r="CO38" s="44">
        <f t="shared" si="79"/>
        <v>192684.60609353633</v>
      </c>
      <c r="CP38" s="44">
        <f t="shared" si="79"/>
        <v>193832.75325964298</v>
      </c>
      <c r="CQ38" s="44">
        <f t="shared" si="79"/>
        <v>194980.76957604327</v>
      </c>
      <c r="CR38" s="44">
        <f t="shared" si="79"/>
        <v>196128.62166673059</v>
      </c>
      <c r="CS38" s="44">
        <f t="shared" si="79"/>
        <v>197276.27579767778</v>
      </c>
      <c r="CT38" s="44">
        <f t="shared" si="79"/>
        <v>198423.6978738856</v>
      </c>
      <c r="CU38" s="44">
        <f t="shared" si="79"/>
        <v>199570.85343640912</v>
      </c>
      <c r="CV38" s="44">
        <f t="shared" si="79"/>
        <v>200717.70765936191</v>
      </c>
      <c r="CW38" s="44">
        <f t="shared" si="79"/>
        <v>201864.22534689805</v>
      </c>
      <c r="CX38" s="44">
        <f t="shared" si="79"/>
        <v>203010.37093017148</v>
      </c>
      <c r="CY38" s="44">
        <f t="shared" si="79"/>
        <v>204156.10846427263</v>
      </c>
      <c r="CZ38" s="44">
        <f t="shared" si="79"/>
        <v>205301.40162514237</v>
      </c>
      <c r="DA38" s="44">
        <f t="shared" si="79"/>
        <v>206446.21370646305</v>
      </c>
      <c r="DB38" s="44">
        <f t="shared" si="79"/>
        <v>207590.5076165261</v>
      </c>
      <c r="DC38" s="44">
        <f t="shared" si="79"/>
        <v>208734.24587507648</v>
      </c>
      <c r="DD38" s="44">
        <f t="shared" si="79"/>
        <v>209877.39061013382</v>
      </c>
      <c r="DE38" s="44">
        <f t="shared" si="79"/>
        <v>211019.90355478952</v>
      </c>
      <c r="DF38" s="44">
        <f t="shared" si="79"/>
        <v>212161.74604398041</v>
      </c>
      <c r="DG38" s="44">
        <f t="shared" si="79"/>
        <v>213302.87901123823</v>
      </c>
      <c r="DH38" s="44">
        <f t="shared" si="79"/>
        <v>214443.262985415</v>
      </c>
      <c r="DI38" s="44">
        <f t="shared" si="79"/>
        <v>215582.858087384</v>
      </c>
      <c r="DJ38" s="44">
        <f t="shared" si="79"/>
        <v>216721.62402671645</v>
      </c>
      <c r="DK38" s="44">
        <f t="shared" si="79"/>
        <v>217859.52009833336</v>
      </c>
      <c r="DL38" s="44">
        <f t="shared" si="79"/>
        <v>218996.50517913242</v>
      </c>
      <c r="DM38" s="44">
        <f t="shared" si="79"/>
        <v>220132.53772459007</v>
      </c>
      <c r="DN38" s="44">
        <f t="shared" si="79"/>
        <v>221267.57576533846</v>
      </c>
      <c r="DO38" s="44">
        <f t="shared" si="79"/>
        <v>222401.57690371672</v>
      </c>
      <c r="DP38" s="44">
        <f t="shared" si="79"/>
        <v>223534.4983102968</v>
      </c>
      <c r="DQ38" s="44">
        <f t="shared" si="79"/>
        <v>224666.29672038375</v>
      </c>
      <c r="DR38" s="44">
        <f t="shared" si="79"/>
        <v>225796.92843048982</v>
      </c>
      <c r="DS38" s="44">
        <f t="shared" si="79"/>
        <v>226926.34929478253</v>
      </c>
      <c r="DT38" s="44">
        <f t="shared" si="79"/>
        <v>228054.51472150665</v>
      </c>
      <c r="DU38" s="44">
        <f t="shared" si="79"/>
        <v>229181.37966937938</v>
      </c>
      <c r="DV38" s="44">
        <f t="shared" si="79"/>
        <v>230306.89864395905</v>
      </c>
      <c r="DW38" s="44">
        <f t="shared" si="79"/>
        <v>231431.025693987</v>
      </c>
      <c r="DX38" s="44">
        <f t="shared" si="79"/>
        <v>232553.71440770224</v>
      </c>
      <c r="DY38" s="44">
        <f t="shared" si="79"/>
        <v>233674.91790912914</v>
      </c>
      <c r="DZ38" s="44">
        <f t="shared" si="79"/>
        <v>234794.58885433746</v>
      </c>
      <c r="EA38" s="44">
        <f t="shared" ref="EA38:GL38" si="80">DZ38*(1+$B$18/12)+EA36-EA37</f>
        <v>235912.67942767491</v>
      </c>
      <c r="EB38" s="44">
        <f t="shared" si="80"/>
        <v>237029.1413379717</v>
      </c>
      <c r="EC38" s="44">
        <f t="shared" si="80"/>
        <v>238143.92581471734</v>
      </c>
      <c r="ED38" s="44">
        <f t="shared" si="80"/>
        <v>239256.98360420903</v>
      </c>
      <c r="EE38" s="44">
        <f t="shared" si="80"/>
        <v>240368.26496567175</v>
      </c>
      <c r="EF38" s="44">
        <f t="shared" si="80"/>
        <v>241477.71966734962</v>
      </c>
      <c r="EG38" s="44">
        <f t="shared" si="80"/>
        <v>242585.29698256863</v>
      </c>
      <c r="EH38" s="44">
        <f t="shared" si="80"/>
        <v>243690.9456857701</v>
      </c>
      <c r="EI38" s="44">
        <f t="shared" si="80"/>
        <v>244794.61404851521</v>
      </c>
      <c r="EJ38" s="44">
        <f t="shared" si="80"/>
        <v>245896.24983545992</v>
      </c>
      <c r="EK38" s="44">
        <f t="shared" si="80"/>
        <v>246995.80030030021</v>
      </c>
      <c r="EL38" s="44">
        <f t="shared" si="80"/>
        <v>248093.21218168759</v>
      </c>
      <c r="EM38" s="44">
        <f t="shared" si="80"/>
        <v>249188.43169911459</v>
      </c>
      <c r="EN38" s="44">
        <f t="shared" si="80"/>
        <v>250281.40454876985</v>
      </c>
      <c r="EO38" s="44">
        <f t="shared" si="80"/>
        <v>251372.07589936274</v>
      </c>
      <c r="EP38" s="44">
        <f t="shared" si="80"/>
        <v>252460.39038791743</v>
      </c>
      <c r="EQ38" s="44">
        <f t="shared" si="80"/>
        <v>253546.29211553594</v>
      </c>
      <c r="ER38" s="44">
        <f t="shared" si="80"/>
        <v>254629.72464313</v>
      </c>
      <c r="ES38" s="44">
        <f t="shared" si="80"/>
        <v>255710.63098712164</v>
      </c>
      <c r="ET38" s="44">
        <f t="shared" si="80"/>
        <v>256788.95361511223</v>
      </c>
      <c r="EU38" s="44">
        <f t="shared" si="80"/>
        <v>257864.63444151974</v>
      </c>
      <c r="EV38" s="44">
        <f t="shared" si="80"/>
        <v>258937.61482318374</v>
      </c>
      <c r="EW38" s="44">
        <f t="shared" si="80"/>
        <v>260007.83555493865</v>
      </c>
      <c r="EX38" s="44">
        <f t="shared" si="80"/>
        <v>261075.23686515389</v>
      </c>
      <c r="EY38" s="44">
        <f t="shared" si="80"/>
        <v>262139.75841124196</v>
      </c>
      <c r="EZ38" s="44">
        <f t="shared" si="80"/>
        <v>263201.33927513292</v>
      </c>
      <c r="FA38" s="44">
        <f t="shared" si="80"/>
        <v>264259.91795871651</v>
      </c>
      <c r="FB38" s="44">
        <f t="shared" si="80"/>
        <v>265315.43237925007</v>
      </c>
      <c r="FC38" s="44">
        <f t="shared" si="80"/>
        <v>266367.81986473326</v>
      </c>
      <c r="FD38" s="44">
        <f t="shared" si="80"/>
        <v>267417.01714924915</v>
      </c>
      <c r="FE38" s="44">
        <f t="shared" si="80"/>
        <v>268462.96036827058</v>
      </c>
      <c r="FF38" s="44">
        <f t="shared" si="80"/>
        <v>269505.58505393256</v>
      </c>
      <c r="FG38" s="44">
        <f t="shared" si="80"/>
        <v>270544.82613026997</v>
      </c>
      <c r="FH38" s="44">
        <f t="shared" si="80"/>
        <v>271580.61790842068</v>
      </c>
      <c r="FI38" s="44">
        <f t="shared" si="80"/>
        <v>272612.89408179314</v>
      </c>
      <c r="FJ38" s="44">
        <f t="shared" si="80"/>
        <v>273641.58772119903</v>
      </c>
      <c r="FK38" s="44">
        <f t="shared" si="80"/>
        <v>274666.63126995019</v>
      </c>
      <c r="FL38" s="44">
        <f t="shared" si="80"/>
        <v>275687.95653891971</v>
      </c>
      <c r="FM38" s="44">
        <f t="shared" si="80"/>
        <v>276705.49470156687</v>
      </c>
      <c r="FN38" s="44">
        <f t="shared" si="80"/>
        <v>277719.17628892622</v>
      </c>
      <c r="FO38" s="44">
        <f t="shared" si="80"/>
        <v>278728.93118455913</v>
      </c>
      <c r="FP38" s="44">
        <f t="shared" si="80"/>
        <v>279734.68861946958</v>
      </c>
      <c r="FQ38" s="44">
        <f t="shared" si="80"/>
        <v>280736.37716698227</v>
      </c>
      <c r="FR38" s="44">
        <f t="shared" si="80"/>
        <v>281733.92473758321</v>
      </c>
      <c r="FS38" s="44">
        <f t="shared" si="80"/>
        <v>282727.25857372303</v>
      </c>
      <c r="FT38" s="44">
        <f t="shared" si="80"/>
        <v>283716.30524458253</v>
      </c>
      <c r="FU38" s="44">
        <f t="shared" si="80"/>
        <v>284700.99064079957</v>
      </c>
      <c r="FV38" s="44">
        <f t="shared" si="80"/>
        <v>285681.23996915808</v>
      </c>
      <c r="FW38" s="44">
        <f t="shared" si="80"/>
        <v>286656.97774723772</v>
      </c>
      <c r="FX38" s="44">
        <f t="shared" si="80"/>
        <v>287628.12779802544</v>
      </c>
      <c r="FY38" s="44">
        <f t="shared" si="80"/>
        <v>288594.61324448697</v>
      </c>
      <c r="FZ38" s="44">
        <f t="shared" si="80"/>
        <v>289556.35650409956</v>
      </c>
      <c r="GA38" s="44">
        <f t="shared" si="80"/>
        <v>290513.27928334405</v>
      </c>
      <c r="GB38" s="44">
        <f t="shared" si="80"/>
        <v>291465.30257215787</v>
      </c>
      <c r="GC38" s="44">
        <f t="shared" si="80"/>
        <v>292412.34663834685</v>
      </c>
      <c r="GD38" s="44">
        <f t="shared" si="80"/>
        <v>293354.33102195681</v>
      </c>
      <c r="GE38" s="44">
        <f t="shared" si="80"/>
        <v>294291.17452960438</v>
      </c>
      <c r="GF38" s="44">
        <f t="shared" si="80"/>
        <v>295222.79522876599</v>
      </c>
      <c r="GG38" s="44">
        <f t="shared" si="80"/>
        <v>296149.11044202617</v>
      </c>
      <c r="GH38" s="44">
        <f t="shared" si="80"/>
        <v>297070.03674128343</v>
      </c>
      <c r="GI38" s="44">
        <f t="shared" si="80"/>
        <v>297985.48994191445</v>
      </c>
      <c r="GJ38" s="44">
        <f t="shared" si="80"/>
        <v>298895.38509689562</v>
      </c>
      <c r="GK38" s="44">
        <f t="shared" si="80"/>
        <v>299799.63649088226</v>
      </c>
      <c r="GL38" s="44">
        <f t="shared" si="80"/>
        <v>300698.15763424442</v>
      </c>
      <c r="GM38" s="44">
        <f t="shared" ref="GM38:IX38" si="81">GL38*(1+$B$18/12)+GM36-GM37</f>
        <v>301590.86125705985</v>
      </c>
      <c r="GN38" s="44">
        <f t="shared" si="81"/>
        <v>302477.65930306312</v>
      </c>
      <c r="GO38" s="44">
        <f t="shared" si="81"/>
        <v>303358.46292355086</v>
      </c>
      <c r="GP38" s="44">
        <f t="shared" si="81"/>
        <v>304233.18247124302</v>
      </c>
      <c r="GQ38" s="44">
        <f t="shared" si="81"/>
        <v>305101.7274940997</v>
      </c>
      <c r="GR38" s="44">
        <f t="shared" si="81"/>
        <v>305964.00672909268</v>
      </c>
      <c r="GS38" s="44">
        <f t="shared" si="81"/>
        <v>306819.92809593218</v>
      </c>
      <c r="GT38" s="44">
        <f t="shared" si="81"/>
        <v>307669.39869074849</v>
      </c>
      <c r="GU38" s="44">
        <f t="shared" si="81"/>
        <v>308512.32477972721</v>
      </c>
      <c r="GV38" s="44">
        <f t="shared" si="81"/>
        <v>309348.61179269879</v>
      </c>
      <c r="GW38" s="44">
        <f t="shared" si="81"/>
        <v>310178.16431668168</v>
      </c>
      <c r="GX38" s="44">
        <f t="shared" si="81"/>
        <v>311000.88608937874</v>
      </c>
      <c r="GY38" s="44">
        <f t="shared" si="81"/>
        <v>311816.6799926263</v>
      </c>
      <c r="GZ38" s="44">
        <f t="shared" si="81"/>
        <v>312625.44804579654</v>
      </c>
      <c r="HA38" s="44">
        <f t="shared" si="81"/>
        <v>313427.09139915137</v>
      </c>
      <c r="HB38" s="44">
        <f t="shared" si="81"/>
        <v>314221.51032714872</v>
      </c>
      <c r="HC38" s="44">
        <f t="shared" si="81"/>
        <v>315008.60422170046</v>
      </c>
      <c r="HD38" s="44">
        <f t="shared" si="81"/>
        <v>315788.27158538159</v>
      </c>
      <c r="HE38" s="44">
        <f t="shared" si="81"/>
        <v>316560.41002459009</v>
      </c>
      <c r="HF38" s="44">
        <f t="shared" si="81"/>
        <v>317324.91624265769</v>
      </c>
      <c r="HG38" s="44">
        <f t="shared" si="81"/>
        <v>318081.68603291071</v>
      </c>
      <c r="HH38" s="44">
        <f t="shared" si="81"/>
        <v>318830.61427168123</v>
      </c>
      <c r="HI38" s="44">
        <f t="shared" si="81"/>
        <v>319571.59491126711</v>
      </c>
      <c r="HJ38" s="44">
        <f t="shared" si="81"/>
        <v>320304.52097284171</v>
      </c>
      <c r="HK38" s="44">
        <f t="shared" si="81"/>
        <v>321029.28453931259</v>
      </c>
      <c r="HL38" s="44">
        <f t="shared" si="81"/>
        <v>321745.77674812806</v>
      </c>
      <c r="HM38" s="44">
        <f t="shared" si="81"/>
        <v>322453.88778403267</v>
      </c>
      <c r="HN38" s="44">
        <f t="shared" si="81"/>
        <v>323153.5068717699</v>
      </c>
      <c r="HO38" s="44">
        <f t="shared" si="81"/>
        <v>323844.52226873254</v>
      </c>
      <c r="HP38" s="44">
        <f t="shared" si="81"/>
        <v>324526.82125755987</v>
      </c>
      <c r="HQ38" s="44">
        <f t="shared" si="81"/>
        <v>325200.29013868183</v>
      </c>
      <c r="HR38" s="44">
        <f t="shared" si="81"/>
        <v>325864.81422280933</v>
      </c>
      <c r="HS38" s="44">
        <f t="shared" si="81"/>
        <v>326520.27782337042</v>
      </c>
      <c r="HT38" s="44">
        <f t="shared" si="81"/>
        <v>327166.56424889207</v>
      </c>
      <c r="HU38" s="44">
        <f t="shared" si="81"/>
        <v>327803.55579532735</v>
      </c>
      <c r="HV38" s="44">
        <f t="shared" si="81"/>
        <v>328431.13373832678</v>
      </c>
      <c r="HW38" s="44">
        <f t="shared" si="81"/>
        <v>329049.17832545488</v>
      </c>
      <c r="HX38" s="44">
        <f t="shared" si="81"/>
        <v>329657.56876835017</v>
      </c>
      <c r="HY38" s="44">
        <f t="shared" si="81"/>
        <v>330256.18323482905</v>
      </c>
      <c r="HZ38" s="44">
        <f t="shared" si="81"/>
        <v>330844.89884093282</v>
      </c>
      <c r="IA38" s="44">
        <f t="shared" si="81"/>
        <v>331423.59164291731</v>
      </c>
      <c r="IB38" s="44">
        <f t="shared" si="81"/>
        <v>331992.1366291857</v>
      </c>
      <c r="IC38" s="44">
        <f t="shared" si="81"/>
        <v>332550.40771216236</v>
      </c>
      <c r="ID38" s="44">
        <f t="shared" si="81"/>
        <v>333098.27772010915</v>
      </c>
      <c r="IE38" s="44">
        <f t="shared" si="81"/>
        <v>333635.61838888255</v>
      </c>
      <c r="IF38" s="44">
        <f t="shared" si="81"/>
        <v>334162.30035363173</v>
      </c>
      <c r="IG38" s="44">
        <f t="shared" si="81"/>
        <v>334678.19314043695</v>
      </c>
      <c r="IH38" s="44">
        <f t="shared" si="81"/>
        <v>335183.16515788797</v>
      </c>
      <c r="II38" s="44">
        <f t="shared" si="81"/>
        <v>335677.08368860197</v>
      </c>
      <c r="IJ38" s="44">
        <f t="shared" si="81"/>
        <v>336159.81488068099</v>
      </c>
      <c r="IK38" s="44">
        <f t="shared" si="81"/>
        <v>336631.22373910761</v>
      </c>
      <c r="IL38" s="44">
        <f t="shared" si="81"/>
        <v>337091.17411707912</v>
      </c>
      <c r="IM38" s="44">
        <f t="shared" si="81"/>
        <v>337539.52870727977</v>
      </c>
      <c r="IN38" s="44">
        <f t="shared" si="81"/>
        <v>337976.14903308998</v>
      </c>
      <c r="IO38" s="44">
        <f t="shared" si="81"/>
        <v>338400.89543973323</v>
      </c>
      <c r="IP38" s="44">
        <f t="shared" si="81"/>
        <v>338813.62708535872</v>
      </c>
      <c r="IQ38" s="44">
        <f t="shared" si="81"/>
        <v>339214.201932061</v>
      </c>
      <c r="IR38" s="44">
        <f t="shared" si="81"/>
        <v>339602.47673683445</v>
      </c>
      <c r="IS38" s="44">
        <f t="shared" si="81"/>
        <v>339978.30704246374</v>
      </c>
      <c r="IT38" s="44">
        <f t="shared" si="81"/>
        <v>340341.54716834851</v>
      </c>
      <c r="IU38" s="44">
        <f t="shared" si="81"/>
        <v>340692.05020126287</v>
      </c>
      <c r="IV38" s="44">
        <f t="shared" si="81"/>
        <v>341029.66798604815</v>
      </c>
      <c r="IW38" s="44">
        <f t="shared" si="81"/>
        <v>341354.25111623976</v>
      </c>
      <c r="IX38" s="44">
        <f t="shared" si="81"/>
        <v>341665.64892462647</v>
      </c>
      <c r="IY38" s="44">
        <f t="shared" ref="IY38:LJ38" si="82">IX38*(1+$B$18/12)+IY36-IY37</f>
        <v>341963.7094737424</v>
      </c>
      <c r="IZ38" s="44">
        <f t="shared" si="82"/>
        <v>342248.27954629116</v>
      </c>
      <c r="JA38" s="44">
        <f t="shared" si="82"/>
        <v>342519.2046355012</v>
      </c>
      <c r="JB38" s="44">
        <f t="shared" si="82"/>
        <v>342776.32893541246</v>
      </c>
      <c r="JC38" s="44">
        <f t="shared" si="82"/>
        <v>343019.49533109349</v>
      </c>
      <c r="JD38" s="44">
        <f t="shared" si="82"/>
        <v>343248.54538878897</v>
      </c>
      <c r="JE38" s="44">
        <f t="shared" si="82"/>
        <v>343463.31934599637</v>
      </c>
      <c r="JF38" s="44">
        <f t="shared" si="82"/>
        <v>343663.65610147209</v>
      </c>
      <c r="JG38" s="44">
        <f t="shared" si="82"/>
        <v>343849.39320516633</v>
      </c>
      <c r="JH38" s="44">
        <f t="shared" si="82"/>
        <v>344020.36684808572</v>
      </c>
      <c r="JI38" s="44">
        <f t="shared" si="82"/>
        <v>344176.41185208375</v>
      </c>
      <c r="JJ38" s="44">
        <f t="shared" si="82"/>
        <v>344317.36165957851</v>
      </c>
      <c r="JK38" s="44">
        <f t="shared" si="82"/>
        <v>344443.04832319706</v>
      </c>
      <c r="JL38" s="44">
        <f t="shared" si="82"/>
        <v>344553.30249534571</v>
      </c>
      <c r="JM38" s="44">
        <f t="shared" si="82"/>
        <v>344647.95341770607</v>
      </c>
      <c r="JN38" s="44">
        <f t="shared" si="82"/>
        <v>344726.82891065604</v>
      </c>
      <c r="JO38" s="44">
        <f t="shared" si="82"/>
        <v>344789.7553626158</v>
      </c>
      <c r="JP38" s="44">
        <f t="shared" si="82"/>
        <v>344836.55771931726</v>
      </c>
      <c r="JQ38" s="44">
        <f t="shared" si="82"/>
        <v>344867.05947299773</v>
      </c>
      <c r="JR38" s="44">
        <f t="shared" si="82"/>
        <v>344881.08265151572</v>
      </c>
      <c r="JS38" s="44">
        <f t="shared" si="82"/>
        <v>344878.44780739013</v>
      </c>
      <c r="JT38" s="44">
        <f t="shared" si="82"/>
        <v>344858.97400676075</v>
      </c>
      <c r="JU38" s="44">
        <f t="shared" si="82"/>
        <v>344822.47881827049</v>
      </c>
      <c r="JV38" s="44">
        <f t="shared" si="82"/>
        <v>344768.77830186801</v>
      </c>
      <c r="JW38" s="44">
        <f t="shared" si="82"/>
        <v>344697.68699753127</v>
      </c>
      <c r="JX38" s="44">
        <f t="shared" si="82"/>
        <v>344609.01791391027</v>
      </c>
      <c r="JY38" s="44">
        <f t="shared" si="82"/>
        <v>344502.58251688938</v>
      </c>
      <c r="JZ38" s="44">
        <f t="shared" si="82"/>
        <v>344378.19071806798</v>
      </c>
      <c r="KA38" s="44">
        <f t="shared" si="82"/>
        <v>344235.65086315933</v>
      </c>
      <c r="KB38" s="44">
        <f t="shared" si="82"/>
        <v>344074.76972030703</v>
      </c>
      <c r="KC38" s="44">
        <f t="shared" si="82"/>
        <v>343895.35246831807</v>
      </c>
      <c r="KD38" s="44">
        <f t="shared" si="82"/>
        <v>343697.2026848126</v>
      </c>
      <c r="KE38" s="44">
        <f t="shared" si="82"/>
        <v>343480.12233428936</v>
      </c>
      <c r="KF38" s="44">
        <f t="shared" si="82"/>
        <v>343243.91175610595</v>
      </c>
      <c r="KG38" s="44">
        <f t="shared" si="82"/>
        <v>342988.36965237436</v>
      </c>
      <c r="KH38" s="44">
        <f t="shared" si="82"/>
        <v>342713.29307576985</v>
      </c>
      <c r="KI38" s="44">
        <f t="shared" si="82"/>
        <v>342418.47741725366</v>
      </c>
      <c r="KJ38" s="44">
        <f t="shared" si="82"/>
        <v>342103.71639370848</v>
      </c>
      <c r="KK38" s="44">
        <f t="shared" si="82"/>
        <v>341768.80203548592</v>
      </c>
      <c r="KL38" s="44">
        <f t="shared" si="82"/>
        <v>341413.52467386558</v>
      </c>
      <c r="KM38" s="44">
        <f t="shared" si="82"/>
        <v>341037.67292842572</v>
      </c>
      <c r="KN38" s="44">
        <f t="shared" si="82"/>
        <v>340641.03369432333</v>
      </c>
      <c r="KO38" s="44">
        <f t="shared" si="82"/>
        <v>340223.39212948468</v>
      </c>
      <c r="KP38" s="44">
        <f t="shared" si="82"/>
        <v>339784.53164170473</v>
      </c>
      <c r="KQ38" s="44">
        <f t="shared" si="82"/>
        <v>339324.23387565499</v>
      </c>
      <c r="KR38" s="44">
        <f t="shared" si="82"/>
        <v>338842.2786997995</v>
      </c>
      <c r="KS38" s="44">
        <f t="shared" si="82"/>
        <v>338338.44419321779</v>
      </c>
      <c r="KT38" s="44">
        <f t="shared" si="82"/>
        <v>337812.50663233449</v>
      </c>
      <c r="KU38" s="44">
        <f t="shared" si="82"/>
        <v>337264.24047755497</v>
      </c>
      <c r="KV38" s="44">
        <f t="shared" si="82"/>
        <v>336693.41835980606</v>
      </c>
      <c r="KW38" s="44">
        <f t="shared" si="82"/>
        <v>336099.81106698181</v>
      </c>
      <c r="KX38" s="44">
        <f t="shared" si="82"/>
        <v>335483.18753029278</v>
      </c>
      <c r="KY38" s="44">
        <f t="shared" si="82"/>
        <v>334843.31481051876</v>
      </c>
      <c r="KZ38" s="44">
        <f t="shared" si="82"/>
        <v>334179.95808416454</v>
      </c>
      <c r="LA38" s="44">
        <f t="shared" si="82"/>
        <v>333492.88062951702</v>
      </c>
      <c r="LB38" s="44">
        <f t="shared" si="82"/>
        <v>332781.84381260403</v>
      </c>
      <c r="LC38" s="44">
        <f t="shared" si="82"/>
        <v>332046.60707305372</v>
      </c>
      <c r="LD38" s="44">
        <f t="shared" si="82"/>
        <v>331286.92790985375</v>
      </c>
      <c r="LE38" s="44">
        <f t="shared" si="82"/>
        <v>330502.56186700973</v>
      </c>
      <c r="LF38" s="44">
        <f t="shared" si="82"/>
        <v>329693.26251910243</v>
      </c>
      <c r="LG38" s="44">
        <f t="shared" si="82"/>
        <v>328858.78145674238</v>
      </c>
      <c r="LH38" s="44">
        <f t="shared" si="82"/>
        <v>327998.86827192223</v>
      </c>
      <c r="LI38" s="44">
        <f t="shared" si="82"/>
        <v>327113.27054326481</v>
      </c>
      <c r="LJ38" s="44">
        <f t="shared" si="82"/>
        <v>326201.73382116755</v>
      </c>
      <c r="LK38" s="44">
        <f t="shared" ref="LK38:NV38" si="83">LJ38*(1+$B$18/12)+LK36-LK37</f>
        <v>325264.0016128415</v>
      </c>
      <c r="LL38" s="44">
        <f t="shared" si="83"/>
        <v>324299.81536724471</v>
      </c>
      <c r="LM38" s="44">
        <f t="shared" si="83"/>
        <v>323308.91445990908</v>
      </c>
      <c r="LN38" s="44">
        <f t="shared" si="83"/>
        <v>322291.03617766028</v>
      </c>
      <c r="LO38" s="44">
        <f t="shared" si="83"/>
        <v>321245.91570322932</v>
      </c>
      <c r="LP38" s="44">
        <f t="shared" si="83"/>
        <v>320173.28609975585</v>
      </c>
      <c r="LQ38" s="44">
        <f t="shared" si="83"/>
        <v>319072.87829518155</v>
      </c>
      <c r="LR38" s="44">
        <f t="shared" si="83"/>
        <v>317944.42106653389</v>
      </c>
      <c r="LS38" s="44">
        <f t="shared" si="83"/>
        <v>316787.64102409856</v>
      </c>
      <c r="LT38" s="44">
        <f t="shared" si="83"/>
        <v>315602.26259548002</v>
      </c>
      <c r="LU38" s="44">
        <f t="shared" si="83"/>
        <v>314388.0080095501</v>
      </c>
      <c r="LV38" s="44">
        <f t="shared" si="83"/>
        <v>313144.59728028299</v>
      </c>
      <c r="LW38" s="44">
        <f t="shared" si="83"/>
        <v>311871.74819047621</v>
      </c>
      <c r="LX38" s="44">
        <f t="shared" si="83"/>
        <v>310569.17627535673</v>
      </c>
      <c r="LY38" s="44">
        <f t="shared" si="83"/>
        <v>309236.5948060716</v>
      </c>
      <c r="LZ38" s="44">
        <f t="shared" si="83"/>
        <v>307873.71477306198</v>
      </c>
      <c r="MA38" s="44">
        <f t="shared" si="83"/>
        <v>306480.24486932019</v>
      </c>
      <c r="MB38" s="44">
        <f t="shared" si="83"/>
        <v>305055.89147352841</v>
      </c>
      <c r="MC38" s="44">
        <f t="shared" si="83"/>
        <v>303600.35863307893</v>
      </c>
      <c r="MD38" s="44">
        <f t="shared" si="83"/>
        <v>302113.34804697428</v>
      </c>
      <c r="ME38" s="44">
        <f t="shared" si="83"/>
        <v>300594.55904860725</v>
      </c>
      <c r="MF38" s="44">
        <f t="shared" si="83"/>
        <v>299043.68858841946</v>
      </c>
      <c r="MG38" s="44">
        <f t="shared" si="83"/>
        <v>297460.43121643772</v>
      </c>
      <c r="MH38" s="44">
        <f t="shared" si="83"/>
        <v>295844.47906468745</v>
      </c>
      <c r="MI38" s="44">
        <f t="shared" si="83"/>
        <v>294195.52182948217</v>
      </c>
      <c r="MJ38" s="44">
        <f t="shared" si="83"/>
        <v>292513.24675358855</v>
      </c>
      <c r="MK38" s="44">
        <f t="shared" si="83"/>
        <v>290797.33860826551</v>
      </c>
      <c r="ML38" s="44">
        <f t="shared" si="83"/>
        <v>289047.47967517731</v>
      </c>
      <c r="MM38" s="44">
        <f t="shared" si="83"/>
        <v>287263.34972817905</v>
      </c>
      <c r="MN38" s="44">
        <f t="shared" si="83"/>
        <v>285444.62601497408</v>
      </c>
      <c r="MO38" s="44">
        <f t="shared" si="83"/>
        <v>283590.98323864251</v>
      </c>
      <c r="MP38" s="44">
        <f t="shared" si="83"/>
        <v>281702.09353903949</v>
      </c>
      <c r="MQ38" s="44">
        <f t="shared" si="83"/>
        <v>279777.62647406303</v>
      </c>
      <c r="MR38" s="44">
        <f t="shared" si="83"/>
        <v>277817.24900078954</v>
      </c>
      <c r="MS38" s="44">
        <f t="shared" si="83"/>
        <v>275820.62545647757</v>
      </c>
      <c r="MT38" s="44">
        <f t="shared" si="83"/>
        <v>273787.41753943713</v>
      </c>
      <c r="MU38" s="44">
        <f t="shared" si="83"/>
        <v>271717.28428976476</v>
      </c>
      <c r="MV38" s="44">
        <f t="shared" si="83"/>
        <v>269609.882069944</v>
      </c>
      <c r="MW38" s="44">
        <f t="shared" si="83"/>
        <v>267464.86454530823</v>
      </c>
      <c r="MX38" s="58">
        <f t="shared" si="83"/>
        <v>265281.88266436715</v>
      </c>
      <c r="MY38" s="1"/>
      <c r="MZ38" s="1"/>
      <c r="NA38" s="1"/>
      <c r="NB38" s="1"/>
      <c r="NC38" s="1"/>
      <c r="ND38" s="1"/>
      <c r="NE38" s="1"/>
      <c r="NF38" s="1"/>
      <c r="NG38" s="1"/>
      <c r="NH38" s="13">
        <v>0.185</v>
      </c>
      <c r="NI38" s="1">
        <f>Combine!A40</f>
        <v>49503</v>
      </c>
      <c r="NJ38" s="14">
        <f>Combine!F40</f>
        <v>227043.28216727401</v>
      </c>
    </row>
    <row r="39" spans="1:374" ht="12.75" customHeight="1" x14ac:dyDescent="0.3">
      <c r="A39" s="45" t="s">
        <v>877</v>
      </c>
      <c r="B39" s="46">
        <f>DR22</f>
        <v>749778.089087083</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
      <c r="NG39" s="1"/>
      <c r="NH39" s="13">
        <v>0.19</v>
      </c>
      <c r="NI39" s="1">
        <f>Combine!A41</f>
        <v>48146</v>
      </c>
      <c r="NJ39" s="14">
        <f>Combine!F41</f>
        <v>122430.00108183001</v>
      </c>
    </row>
    <row r="40" spans="1:374" ht="12.75" customHeight="1" x14ac:dyDescent="0.3">
      <c r="A40" s="48" t="s">
        <v>878</v>
      </c>
      <c r="B40" s="32">
        <f>DR23</f>
        <v>260470.6734177575</v>
      </c>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
      <c r="NG40" s="1"/>
      <c r="NH40" s="13">
        <v>0.19500000000000001</v>
      </c>
      <c r="NI40" s="1">
        <f>Combine!A42</f>
        <v>48127</v>
      </c>
      <c r="NJ40" s="14">
        <f>Combine!F42</f>
        <v>216145.61316256499</v>
      </c>
    </row>
    <row r="41" spans="1:374" ht="12.75" customHeight="1" x14ac:dyDescent="0.3">
      <c r="A41" s="49" t="s">
        <v>879</v>
      </c>
      <c r="B41" s="50">
        <f>DR24</f>
        <v>489307.41566932551</v>
      </c>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
      <c r="NG41" s="1"/>
      <c r="NH41" s="13">
        <v>0.2</v>
      </c>
      <c r="NI41" s="1">
        <f>Combine!A43</f>
        <v>48035</v>
      </c>
      <c r="NJ41" s="14">
        <f>Combine!F43</f>
        <v>189359.57600907501</v>
      </c>
    </row>
    <row r="42" spans="1:374" ht="12.75" customHeight="1" x14ac:dyDescent="0.3">
      <c r="A42" s="49" t="s">
        <v>880</v>
      </c>
      <c r="B42" s="50">
        <f>0.06*DR22</f>
        <v>44986.685345224978</v>
      </c>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1"/>
      <c r="EB42" s="41"/>
      <c r="EC42" s="41"/>
      <c r="ED42" s="41"/>
      <c r="EE42" s="41"/>
      <c r="EF42" s="41"/>
      <c r="EG42" s="41"/>
      <c r="EH42" s="41"/>
      <c r="EI42" s="41"/>
      <c r="EJ42" s="41"/>
      <c r="EK42" s="41"/>
      <c r="EL42" s="41"/>
      <c r="EM42" s="41"/>
      <c r="EN42" s="41"/>
      <c r="EO42" s="41"/>
      <c r="EP42" s="41"/>
      <c r="EQ42" s="41"/>
      <c r="ER42" s="41"/>
      <c r="ES42" s="41"/>
      <c r="ET42" s="41"/>
      <c r="EU42" s="41"/>
      <c r="EV42" s="41"/>
      <c r="EW42" s="41"/>
      <c r="EX42" s="41"/>
      <c r="EY42" s="41"/>
      <c r="EZ42" s="41"/>
      <c r="FA42" s="41"/>
      <c r="FB42" s="41"/>
      <c r="FC42" s="41"/>
      <c r="FD42" s="41"/>
      <c r="FE42" s="41"/>
      <c r="FF42" s="41"/>
      <c r="FG42" s="41"/>
      <c r="FH42" s="41"/>
      <c r="FI42" s="41"/>
      <c r="FJ42" s="41"/>
      <c r="FK42" s="41"/>
      <c r="FL42" s="41"/>
      <c r="FM42" s="41"/>
      <c r="FN42" s="41"/>
      <c r="FO42" s="41"/>
      <c r="FP42" s="41"/>
      <c r="FQ42" s="41"/>
      <c r="FR42" s="41"/>
      <c r="FS42" s="41"/>
      <c r="FT42" s="41"/>
      <c r="FU42" s="41"/>
      <c r="FV42" s="41"/>
      <c r="FW42" s="41"/>
      <c r="FX42" s="41"/>
      <c r="FY42" s="41"/>
      <c r="FZ42" s="41"/>
      <c r="GA42" s="41"/>
      <c r="GB42" s="41"/>
      <c r="GC42" s="41"/>
      <c r="GD42" s="41"/>
      <c r="GE42" s="41"/>
      <c r="GF42" s="41"/>
      <c r="GG42" s="41"/>
      <c r="GH42" s="41"/>
      <c r="GI42" s="41"/>
      <c r="GJ42" s="41"/>
      <c r="GK42" s="41"/>
      <c r="GL42" s="41"/>
      <c r="GM42" s="41"/>
      <c r="GN42" s="41"/>
      <c r="GO42" s="41"/>
      <c r="GP42" s="41"/>
      <c r="GQ42" s="41"/>
      <c r="GR42" s="41"/>
      <c r="GS42" s="41"/>
      <c r="GT42" s="41"/>
      <c r="GU42" s="41"/>
      <c r="GV42" s="41"/>
      <c r="GW42" s="41"/>
      <c r="GX42" s="41"/>
      <c r="GY42" s="41"/>
      <c r="GZ42" s="41"/>
      <c r="HA42" s="41"/>
      <c r="HB42" s="41"/>
      <c r="HC42" s="41"/>
      <c r="HD42" s="41"/>
      <c r="HE42" s="41"/>
      <c r="HF42" s="41"/>
      <c r="HG42" s="41"/>
      <c r="HH42" s="41"/>
      <c r="HI42" s="41"/>
      <c r="HJ42" s="41"/>
      <c r="HK42" s="41"/>
      <c r="HL42" s="41"/>
      <c r="HM42" s="41"/>
      <c r="HN42" s="41"/>
      <c r="HO42" s="41"/>
      <c r="HP42" s="41"/>
      <c r="HQ42" s="41"/>
      <c r="HR42" s="41"/>
      <c r="HS42" s="41"/>
      <c r="HT42" s="41"/>
      <c r="HU42" s="41"/>
      <c r="HV42" s="41"/>
      <c r="HW42" s="41"/>
      <c r="HX42" s="41"/>
      <c r="HY42" s="41"/>
      <c r="HZ42" s="41"/>
      <c r="IA42" s="41"/>
      <c r="IB42" s="41"/>
      <c r="IC42" s="41"/>
      <c r="ID42" s="41"/>
      <c r="IE42" s="41"/>
      <c r="IF42" s="41"/>
      <c r="IG42" s="41"/>
      <c r="IH42" s="41"/>
      <c r="II42" s="41"/>
      <c r="IJ42" s="41"/>
      <c r="IK42" s="41"/>
      <c r="IL42" s="41"/>
      <c r="IM42" s="41"/>
      <c r="IN42" s="41"/>
      <c r="IO42" s="41"/>
      <c r="IP42" s="41"/>
      <c r="IQ42" s="41"/>
      <c r="IR42" s="41"/>
      <c r="IS42" s="41"/>
      <c r="IT42" s="41"/>
      <c r="IU42" s="41"/>
      <c r="IV42" s="4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3">
        <v>0.20499999999999999</v>
      </c>
      <c r="NI42" s="1">
        <f>Combine!A44</f>
        <v>48910</v>
      </c>
      <c r="NJ42" s="14">
        <f>Combine!F44</f>
        <v>107061.243148557</v>
      </c>
    </row>
    <row r="43" spans="1:374" ht="12.75" customHeight="1" x14ac:dyDescent="0.3">
      <c r="A43" s="49" t="s">
        <v>881</v>
      </c>
      <c r="B43" s="50">
        <f>+B41-B42</f>
        <v>444320.73032410053</v>
      </c>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c r="CX43" s="41"/>
      <c r="CY43" s="41"/>
      <c r="CZ43" s="41"/>
      <c r="DA43" s="41"/>
      <c r="DB43" s="41"/>
      <c r="DC43" s="41"/>
      <c r="DD43" s="41"/>
      <c r="DE43" s="41"/>
      <c r="DF43" s="41"/>
      <c r="DG43" s="41"/>
      <c r="DH43" s="41"/>
      <c r="DI43" s="41"/>
      <c r="DJ43" s="41"/>
      <c r="DK43" s="41"/>
      <c r="DL43" s="41"/>
      <c r="DM43" s="41"/>
      <c r="DN43" s="41"/>
      <c r="DO43" s="41"/>
      <c r="DP43" s="41"/>
      <c r="DQ43" s="41"/>
      <c r="DR43" s="41"/>
      <c r="DS43" s="41"/>
      <c r="DT43" s="41"/>
      <c r="DU43" s="41"/>
      <c r="DV43" s="41"/>
      <c r="DW43" s="41"/>
      <c r="DX43" s="41"/>
      <c r="DY43" s="41"/>
      <c r="DZ43" s="41"/>
      <c r="EA43" s="41"/>
      <c r="EB43" s="41"/>
      <c r="EC43" s="41"/>
      <c r="ED43" s="41"/>
      <c r="EE43" s="41"/>
      <c r="EF43" s="41"/>
      <c r="EG43" s="41"/>
      <c r="EH43" s="41"/>
      <c r="EI43" s="41"/>
      <c r="EJ43" s="41"/>
      <c r="EK43" s="41"/>
      <c r="EL43" s="41"/>
      <c r="EM43" s="41"/>
      <c r="EN43" s="41"/>
      <c r="EO43" s="41"/>
      <c r="EP43" s="41"/>
      <c r="EQ43" s="41"/>
      <c r="ER43" s="41"/>
      <c r="ES43" s="41"/>
      <c r="ET43" s="41"/>
      <c r="EU43" s="41"/>
      <c r="EV43" s="41"/>
      <c r="EW43" s="41"/>
      <c r="EX43" s="41"/>
      <c r="EY43" s="41"/>
      <c r="EZ43" s="41"/>
      <c r="FA43" s="41"/>
      <c r="FB43" s="41"/>
      <c r="FC43" s="41"/>
      <c r="FD43" s="41"/>
      <c r="FE43" s="41"/>
      <c r="FF43" s="41"/>
      <c r="FG43" s="41"/>
      <c r="FH43" s="41"/>
      <c r="FI43" s="41"/>
      <c r="FJ43" s="41"/>
      <c r="FK43" s="41"/>
      <c r="FL43" s="41"/>
      <c r="FM43" s="41"/>
      <c r="FN43" s="41"/>
      <c r="FO43" s="41"/>
      <c r="FP43" s="41"/>
      <c r="FQ43" s="41"/>
      <c r="FR43" s="41"/>
      <c r="FS43" s="41"/>
      <c r="FT43" s="41"/>
      <c r="FU43" s="41"/>
      <c r="FV43" s="41"/>
      <c r="FW43" s="41"/>
      <c r="FX43" s="41"/>
      <c r="FY43" s="41"/>
      <c r="FZ43" s="41"/>
      <c r="GA43" s="41"/>
      <c r="GB43" s="41"/>
      <c r="GC43" s="41"/>
      <c r="GD43" s="41"/>
      <c r="GE43" s="41"/>
      <c r="GF43" s="41"/>
      <c r="GG43" s="41"/>
      <c r="GH43" s="41"/>
      <c r="GI43" s="41"/>
      <c r="GJ43" s="41"/>
      <c r="GK43" s="41"/>
      <c r="GL43" s="41"/>
      <c r="GM43" s="41"/>
      <c r="GN43" s="41"/>
      <c r="GO43" s="41"/>
      <c r="GP43" s="41"/>
      <c r="GQ43" s="41"/>
      <c r="GR43" s="41"/>
      <c r="GS43" s="41"/>
      <c r="GT43" s="41"/>
      <c r="GU43" s="41"/>
      <c r="GV43" s="41"/>
      <c r="GW43" s="41"/>
      <c r="GX43" s="41"/>
      <c r="GY43" s="41"/>
      <c r="GZ43" s="41"/>
      <c r="HA43" s="41"/>
      <c r="HB43" s="41"/>
      <c r="HC43" s="41"/>
      <c r="HD43" s="41"/>
      <c r="HE43" s="41"/>
      <c r="HF43" s="41"/>
      <c r="HG43" s="41"/>
      <c r="HH43" s="41"/>
      <c r="HI43" s="41"/>
      <c r="HJ43" s="41"/>
      <c r="HK43" s="41"/>
      <c r="HL43" s="41"/>
      <c r="HM43" s="41"/>
      <c r="HN43" s="41"/>
      <c r="HO43" s="41"/>
      <c r="HP43" s="41"/>
      <c r="HQ43" s="41"/>
      <c r="HR43" s="41"/>
      <c r="HS43" s="41"/>
      <c r="HT43" s="41"/>
      <c r="HU43" s="41"/>
      <c r="HV43" s="41"/>
      <c r="HW43" s="41"/>
      <c r="HX43" s="41"/>
      <c r="HY43" s="41"/>
      <c r="HZ43" s="41"/>
      <c r="IA43" s="41"/>
      <c r="IB43" s="41"/>
      <c r="IC43" s="41"/>
      <c r="ID43" s="41"/>
      <c r="IE43" s="41"/>
      <c r="IF43" s="41"/>
      <c r="IG43" s="41"/>
      <c r="IH43" s="41"/>
      <c r="II43" s="41"/>
      <c r="IJ43" s="41"/>
      <c r="IK43" s="41"/>
      <c r="IL43" s="41"/>
      <c r="IM43" s="41"/>
      <c r="IN43" s="41"/>
      <c r="IO43" s="41"/>
      <c r="IP43" s="41"/>
      <c r="IQ43" s="41"/>
      <c r="IR43" s="41"/>
      <c r="IS43" s="41"/>
      <c r="IT43" s="41"/>
      <c r="IU43" s="41"/>
      <c r="IV43" s="4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3">
        <v>0.21</v>
      </c>
      <c r="NI43" s="1">
        <f>Combine!A45</f>
        <v>49203</v>
      </c>
      <c r="NJ43" s="14">
        <f>Combine!F45</f>
        <v>134232.99317909699</v>
      </c>
    </row>
    <row r="44" spans="1:374" ht="12" customHeight="1" thickBot="1" x14ac:dyDescent="0.35">
      <c r="A44" s="49" t="s">
        <v>882</v>
      </c>
      <c r="B44" s="50">
        <f>+DR38</f>
        <v>225796.92843048982</v>
      </c>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c r="CX44" s="41"/>
      <c r="CY44" s="41"/>
      <c r="CZ44" s="41"/>
      <c r="DA44" s="41"/>
      <c r="DB44" s="41"/>
      <c r="DC44" s="41"/>
      <c r="DD44" s="41"/>
      <c r="DE44" s="41"/>
      <c r="DF44" s="41"/>
      <c r="DG44" s="41"/>
      <c r="DH44" s="41"/>
      <c r="DI44" s="41"/>
      <c r="DJ44" s="41"/>
      <c r="DK44" s="41"/>
      <c r="DL44" s="41"/>
      <c r="DM44" s="41"/>
      <c r="DN44" s="41"/>
      <c r="DO44" s="41"/>
      <c r="DP44" s="41"/>
      <c r="DQ44" s="41"/>
      <c r="DR44" s="41"/>
      <c r="DS44" s="41"/>
      <c r="DT44" s="41"/>
      <c r="DU44" s="41"/>
      <c r="DV44" s="41"/>
      <c r="DW44" s="41"/>
      <c r="DX44" s="41"/>
      <c r="DY44" s="41"/>
      <c r="DZ44" s="41"/>
      <c r="EA44" s="41"/>
      <c r="EB44" s="41"/>
      <c r="EC44" s="41"/>
      <c r="ED44" s="41"/>
      <c r="EE44" s="41"/>
      <c r="EF44" s="41"/>
      <c r="EG44" s="41"/>
      <c r="EH44" s="41"/>
      <c r="EI44" s="41"/>
      <c r="EJ44" s="41"/>
      <c r="EK44" s="41"/>
      <c r="EL44" s="41"/>
      <c r="EM44" s="41"/>
      <c r="EN44" s="41"/>
      <c r="EO44" s="41"/>
      <c r="EP44" s="41"/>
      <c r="EQ44" s="41"/>
      <c r="ER44" s="41"/>
      <c r="ES44" s="41"/>
      <c r="ET44" s="41"/>
      <c r="EU44" s="41"/>
      <c r="EV44" s="41"/>
      <c r="EW44" s="41"/>
      <c r="EX44" s="41"/>
      <c r="EY44" s="41"/>
      <c r="EZ44" s="41"/>
      <c r="FA44" s="41"/>
      <c r="FB44" s="41"/>
      <c r="FC44" s="41"/>
      <c r="FD44" s="41"/>
      <c r="FE44" s="41"/>
      <c r="FF44" s="41"/>
      <c r="FG44" s="41"/>
      <c r="FH44" s="41"/>
      <c r="FI44" s="41"/>
      <c r="FJ44" s="41"/>
      <c r="FK44" s="41"/>
      <c r="FL44" s="41"/>
      <c r="FM44" s="41"/>
      <c r="FN44" s="41"/>
      <c r="FO44" s="41"/>
      <c r="FP44" s="41"/>
      <c r="FQ44" s="41"/>
      <c r="FR44" s="41"/>
      <c r="FS44" s="41"/>
      <c r="FT44" s="41"/>
      <c r="FU44" s="41"/>
      <c r="FV44" s="41"/>
      <c r="FW44" s="41"/>
      <c r="FX44" s="41"/>
      <c r="FY44" s="41"/>
      <c r="FZ44" s="41"/>
      <c r="GA44" s="41"/>
      <c r="GB44" s="41"/>
      <c r="GC44" s="41"/>
      <c r="GD44" s="41"/>
      <c r="GE44" s="41"/>
      <c r="GF44" s="41"/>
      <c r="GG44" s="41"/>
      <c r="GH44" s="41"/>
      <c r="GI44" s="41"/>
      <c r="GJ44" s="41"/>
      <c r="GK44" s="41"/>
      <c r="GL44" s="41"/>
      <c r="GM44" s="41"/>
      <c r="GN44" s="41"/>
      <c r="GO44" s="41"/>
      <c r="GP44" s="41"/>
      <c r="GQ44" s="41"/>
      <c r="GR44" s="41"/>
      <c r="GS44" s="41"/>
      <c r="GT44" s="41"/>
      <c r="GU44" s="41"/>
      <c r="GV44" s="41"/>
      <c r="GW44" s="41"/>
      <c r="GX44" s="41"/>
      <c r="GY44" s="41"/>
      <c r="GZ44" s="41"/>
      <c r="HA44" s="41"/>
      <c r="HB44" s="41"/>
      <c r="HC44" s="41"/>
      <c r="HD44" s="41"/>
      <c r="HE44" s="41"/>
      <c r="HF44" s="41"/>
      <c r="HG44" s="41"/>
      <c r="HH44" s="41"/>
      <c r="HI44" s="41"/>
      <c r="HJ44" s="41"/>
      <c r="HK44" s="41"/>
      <c r="HL44" s="41"/>
      <c r="HM44" s="41"/>
      <c r="HN44" s="41"/>
      <c r="HO44" s="41"/>
      <c r="HP44" s="41"/>
      <c r="HQ44" s="41"/>
      <c r="HR44" s="41"/>
      <c r="HS44" s="41"/>
      <c r="HT44" s="41"/>
      <c r="HU44" s="41"/>
      <c r="HV44" s="41"/>
      <c r="HW44" s="41"/>
      <c r="HX44" s="41"/>
      <c r="HY44" s="41"/>
      <c r="HZ44" s="41"/>
      <c r="IA44" s="41"/>
      <c r="IB44" s="41"/>
      <c r="IC44" s="41"/>
      <c r="ID44" s="41"/>
      <c r="IE44" s="41"/>
      <c r="IF44" s="41"/>
      <c r="IG44" s="41"/>
      <c r="IH44" s="41"/>
      <c r="II44" s="41"/>
      <c r="IJ44" s="41"/>
      <c r="IK44" s="41"/>
      <c r="IL44" s="41"/>
      <c r="IM44" s="41"/>
      <c r="IN44" s="41"/>
      <c r="IO44" s="41"/>
      <c r="IP44" s="41"/>
      <c r="IQ44" s="41"/>
      <c r="IR44" s="41"/>
      <c r="IS44" s="41"/>
      <c r="IT44" s="41"/>
      <c r="IU44" s="41"/>
      <c r="IV44" s="4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3">
        <v>0.215</v>
      </c>
      <c r="NI44" s="1">
        <f>Combine!A46</f>
        <v>49441</v>
      </c>
      <c r="NJ44" s="14">
        <f>Combine!F46</f>
        <v>203647.607783908</v>
      </c>
    </row>
    <row r="45" spans="1:374" ht="21" customHeight="1" x14ac:dyDescent="0.3">
      <c r="A45" s="51" t="s">
        <v>883</v>
      </c>
      <c r="B45" s="52">
        <f>+(B43-B44)/(1+B14)^10</f>
        <v>162602.23124913321</v>
      </c>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c r="CX45" s="41"/>
      <c r="CY45" s="41"/>
      <c r="CZ45" s="41"/>
      <c r="DA45" s="41"/>
      <c r="DB45" s="41"/>
      <c r="DC45" s="41"/>
      <c r="DD45" s="41"/>
      <c r="DE45" s="41"/>
      <c r="DF45" s="41"/>
      <c r="DG45" s="41"/>
      <c r="DH45" s="41"/>
      <c r="DI45" s="41"/>
      <c r="DJ45" s="41"/>
      <c r="DK45" s="41"/>
      <c r="DL45" s="41"/>
      <c r="DM45" s="41"/>
      <c r="DN45" s="41"/>
      <c r="DO45" s="41"/>
      <c r="DP45" s="41"/>
      <c r="DQ45" s="41"/>
      <c r="DR45" s="41"/>
      <c r="DS45" s="41"/>
      <c r="DT45" s="41"/>
      <c r="DU45" s="41"/>
      <c r="DV45" s="41"/>
      <c r="DW45" s="41"/>
      <c r="DX45" s="41"/>
      <c r="DY45" s="41"/>
      <c r="DZ45" s="41"/>
      <c r="EA45" s="41"/>
      <c r="EB45" s="41"/>
      <c r="EC45" s="41"/>
      <c r="ED45" s="41"/>
      <c r="EE45" s="41"/>
      <c r="EF45" s="41"/>
      <c r="EG45" s="41"/>
      <c r="EH45" s="41"/>
      <c r="EI45" s="41"/>
      <c r="EJ45" s="41"/>
      <c r="EK45" s="41"/>
      <c r="EL45" s="41"/>
      <c r="EM45" s="41"/>
      <c r="EN45" s="41"/>
      <c r="EO45" s="41"/>
      <c r="EP45" s="41"/>
      <c r="EQ45" s="41"/>
      <c r="ER45" s="41"/>
      <c r="ES45" s="41"/>
      <c r="ET45" s="41"/>
      <c r="EU45" s="41"/>
      <c r="EV45" s="41"/>
      <c r="EW45" s="41"/>
      <c r="EX45" s="41"/>
      <c r="EY45" s="41"/>
      <c r="EZ45" s="41"/>
      <c r="FA45" s="41"/>
      <c r="FB45" s="41"/>
      <c r="FC45" s="41"/>
      <c r="FD45" s="41"/>
      <c r="FE45" s="41"/>
      <c r="FF45" s="41"/>
      <c r="FG45" s="41"/>
      <c r="FH45" s="41"/>
      <c r="FI45" s="41"/>
      <c r="FJ45" s="41"/>
      <c r="FK45" s="41"/>
      <c r="FL45" s="41"/>
      <c r="FM45" s="41"/>
      <c r="FN45" s="41"/>
      <c r="FO45" s="41"/>
      <c r="FP45" s="41"/>
      <c r="FQ45" s="41"/>
      <c r="FR45" s="41"/>
      <c r="FS45" s="41"/>
      <c r="FT45" s="41"/>
      <c r="FU45" s="41"/>
      <c r="FV45" s="41"/>
      <c r="FW45" s="41"/>
      <c r="FX45" s="41"/>
      <c r="FY45" s="41"/>
      <c r="FZ45" s="41"/>
      <c r="GA45" s="41"/>
      <c r="GB45" s="41"/>
      <c r="GC45" s="41"/>
      <c r="GD45" s="41"/>
      <c r="GE45" s="41"/>
      <c r="GF45" s="41"/>
      <c r="GG45" s="41"/>
      <c r="GH45" s="41"/>
      <c r="GI45" s="41"/>
      <c r="GJ45" s="41"/>
      <c r="GK45" s="41"/>
      <c r="GL45" s="41"/>
      <c r="GM45" s="41"/>
      <c r="GN45" s="41"/>
      <c r="GO45" s="41"/>
      <c r="GP45" s="41"/>
      <c r="GQ45" s="41"/>
      <c r="GR45" s="41"/>
      <c r="GS45" s="41"/>
      <c r="GT45" s="41"/>
      <c r="GU45" s="41"/>
      <c r="GV45" s="41"/>
      <c r="GW45" s="41"/>
      <c r="GX45" s="41"/>
      <c r="GY45" s="41"/>
      <c r="GZ45" s="41"/>
      <c r="HA45" s="41"/>
      <c r="HB45" s="41"/>
      <c r="HC45" s="41"/>
      <c r="HD45" s="41"/>
      <c r="HE45" s="41"/>
      <c r="HF45" s="41"/>
      <c r="HG45" s="41"/>
      <c r="HH45" s="41"/>
      <c r="HI45" s="41"/>
      <c r="HJ45" s="41"/>
      <c r="HK45" s="41"/>
      <c r="HL45" s="41"/>
      <c r="HM45" s="41"/>
      <c r="HN45" s="41"/>
      <c r="HO45" s="41"/>
      <c r="HP45" s="41"/>
      <c r="HQ45" s="41"/>
      <c r="HR45" s="41"/>
      <c r="HS45" s="41"/>
      <c r="HT45" s="41"/>
      <c r="HU45" s="41"/>
      <c r="HV45" s="41"/>
      <c r="HW45" s="41"/>
      <c r="HX45" s="41"/>
      <c r="HY45" s="41"/>
      <c r="HZ45" s="41"/>
      <c r="IA45" s="41"/>
      <c r="IB45" s="41"/>
      <c r="IC45" s="41"/>
      <c r="ID45" s="41"/>
      <c r="IE45" s="41"/>
      <c r="IF45" s="41"/>
      <c r="IG45" s="41"/>
      <c r="IH45" s="41"/>
      <c r="II45" s="41"/>
      <c r="IJ45" s="41"/>
      <c r="IK45" s="41"/>
      <c r="IL45" s="41"/>
      <c r="IM45" s="41"/>
      <c r="IN45" s="41"/>
      <c r="IO45" s="41"/>
      <c r="IP45" s="41"/>
      <c r="IQ45" s="41"/>
      <c r="IR45" s="41"/>
      <c r="IS45" s="41"/>
      <c r="IT45" s="41"/>
      <c r="IU45" s="41"/>
      <c r="IV45" s="4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F45" s="1"/>
      <c r="NG45" s="1"/>
      <c r="NH45" s="13">
        <v>0.22</v>
      </c>
      <c r="NI45" s="1">
        <f>Combine!A47</f>
        <v>48239</v>
      </c>
      <c r="NJ45" s="14">
        <f>Combine!F47</f>
        <v>153148.44685108101</v>
      </c>
    </row>
    <row r="46" spans="1:374" ht="12.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F46" s="1"/>
      <c r="NG46" s="1"/>
      <c r="NH46" s="13">
        <v>0.22500000000000001</v>
      </c>
      <c r="NI46" s="1">
        <f>Combine!A48</f>
        <v>48312</v>
      </c>
      <c r="NJ46" s="14">
        <f>Combine!F48</f>
        <v>263749.64520379301</v>
      </c>
    </row>
    <row r="47" spans="1:374" ht="19.2" customHeight="1" x14ac:dyDescent="0.3">
      <c r="A47" s="59"/>
      <c r="B47" s="59"/>
      <c r="C47" s="59"/>
      <c r="D47" s="59"/>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F47" s="1" t="s">
        <v>884</v>
      </c>
      <c r="NG47" s="1"/>
      <c r="NH47" s="13">
        <v>0.23</v>
      </c>
      <c r="NI47" s="1">
        <f>Combine!A49</f>
        <v>49506</v>
      </c>
      <c r="NJ47" s="14">
        <f>Combine!F49</f>
        <v>359010.64433356002</v>
      </c>
    </row>
    <row r="48" spans="1:374" ht="12.75" customHeight="1" x14ac:dyDescent="0.3">
      <c r="A48" s="59"/>
      <c r="B48" s="73"/>
      <c r="D48" s="61"/>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c r="CT48" s="47"/>
      <c r="CU48" s="47"/>
      <c r="CV48" s="47"/>
      <c r="CW48" s="47"/>
      <c r="CX48" s="47"/>
      <c r="CY48" s="47"/>
      <c r="CZ48" s="47"/>
      <c r="DA48" s="47"/>
      <c r="DB48" s="47"/>
      <c r="DC48" s="47"/>
      <c r="DD48" s="47"/>
      <c r="DE48" s="47"/>
      <c r="DF48" s="47"/>
      <c r="DG48" s="47"/>
      <c r="DH48" s="47"/>
      <c r="DI48" s="47"/>
      <c r="DJ48" s="47"/>
      <c r="DK48" s="47"/>
      <c r="DL48" s="47"/>
      <c r="DM48" s="47"/>
      <c r="DN48" s="47"/>
      <c r="DO48" s="47"/>
      <c r="DP48" s="47"/>
      <c r="DQ48" s="47"/>
      <c r="DR48" s="47"/>
      <c r="DS48" s="47"/>
      <c r="DT48" s="47"/>
      <c r="DU48" s="47"/>
      <c r="DV48" s="47"/>
      <c r="DW48" s="47"/>
      <c r="DX48" s="47"/>
      <c r="DY48" s="47"/>
      <c r="DZ48" s="47"/>
      <c r="EA48" s="47"/>
      <c r="EB48" s="47"/>
      <c r="EC48" s="47"/>
      <c r="ED48" s="47"/>
      <c r="EE48" s="47"/>
      <c r="EF48" s="47"/>
      <c r="EG48" s="47"/>
      <c r="EH48" s="47"/>
      <c r="EI48" s="47"/>
      <c r="EJ48" s="47"/>
      <c r="EK48" s="47"/>
      <c r="EL48" s="47"/>
      <c r="EM48" s="47"/>
      <c r="EN48" s="47"/>
      <c r="EO48" s="47"/>
      <c r="EP48" s="47"/>
      <c r="EQ48" s="47"/>
      <c r="ER48" s="47"/>
      <c r="ES48" s="47"/>
      <c r="ET48" s="47"/>
      <c r="EU48" s="47"/>
      <c r="EV48" s="47"/>
      <c r="EW48" s="47"/>
      <c r="EX48" s="47"/>
      <c r="EY48" s="47"/>
      <c r="EZ48" s="47"/>
      <c r="FA48" s="47"/>
      <c r="FB48" s="47"/>
      <c r="FC48" s="47"/>
      <c r="FD48" s="47"/>
      <c r="FE48" s="47"/>
      <c r="FF48" s="47"/>
      <c r="FG48" s="47"/>
      <c r="FH48" s="47"/>
      <c r="FI48" s="47"/>
      <c r="FJ48" s="47"/>
      <c r="FK48" s="47"/>
      <c r="FL48" s="47"/>
      <c r="FM48" s="47"/>
      <c r="FN48" s="47"/>
      <c r="FO48" s="47"/>
      <c r="FP48" s="47"/>
      <c r="FQ48" s="47"/>
      <c r="FR48" s="47"/>
      <c r="FS48" s="47"/>
      <c r="FT48" s="47"/>
      <c r="FU48" s="47"/>
      <c r="FV48" s="47"/>
      <c r="FW48" s="47"/>
      <c r="FX48" s="47"/>
      <c r="FY48" s="47"/>
      <c r="FZ48" s="47"/>
      <c r="GA48" s="47"/>
      <c r="GB48" s="47"/>
      <c r="GC48" s="47"/>
      <c r="GD48" s="47"/>
      <c r="GE48" s="47"/>
      <c r="GF48" s="47"/>
      <c r="GG48" s="47"/>
      <c r="GH48" s="47"/>
      <c r="GI48" s="47"/>
      <c r="GJ48" s="47"/>
      <c r="GK48" s="47"/>
      <c r="GL48" s="47"/>
      <c r="GM48" s="47"/>
      <c r="GN48" s="47"/>
      <c r="GO48" s="47"/>
      <c r="GP48" s="47"/>
      <c r="GQ48" s="47"/>
      <c r="GR48" s="47"/>
      <c r="GS48" s="47"/>
      <c r="GT48" s="47"/>
      <c r="GU48" s="47"/>
      <c r="GV48" s="47"/>
      <c r="GW48" s="47"/>
      <c r="GX48" s="47"/>
      <c r="GY48" s="47"/>
      <c r="GZ48" s="47"/>
      <c r="HA48" s="47"/>
      <c r="HB48" s="47"/>
      <c r="HC48" s="47"/>
      <c r="HD48" s="47"/>
      <c r="HE48" s="47"/>
      <c r="HF48" s="47"/>
      <c r="HG48" s="47"/>
      <c r="HH48" s="47"/>
      <c r="HI48" s="47"/>
      <c r="HJ48" s="47"/>
      <c r="HK48" s="47"/>
      <c r="HL48" s="47"/>
      <c r="HM48" s="47"/>
      <c r="HN48" s="47"/>
      <c r="HO48" s="47"/>
      <c r="HP48" s="47"/>
      <c r="HQ48" s="47"/>
      <c r="HR48" s="47"/>
      <c r="HS48" s="47"/>
      <c r="HT48" s="47"/>
      <c r="HU48" s="47"/>
      <c r="HV48" s="47"/>
      <c r="HW48" s="47"/>
      <c r="HX48" s="47"/>
      <c r="HY48" s="47"/>
      <c r="HZ48" s="47"/>
      <c r="IA48" s="47"/>
      <c r="IB48" s="47"/>
      <c r="IC48" s="47"/>
      <c r="ID48" s="47"/>
      <c r="IE48" s="47"/>
      <c r="IF48" s="47"/>
      <c r="IG48" s="47"/>
      <c r="IH48" s="47"/>
      <c r="II48" s="47"/>
      <c r="IJ48" s="47"/>
      <c r="IK48" s="47"/>
      <c r="IL48" s="47"/>
      <c r="IM48" s="47"/>
      <c r="IN48" s="47"/>
      <c r="IO48" s="47"/>
      <c r="IP48" s="47"/>
      <c r="IQ48" s="47"/>
      <c r="IR48" s="47"/>
      <c r="IS48" s="47"/>
      <c r="IT48" s="47"/>
      <c r="IU48" s="47"/>
      <c r="IV48" s="47"/>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F48" s="63"/>
      <c r="NG48" s="64">
        <f>B45</f>
        <v>162602.23124913321</v>
      </c>
      <c r="NH48" s="13">
        <v>0.23499999999999999</v>
      </c>
      <c r="NI48" s="1">
        <f>Combine!A50</f>
        <v>48205</v>
      </c>
      <c r="NJ48" s="14">
        <f>Combine!F50</f>
        <v>45779.440971240903</v>
      </c>
    </row>
    <row r="49" spans="1:374" ht="12.75" customHeight="1" x14ac:dyDescent="0.3">
      <c r="A49" s="59"/>
      <c r="B49" s="74"/>
      <c r="D49" s="61"/>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c r="CT49" s="47"/>
      <c r="CU49" s="47"/>
      <c r="CV49" s="47"/>
      <c r="CW49" s="47"/>
      <c r="CX49" s="47"/>
      <c r="CY49" s="47"/>
      <c r="CZ49" s="47"/>
      <c r="DA49" s="47"/>
      <c r="DB49" s="47"/>
      <c r="DC49" s="47"/>
      <c r="DD49" s="47"/>
      <c r="DE49" s="47"/>
      <c r="DF49" s="47"/>
      <c r="DG49" s="47"/>
      <c r="DH49" s="47"/>
      <c r="DI49" s="47"/>
      <c r="DJ49" s="47"/>
      <c r="DK49" s="47"/>
      <c r="DL49" s="47"/>
      <c r="DM49" s="47"/>
      <c r="DN49" s="47"/>
      <c r="DO49" s="47"/>
      <c r="DP49" s="47"/>
      <c r="DQ49" s="47"/>
      <c r="DR49" s="47"/>
      <c r="DS49" s="47"/>
      <c r="DT49" s="47"/>
      <c r="DU49" s="47"/>
      <c r="DV49" s="47"/>
      <c r="DW49" s="47"/>
      <c r="DX49" s="47"/>
      <c r="DY49" s="47"/>
      <c r="DZ49" s="47"/>
      <c r="EA49" s="47"/>
      <c r="EB49" s="47"/>
      <c r="EC49" s="47"/>
      <c r="ED49" s="47"/>
      <c r="EE49" s="47"/>
      <c r="EF49" s="47"/>
      <c r="EG49" s="47"/>
      <c r="EH49" s="47"/>
      <c r="EI49" s="47"/>
      <c r="EJ49" s="47"/>
      <c r="EK49" s="47"/>
      <c r="EL49" s="47"/>
      <c r="EM49" s="47"/>
      <c r="EN49" s="47"/>
      <c r="EO49" s="47"/>
      <c r="EP49" s="47"/>
      <c r="EQ49" s="47"/>
      <c r="ER49" s="47"/>
      <c r="ES49" s="47"/>
      <c r="ET49" s="47"/>
      <c r="EU49" s="47"/>
      <c r="EV49" s="47"/>
      <c r="EW49" s="47"/>
      <c r="EX49" s="47"/>
      <c r="EY49" s="47"/>
      <c r="EZ49" s="47"/>
      <c r="FA49" s="47"/>
      <c r="FB49" s="47"/>
      <c r="FC49" s="47"/>
      <c r="FD49" s="47"/>
      <c r="FE49" s="47"/>
      <c r="FF49" s="47"/>
      <c r="FG49" s="47"/>
      <c r="FH49" s="47"/>
      <c r="FI49" s="47"/>
      <c r="FJ49" s="47"/>
      <c r="FK49" s="47"/>
      <c r="FL49" s="47"/>
      <c r="FM49" s="47"/>
      <c r="FN49" s="47"/>
      <c r="FO49" s="47"/>
      <c r="FP49" s="47"/>
      <c r="FQ49" s="47"/>
      <c r="FR49" s="47"/>
      <c r="FS49" s="47"/>
      <c r="FT49" s="47"/>
      <c r="FU49" s="47"/>
      <c r="FV49" s="47"/>
      <c r="FW49" s="47"/>
      <c r="FX49" s="47"/>
      <c r="FY49" s="47"/>
      <c r="FZ49" s="47"/>
      <c r="GA49" s="47"/>
      <c r="GB49" s="47"/>
      <c r="GC49" s="47"/>
      <c r="GD49" s="47"/>
      <c r="GE49" s="47"/>
      <c r="GF49" s="47"/>
      <c r="GG49" s="47"/>
      <c r="GH49" s="47"/>
      <c r="GI49" s="47"/>
      <c r="GJ49" s="47"/>
      <c r="GK49" s="47"/>
      <c r="GL49" s="47"/>
      <c r="GM49" s="47"/>
      <c r="GN49" s="47"/>
      <c r="GO49" s="47"/>
      <c r="GP49" s="47"/>
      <c r="GQ49" s="47"/>
      <c r="GR49" s="47"/>
      <c r="GS49" s="47"/>
      <c r="GT49" s="47"/>
      <c r="GU49" s="47"/>
      <c r="GV49" s="47"/>
      <c r="GW49" s="47"/>
      <c r="GX49" s="47"/>
      <c r="GY49" s="47"/>
      <c r="GZ49" s="47"/>
      <c r="HA49" s="47"/>
      <c r="HB49" s="47"/>
      <c r="HC49" s="47"/>
      <c r="HD49" s="47"/>
      <c r="HE49" s="47"/>
      <c r="HF49" s="47"/>
      <c r="HG49" s="47"/>
      <c r="HH49" s="47"/>
      <c r="HI49" s="47"/>
      <c r="HJ49" s="47"/>
      <c r="HK49" s="47"/>
      <c r="HL49" s="47"/>
      <c r="HM49" s="47"/>
      <c r="HN49" s="47"/>
      <c r="HO49" s="47"/>
      <c r="HP49" s="47"/>
      <c r="HQ49" s="47"/>
      <c r="HR49" s="47"/>
      <c r="HS49" s="47"/>
      <c r="HT49" s="47"/>
      <c r="HU49" s="47"/>
      <c r="HV49" s="47"/>
      <c r="HW49" s="47"/>
      <c r="HX49" s="47"/>
      <c r="HY49" s="47"/>
      <c r="HZ49" s="47"/>
      <c r="IA49" s="47"/>
      <c r="IB49" s="47"/>
      <c r="IC49" s="47"/>
      <c r="ID49" s="47"/>
      <c r="IE49" s="47"/>
      <c r="IF49" s="47"/>
      <c r="IG49" s="47"/>
      <c r="IH49" s="47"/>
      <c r="II49" s="47"/>
      <c r="IJ49" s="47"/>
      <c r="IK49" s="47"/>
      <c r="IL49" s="47"/>
      <c r="IM49" s="47"/>
      <c r="IN49" s="47"/>
      <c r="IO49" s="47"/>
      <c r="IP49" s="47"/>
      <c r="IQ49" s="47"/>
      <c r="IR49" s="47"/>
      <c r="IS49" s="47"/>
      <c r="IT49" s="47"/>
      <c r="IU49" s="47"/>
      <c r="IV49" s="47"/>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F49" s="63">
        <v>1.4999999999999999E-2</v>
      </c>
      <c r="NG49" s="64">
        <f t="dataTable" ref="NG49:NG134" dt2D="0" dtr="0" r1="B7"/>
        <v>162602.23124913321</v>
      </c>
      <c r="NH49" s="13">
        <v>0.24</v>
      </c>
      <c r="NI49" s="1">
        <f>Combine!A51</f>
        <v>48073</v>
      </c>
      <c r="NJ49" s="14">
        <f>Combine!F51</f>
        <v>296987.24229826598</v>
      </c>
    </row>
    <row r="50" spans="1:374" ht="12.75" customHeight="1" x14ac:dyDescent="0.3">
      <c r="A50" s="59"/>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c r="CT50" s="47"/>
      <c r="CU50" s="47"/>
      <c r="CV50" s="47"/>
      <c r="CW50" s="47"/>
      <c r="CX50" s="47"/>
      <c r="CY50" s="47"/>
      <c r="CZ50" s="47"/>
      <c r="DA50" s="47"/>
      <c r="DB50" s="47"/>
      <c r="DC50" s="47"/>
      <c r="DD50" s="47"/>
      <c r="DE50" s="47"/>
      <c r="DF50" s="47"/>
      <c r="DG50" s="47"/>
      <c r="DH50" s="47"/>
      <c r="DI50" s="47"/>
      <c r="DJ50" s="47"/>
      <c r="DK50" s="47"/>
      <c r="DL50" s="47"/>
      <c r="DM50" s="47"/>
      <c r="DN50" s="47"/>
      <c r="DO50" s="47"/>
      <c r="DP50" s="47"/>
      <c r="DQ50" s="47"/>
      <c r="DR50" s="47"/>
      <c r="DS50" s="47"/>
      <c r="DT50" s="47"/>
      <c r="DU50" s="47"/>
      <c r="DV50" s="47"/>
      <c r="DW50" s="47"/>
      <c r="DX50" s="47"/>
      <c r="DY50" s="47"/>
      <c r="DZ50" s="47"/>
      <c r="EA50" s="47"/>
      <c r="EB50" s="47"/>
      <c r="EC50" s="47"/>
      <c r="ED50" s="47"/>
      <c r="EE50" s="47"/>
      <c r="EF50" s="47"/>
      <c r="EG50" s="47"/>
      <c r="EH50" s="47"/>
      <c r="EI50" s="47"/>
      <c r="EJ50" s="47"/>
      <c r="EK50" s="47"/>
      <c r="EL50" s="47"/>
      <c r="EM50" s="47"/>
      <c r="EN50" s="47"/>
      <c r="EO50" s="47"/>
      <c r="EP50" s="47"/>
      <c r="EQ50" s="47"/>
      <c r="ER50" s="47"/>
      <c r="ES50" s="47"/>
      <c r="ET50" s="47"/>
      <c r="EU50" s="47"/>
      <c r="EV50" s="47"/>
      <c r="EW50" s="47"/>
      <c r="EX50" s="47"/>
      <c r="EY50" s="47"/>
      <c r="EZ50" s="47"/>
      <c r="FA50" s="47"/>
      <c r="FB50" s="47"/>
      <c r="FC50" s="47"/>
      <c r="FD50" s="47"/>
      <c r="FE50" s="47"/>
      <c r="FF50" s="47"/>
      <c r="FG50" s="47"/>
      <c r="FH50" s="47"/>
      <c r="FI50" s="47"/>
      <c r="FJ50" s="47"/>
      <c r="FK50" s="47"/>
      <c r="FL50" s="47"/>
      <c r="FM50" s="47"/>
      <c r="FN50" s="47"/>
      <c r="FO50" s="47"/>
      <c r="FP50" s="47"/>
      <c r="FQ50" s="47"/>
      <c r="FR50" s="47"/>
      <c r="FS50" s="47"/>
      <c r="FT50" s="47"/>
      <c r="FU50" s="47"/>
      <c r="FV50" s="47"/>
      <c r="FW50" s="47"/>
      <c r="FX50" s="47"/>
      <c r="FY50" s="47"/>
      <c r="FZ50" s="47"/>
      <c r="GA50" s="47"/>
      <c r="GB50" s="47"/>
      <c r="GC50" s="47"/>
      <c r="GD50" s="47"/>
      <c r="GE50" s="47"/>
      <c r="GF50" s="47"/>
      <c r="GG50" s="47"/>
      <c r="GH50" s="47"/>
      <c r="GI50" s="47"/>
      <c r="GJ50" s="47"/>
      <c r="GK50" s="47"/>
      <c r="GL50" s="47"/>
      <c r="GM50" s="47"/>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47"/>
      <c r="HN50" s="47"/>
      <c r="HO50" s="47"/>
      <c r="HP50" s="47"/>
      <c r="HQ50" s="47"/>
      <c r="HR50" s="47"/>
      <c r="HS50" s="47"/>
      <c r="HT50" s="47"/>
      <c r="HU50" s="47"/>
      <c r="HV50" s="47"/>
      <c r="HW50" s="47"/>
      <c r="HX50" s="47"/>
      <c r="HY50" s="47"/>
      <c r="HZ50" s="47"/>
      <c r="IA50" s="47"/>
      <c r="IB50" s="47"/>
      <c r="IC50" s="47"/>
      <c r="ID50" s="47"/>
      <c r="IE50" s="47"/>
      <c r="IF50" s="47"/>
      <c r="IG50" s="47"/>
      <c r="IH50" s="47"/>
      <c r="II50" s="47"/>
      <c r="IJ50" s="47"/>
      <c r="IK50" s="47"/>
      <c r="IL50" s="47"/>
      <c r="IM50" s="47"/>
      <c r="IN50" s="47"/>
      <c r="IO50" s="47"/>
      <c r="IP50" s="47"/>
      <c r="IQ50" s="47"/>
      <c r="IR50" s="47"/>
      <c r="IS50" s="47"/>
      <c r="IT50" s="47"/>
      <c r="IU50" s="47"/>
      <c r="IV50" s="47"/>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F50" s="63">
        <v>1.6E-2</v>
      </c>
      <c r="NG50" s="64">
        <v>159442.66041002152</v>
      </c>
      <c r="NH50" s="13">
        <v>0.245</v>
      </c>
      <c r="NI50" s="1">
        <f>Combine!A52</f>
        <v>48186</v>
      </c>
      <c r="NJ50" s="14">
        <f>Combine!F52</f>
        <v>162634.440022328</v>
      </c>
    </row>
    <row r="51" spans="1:374" ht="12.75" customHeight="1" x14ac:dyDescent="0.3">
      <c r="A51" s="59"/>
      <c r="D51" s="61"/>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c r="CT51" s="47"/>
      <c r="CU51" s="47"/>
      <c r="CV51" s="47"/>
      <c r="CW51" s="47"/>
      <c r="CX51" s="47"/>
      <c r="CY51" s="47"/>
      <c r="CZ51" s="47"/>
      <c r="DA51" s="47"/>
      <c r="DB51" s="47"/>
      <c r="DC51" s="47"/>
      <c r="DD51" s="47"/>
      <c r="DE51" s="47"/>
      <c r="DF51" s="47"/>
      <c r="DG51" s="47"/>
      <c r="DH51" s="47"/>
      <c r="DI51" s="47"/>
      <c r="DJ51" s="47"/>
      <c r="DK51" s="47"/>
      <c r="DL51" s="47"/>
      <c r="DM51" s="47"/>
      <c r="DN51" s="47"/>
      <c r="DO51" s="47"/>
      <c r="DP51" s="47"/>
      <c r="DQ51" s="47"/>
      <c r="DR51" s="47"/>
      <c r="DS51" s="47"/>
      <c r="DT51" s="47"/>
      <c r="DU51" s="47"/>
      <c r="DV51" s="47"/>
      <c r="DW51" s="47"/>
      <c r="DX51" s="47"/>
      <c r="DY51" s="47"/>
      <c r="DZ51" s="47"/>
      <c r="EA51" s="47"/>
      <c r="EB51" s="47"/>
      <c r="EC51" s="47"/>
      <c r="ED51" s="47"/>
      <c r="EE51" s="47"/>
      <c r="EF51" s="47"/>
      <c r="EG51" s="47"/>
      <c r="EH51" s="47"/>
      <c r="EI51" s="47"/>
      <c r="EJ51" s="47"/>
      <c r="EK51" s="47"/>
      <c r="EL51" s="47"/>
      <c r="EM51" s="47"/>
      <c r="EN51" s="47"/>
      <c r="EO51" s="47"/>
      <c r="EP51" s="47"/>
      <c r="EQ51" s="47"/>
      <c r="ER51" s="47"/>
      <c r="ES51" s="47"/>
      <c r="ET51" s="47"/>
      <c r="EU51" s="47"/>
      <c r="EV51" s="47"/>
      <c r="EW51" s="47"/>
      <c r="EX51" s="47"/>
      <c r="EY51" s="47"/>
      <c r="EZ51" s="47"/>
      <c r="FA51" s="47"/>
      <c r="FB51" s="47"/>
      <c r="FC51" s="47"/>
      <c r="FD51" s="47"/>
      <c r="FE51" s="47"/>
      <c r="FF51" s="47"/>
      <c r="FG51" s="47"/>
      <c r="FH51" s="47"/>
      <c r="FI51" s="47"/>
      <c r="FJ51" s="47"/>
      <c r="FK51" s="47"/>
      <c r="FL51" s="47"/>
      <c r="FM51" s="47"/>
      <c r="FN51" s="47"/>
      <c r="FO51" s="47"/>
      <c r="FP51" s="47"/>
      <c r="FQ51" s="47"/>
      <c r="FR51" s="47"/>
      <c r="FS51" s="47"/>
      <c r="FT51" s="47"/>
      <c r="FU51" s="47"/>
      <c r="FV51" s="47"/>
      <c r="FW51" s="47"/>
      <c r="FX51" s="47"/>
      <c r="FY51" s="47"/>
      <c r="FZ51" s="47"/>
      <c r="GA51" s="47"/>
      <c r="GB51" s="47"/>
      <c r="GC51" s="47"/>
      <c r="GD51" s="47"/>
      <c r="GE51" s="47"/>
      <c r="GF51" s="47"/>
      <c r="GG51" s="47"/>
      <c r="GH51" s="47"/>
      <c r="GI51" s="47"/>
      <c r="GJ51" s="47"/>
      <c r="GK51" s="47"/>
      <c r="GL51" s="47"/>
      <c r="GM51" s="47"/>
      <c r="GN51" s="47"/>
      <c r="GO51" s="47"/>
      <c r="GP51" s="47"/>
      <c r="GQ51" s="47"/>
      <c r="GR51" s="47"/>
      <c r="GS51" s="47"/>
      <c r="GT51" s="47"/>
      <c r="GU51" s="47"/>
      <c r="GV51" s="47"/>
      <c r="GW51" s="47"/>
      <c r="GX51" s="47"/>
      <c r="GY51" s="47"/>
      <c r="GZ51" s="47"/>
      <c r="HA51" s="47"/>
      <c r="HB51" s="47"/>
      <c r="HC51" s="47"/>
      <c r="HD51" s="47"/>
      <c r="HE51" s="47"/>
      <c r="HF51" s="47"/>
      <c r="HG51" s="47"/>
      <c r="HH51" s="47"/>
      <c r="HI51" s="47"/>
      <c r="HJ51" s="47"/>
      <c r="HK51" s="47"/>
      <c r="HL51" s="47"/>
      <c r="HM51" s="47"/>
      <c r="HN51" s="47"/>
      <c r="HO51" s="47"/>
      <c r="HP51" s="47"/>
      <c r="HQ51" s="47"/>
      <c r="HR51" s="47"/>
      <c r="HS51" s="47"/>
      <c r="HT51" s="47"/>
      <c r="HU51" s="47"/>
      <c r="HV51" s="47"/>
      <c r="HW51" s="47"/>
      <c r="HX51" s="47"/>
      <c r="HY51" s="47"/>
      <c r="HZ51" s="47"/>
      <c r="IA51" s="47"/>
      <c r="IB51" s="47"/>
      <c r="IC51" s="47"/>
      <c r="ID51" s="47"/>
      <c r="IE51" s="47"/>
      <c r="IF51" s="47"/>
      <c r="IG51" s="47"/>
      <c r="IH51" s="47"/>
      <c r="II51" s="47"/>
      <c r="IJ51" s="47"/>
      <c r="IK51" s="47"/>
      <c r="IL51" s="47"/>
      <c r="IM51" s="47"/>
      <c r="IN51" s="47"/>
      <c r="IO51" s="47"/>
      <c r="IP51" s="47"/>
      <c r="IQ51" s="47"/>
      <c r="IR51" s="47"/>
      <c r="IS51" s="47"/>
      <c r="IT51" s="47"/>
      <c r="IU51" s="47"/>
      <c r="IV51" s="47"/>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F51" s="63">
        <v>1.7000000000000001E-2</v>
      </c>
      <c r="NG51" s="64">
        <v>156267.55265017733</v>
      </c>
      <c r="NH51" s="13">
        <v>0.25</v>
      </c>
      <c r="NI51" s="1">
        <f>Combine!A53</f>
        <v>48234</v>
      </c>
      <c r="NJ51" s="14">
        <f>Combine!F53</f>
        <v>43294.780625625601</v>
      </c>
    </row>
    <row r="52" spans="1:374" ht="12.75" customHeight="1" x14ac:dyDescent="0.3">
      <c r="A52" s="59"/>
      <c r="D52" s="61"/>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c r="CT52" s="47"/>
      <c r="CU52" s="47"/>
      <c r="CV52" s="47"/>
      <c r="CW52" s="47"/>
      <c r="CX52" s="47"/>
      <c r="CY52" s="47"/>
      <c r="CZ52" s="47"/>
      <c r="DA52" s="47"/>
      <c r="DB52" s="47"/>
      <c r="DC52" s="47"/>
      <c r="DD52" s="47"/>
      <c r="DE52" s="47"/>
      <c r="DF52" s="47"/>
      <c r="DG52" s="47"/>
      <c r="DH52" s="47"/>
      <c r="DI52" s="47"/>
      <c r="DJ52" s="47"/>
      <c r="DK52" s="47"/>
      <c r="DL52" s="47"/>
      <c r="DM52" s="47"/>
      <c r="DN52" s="47"/>
      <c r="DO52" s="47"/>
      <c r="DP52" s="47"/>
      <c r="DQ52" s="47"/>
      <c r="DR52" s="47"/>
      <c r="DS52" s="47"/>
      <c r="DT52" s="47"/>
      <c r="DU52" s="47"/>
      <c r="DV52" s="47"/>
      <c r="DW52" s="47"/>
      <c r="DX52" s="47"/>
      <c r="DY52" s="47"/>
      <c r="DZ52" s="47"/>
      <c r="EA52" s="47"/>
      <c r="EB52" s="47"/>
      <c r="EC52" s="47"/>
      <c r="ED52" s="47"/>
      <c r="EE52" s="47"/>
      <c r="EF52" s="47"/>
      <c r="EG52" s="47"/>
      <c r="EH52" s="47"/>
      <c r="EI52" s="47"/>
      <c r="EJ52" s="47"/>
      <c r="EK52" s="47"/>
      <c r="EL52" s="47"/>
      <c r="EM52" s="47"/>
      <c r="EN52" s="47"/>
      <c r="EO52" s="47"/>
      <c r="EP52" s="47"/>
      <c r="EQ52" s="47"/>
      <c r="ER52" s="47"/>
      <c r="ES52" s="47"/>
      <c r="ET52" s="47"/>
      <c r="EU52" s="47"/>
      <c r="EV52" s="47"/>
      <c r="EW52" s="47"/>
      <c r="EX52" s="47"/>
      <c r="EY52" s="47"/>
      <c r="EZ52" s="47"/>
      <c r="FA52" s="47"/>
      <c r="FB52" s="47"/>
      <c r="FC52" s="47"/>
      <c r="FD52" s="47"/>
      <c r="FE52" s="47"/>
      <c r="FF52" s="47"/>
      <c r="FG52" s="47"/>
      <c r="FH52" s="47"/>
      <c r="FI52" s="47"/>
      <c r="FJ52" s="47"/>
      <c r="FK52" s="47"/>
      <c r="FL52" s="47"/>
      <c r="FM52" s="47"/>
      <c r="FN52" s="47"/>
      <c r="FO52" s="47"/>
      <c r="FP52" s="47"/>
      <c r="FQ52" s="47"/>
      <c r="FR52" s="47"/>
      <c r="FS52" s="47"/>
      <c r="FT52" s="47"/>
      <c r="FU52" s="47"/>
      <c r="FV52" s="47"/>
      <c r="FW52" s="47"/>
      <c r="FX52" s="47"/>
      <c r="FY52" s="47"/>
      <c r="FZ52" s="47"/>
      <c r="GA52" s="47"/>
      <c r="GB52" s="47"/>
      <c r="GC52" s="47"/>
      <c r="GD52" s="47"/>
      <c r="GE52" s="47"/>
      <c r="GF52" s="47"/>
      <c r="GG52" s="47"/>
      <c r="GH52" s="47"/>
      <c r="GI52" s="47"/>
      <c r="GJ52" s="47"/>
      <c r="GK52" s="47"/>
      <c r="GL52" s="47"/>
      <c r="GM52" s="47"/>
      <c r="GN52" s="47"/>
      <c r="GO52" s="47"/>
      <c r="GP52" s="47"/>
      <c r="GQ52" s="47"/>
      <c r="GR52" s="47"/>
      <c r="GS52" s="47"/>
      <c r="GT52" s="47"/>
      <c r="GU52" s="47"/>
      <c r="GV52" s="47"/>
      <c r="GW52" s="47"/>
      <c r="GX52" s="47"/>
      <c r="GY52" s="47"/>
      <c r="GZ52" s="47"/>
      <c r="HA52" s="47"/>
      <c r="HB52" s="47"/>
      <c r="HC52" s="47"/>
      <c r="HD52" s="47"/>
      <c r="HE52" s="47"/>
      <c r="HF52" s="47"/>
      <c r="HG52" s="47"/>
      <c r="HH52" s="47"/>
      <c r="HI52" s="47"/>
      <c r="HJ52" s="47"/>
      <c r="HK52" s="47"/>
      <c r="HL52" s="47"/>
      <c r="HM52" s="47"/>
      <c r="HN52" s="47"/>
      <c r="HO52" s="47"/>
      <c r="HP52" s="47"/>
      <c r="HQ52" s="47"/>
      <c r="HR52" s="47"/>
      <c r="HS52" s="47"/>
      <c r="HT52" s="47"/>
      <c r="HU52" s="47"/>
      <c r="HV52" s="47"/>
      <c r="HW52" s="47"/>
      <c r="HX52" s="47"/>
      <c r="HY52" s="47"/>
      <c r="HZ52" s="47"/>
      <c r="IA52" s="47"/>
      <c r="IB52" s="47"/>
      <c r="IC52" s="47"/>
      <c r="ID52" s="47"/>
      <c r="IE52" s="47"/>
      <c r="IF52" s="47"/>
      <c r="IG52" s="47"/>
      <c r="IH52" s="47"/>
      <c r="II52" s="47"/>
      <c r="IJ52" s="47"/>
      <c r="IK52" s="47"/>
      <c r="IL52" s="47"/>
      <c r="IM52" s="47"/>
      <c r="IN52" s="47"/>
      <c r="IO52" s="47"/>
      <c r="IP52" s="47"/>
      <c r="IQ52" s="47"/>
      <c r="IR52" s="47"/>
      <c r="IS52" s="47"/>
      <c r="IT52" s="47"/>
      <c r="IU52" s="47"/>
      <c r="IV52" s="47"/>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F52" s="63">
        <v>1.7999999999999999E-2</v>
      </c>
      <c r="NG52" s="64">
        <v>153077.03607447009</v>
      </c>
      <c r="NH52" s="13">
        <v>0.255</v>
      </c>
      <c r="NI52" s="1">
        <f>Combine!A54</f>
        <v>49505</v>
      </c>
      <c r="NJ52" s="14">
        <f>Combine!F54</f>
        <v>244776.11357790601</v>
      </c>
    </row>
    <row r="53" spans="1:374" ht="12.75" customHeight="1" x14ac:dyDescent="0.3">
      <c r="A53" s="59"/>
      <c r="D53" s="61"/>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c r="CT53" s="47"/>
      <c r="CU53" s="47"/>
      <c r="CV53" s="47"/>
      <c r="CW53" s="47"/>
      <c r="CX53" s="47"/>
      <c r="CY53" s="47"/>
      <c r="CZ53" s="47"/>
      <c r="DA53" s="47"/>
      <c r="DB53" s="47"/>
      <c r="DC53" s="47"/>
      <c r="DD53" s="47"/>
      <c r="DE53" s="47"/>
      <c r="DF53" s="47"/>
      <c r="DG53" s="47"/>
      <c r="DH53" s="47"/>
      <c r="DI53" s="47"/>
      <c r="DJ53" s="47"/>
      <c r="DK53" s="47"/>
      <c r="DL53" s="47"/>
      <c r="DM53" s="47"/>
      <c r="DN53" s="47"/>
      <c r="DO53" s="47"/>
      <c r="DP53" s="47"/>
      <c r="DQ53" s="47"/>
      <c r="DR53" s="47"/>
      <c r="DS53" s="47"/>
      <c r="DT53" s="47"/>
      <c r="DU53" s="47"/>
      <c r="DV53" s="47"/>
      <c r="DW53" s="47"/>
      <c r="DX53" s="47"/>
      <c r="DY53" s="47"/>
      <c r="DZ53" s="47"/>
      <c r="EA53" s="47"/>
      <c r="EB53" s="47"/>
      <c r="EC53" s="47"/>
      <c r="ED53" s="47"/>
      <c r="EE53" s="47"/>
      <c r="EF53" s="47"/>
      <c r="EG53" s="47"/>
      <c r="EH53" s="47"/>
      <c r="EI53" s="47"/>
      <c r="EJ53" s="47"/>
      <c r="EK53" s="47"/>
      <c r="EL53" s="47"/>
      <c r="EM53" s="47"/>
      <c r="EN53" s="47"/>
      <c r="EO53" s="47"/>
      <c r="EP53" s="47"/>
      <c r="EQ53" s="47"/>
      <c r="ER53" s="47"/>
      <c r="ES53" s="47"/>
      <c r="ET53" s="47"/>
      <c r="EU53" s="47"/>
      <c r="EV53" s="47"/>
      <c r="EW53" s="47"/>
      <c r="EX53" s="47"/>
      <c r="EY53" s="47"/>
      <c r="EZ53" s="47"/>
      <c r="FA53" s="47"/>
      <c r="FB53" s="47"/>
      <c r="FC53" s="47"/>
      <c r="FD53" s="47"/>
      <c r="FE53" s="47"/>
      <c r="FF53" s="47"/>
      <c r="FG53" s="47"/>
      <c r="FH53" s="47"/>
      <c r="FI53" s="47"/>
      <c r="FJ53" s="47"/>
      <c r="FK53" s="47"/>
      <c r="FL53" s="47"/>
      <c r="FM53" s="47"/>
      <c r="FN53" s="47"/>
      <c r="FO53" s="47"/>
      <c r="FP53" s="47"/>
      <c r="FQ53" s="47"/>
      <c r="FR53" s="47"/>
      <c r="FS53" s="47"/>
      <c r="FT53" s="47"/>
      <c r="FU53" s="47"/>
      <c r="FV53" s="47"/>
      <c r="FW53" s="47"/>
      <c r="FX53" s="47"/>
      <c r="FY53" s="47"/>
      <c r="FZ53" s="47"/>
      <c r="GA53" s="47"/>
      <c r="GB53" s="47"/>
      <c r="GC53" s="47"/>
      <c r="GD53" s="47"/>
      <c r="GE53" s="47"/>
      <c r="GF53" s="47"/>
      <c r="GG53" s="47"/>
      <c r="GH53" s="47"/>
      <c r="GI53" s="47"/>
      <c r="GJ53" s="47"/>
      <c r="GK53" s="47"/>
      <c r="GL53" s="47"/>
      <c r="GM53" s="47"/>
      <c r="GN53" s="47"/>
      <c r="GO53" s="47"/>
      <c r="GP53" s="47"/>
      <c r="GQ53" s="47"/>
      <c r="GR53" s="47"/>
      <c r="GS53" s="47"/>
      <c r="GT53" s="47"/>
      <c r="GU53" s="47"/>
      <c r="GV53" s="47"/>
      <c r="GW53" s="47"/>
      <c r="GX53" s="47"/>
      <c r="GY53" s="47"/>
      <c r="GZ53" s="47"/>
      <c r="HA53" s="47"/>
      <c r="HB53" s="47"/>
      <c r="HC53" s="47"/>
      <c r="HD53" s="47"/>
      <c r="HE53" s="47"/>
      <c r="HF53" s="47"/>
      <c r="HG53" s="47"/>
      <c r="HH53" s="47"/>
      <c r="HI53" s="47"/>
      <c r="HJ53" s="47"/>
      <c r="HK53" s="47"/>
      <c r="HL53" s="47"/>
      <c r="HM53" s="47"/>
      <c r="HN53" s="47"/>
      <c r="HO53" s="47"/>
      <c r="HP53" s="47"/>
      <c r="HQ53" s="47"/>
      <c r="HR53" s="47"/>
      <c r="HS53" s="47"/>
      <c r="HT53" s="47"/>
      <c r="HU53" s="47"/>
      <c r="HV53" s="47"/>
      <c r="HW53" s="47"/>
      <c r="HX53" s="47"/>
      <c r="HY53" s="47"/>
      <c r="HZ53" s="47"/>
      <c r="IA53" s="47"/>
      <c r="IB53" s="47"/>
      <c r="IC53" s="47"/>
      <c r="ID53" s="47"/>
      <c r="IE53" s="47"/>
      <c r="IF53" s="47"/>
      <c r="IG53" s="47"/>
      <c r="IH53" s="47"/>
      <c r="II53" s="47"/>
      <c r="IJ53" s="47"/>
      <c r="IK53" s="47"/>
      <c r="IL53" s="47"/>
      <c r="IM53" s="47"/>
      <c r="IN53" s="47"/>
      <c r="IO53" s="47"/>
      <c r="IP53" s="47"/>
      <c r="IQ53" s="47"/>
      <c r="IR53" s="47"/>
      <c r="IS53" s="47"/>
      <c r="IT53" s="47"/>
      <c r="IU53" s="47"/>
      <c r="IV53" s="47"/>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F53" s="63">
        <v>1.9E-2</v>
      </c>
      <c r="NG53" s="64">
        <v>149871.24064059896</v>
      </c>
      <c r="NH53" s="13">
        <v>0.26</v>
      </c>
      <c r="NI53" s="1">
        <f>Combine!A55</f>
        <v>48021</v>
      </c>
      <c r="NJ53" s="14">
        <f>Combine!F55</f>
        <v>135179.47792579199</v>
      </c>
    </row>
    <row r="54" spans="1:374" ht="12.75" customHeight="1" x14ac:dyDescent="0.3">
      <c r="A54" s="59"/>
      <c r="D54" s="61"/>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c r="CT54" s="47"/>
      <c r="CU54" s="47"/>
      <c r="CV54" s="47"/>
      <c r="CW54" s="47"/>
      <c r="CX54" s="47"/>
      <c r="CY54" s="47"/>
      <c r="CZ54" s="47"/>
      <c r="DA54" s="47"/>
      <c r="DB54" s="47"/>
      <c r="DC54" s="47"/>
      <c r="DD54" s="47"/>
      <c r="DE54" s="47"/>
      <c r="DF54" s="47"/>
      <c r="DG54" s="47"/>
      <c r="DH54" s="47"/>
      <c r="DI54" s="47"/>
      <c r="DJ54" s="47"/>
      <c r="DK54" s="47"/>
      <c r="DL54" s="47"/>
      <c r="DM54" s="47"/>
      <c r="DN54" s="47"/>
      <c r="DO54" s="47"/>
      <c r="DP54" s="47"/>
      <c r="DQ54" s="47"/>
      <c r="DR54" s="47"/>
      <c r="DS54" s="47"/>
      <c r="DT54" s="47"/>
      <c r="DU54" s="47"/>
      <c r="DV54" s="47"/>
      <c r="DW54" s="47"/>
      <c r="DX54" s="47"/>
      <c r="DY54" s="47"/>
      <c r="DZ54" s="47"/>
      <c r="EA54" s="47"/>
      <c r="EB54" s="47"/>
      <c r="EC54" s="47"/>
      <c r="ED54" s="47"/>
      <c r="EE54" s="47"/>
      <c r="EF54" s="47"/>
      <c r="EG54" s="47"/>
      <c r="EH54" s="47"/>
      <c r="EI54" s="47"/>
      <c r="EJ54" s="47"/>
      <c r="EK54" s="47"/>
      <c r="EL54" s="47"/>
      <c r="EM54" s="47"/>
      <c r="EN54" s="47"/>
      <c r="EO54" s="47"/>
      <c r="EP54" s="47"/>
      <c r="EQ54" s="47"/>
      <c r="ER54" s="47"/>
      <c r="ES54" s="47"/>
      <c r="ET54" s="47"/>
      <c r="EU54" s="47"/>
      <c r="EV54" s="47"/>
      <c r="EW54" s="47"/>
      <c r="EX54" s="47"/>
      <c r="EY54" s="47"/>
      <c r="EZ54" s="47"/>
      <c r="FA54" s="47"/>
      <c r="FB54" s="47"/>
      <c r="FC54" s="47"/>
      <c r="FD54" s="47"/>
      <c r="FE54" s="47"/>
      <c r="FF54" s="47"/>
      <c r="FG54" s="47"/>
      <c r="FH54" s="47"/>
      <c r="FI54" s="47"/>
      <c r="FJ54" s="47"/>
      <c r="FK54" s="47"/>
      <c r="FL54" s="47"/>
      <c r="FM54" s="47"/>
      <c r="FN54" s="47"/>
      <c r="FO54" s="47"/>
      <c r="FP54" s="47"/>
      <c r="FQ54" s="47"/>
      <c r="FR54" s="47"/>
      <c r="FS54" s="47"/>
      <c r="FT54" s="47"/>
      <c r="FU54" s="47"/>
      <c r="FV54" s="47"/>
      <c r="FW54" s="47"/>
      <c r="FX54" s="47"/>
      <c r="FY54" s="47"/>
      <c r="FZ54" s="47"/>
      <c r="GA54" s="47"/>
      <c r="GB54" s="47"/>
      <c r="GC54" s="47"/>
      <c r="GD54" s="47"/>
      <c r="GE54" s="47"/>
      <c r="GF54" s="47"/>
      <c r="GG54" s="47"/>
      <c r="GH54" s="47"/>
      <c r="GI54" s="47"/>
      <c r="GJ54" s="47"/>
      <c r="GK54" s="47"/>
      <c r="GL54" s="47"/>
      <c r="GM54" s="47"/>
      <c r="GN54" s="47"/>
      <c r="GO54" s="47"/>
      <c r="GP54" s="47"/>
      <c r="GQ54" s="47"/>
      <c r="GR54" s="47"/>
      <c r="GS54" s="47"/>
      <c r="GT54" s="47"/>
      <c r="GU54" s="47"/>
      <c r="GV54" s="47"/>
      <c r="GW54" s="47"/>
      <c r="GX54" s="47"/>
      <c r="GY54" s="47"/>
      <c r="GZ54" s="47"/>
      <c r="HA54" s="47"/>
      <c r="HB54" s="47"/>
      <c r="HC54" s="47"/>
      <c r="HD54" s="47"/>
      <c r="HE54" s="47"/>
      <c r="HF54" s="47"/>
      <c r="HG54" s="47"/>
      <c r="HH54" s="47"/>
      <c r="HI54" s="47"/>
      <c r="HJ54" s="47"/>
      <c r="HK54" s="47"/>
      <c r="HL54" s="47"/>
      <c r="HM54" s="47"/>
      <c r="HN54" s="47"/>
      <c r="HO54" s="47"/>
      <c r="HP54" s="47"/>
      <c r="HQ54" s="47"/>
      <c r="HR54" s="47"/>
      <c r="HS54" s="47"/>
      <c r="HT54" s="47"/>
      <c r="HU54" s="47"/>
      <c r="HV54" s="47"/>
      <c r="HW54" s="47"/>
      <c r="HX54" s="47"/>
      <c r="HY54" s="47"/>
      <c r="HZ54" s="47"/>
      <c r="IA54" s="47"/>
      <c r="IB54" s="47"/>
      <c r="IC54" s="47"/>
      <c r="ID54" s="47"/>
      <c r="IE54" s="47"/>
      <c r="IF54" s="47"/>
      <c r="IG54" s="47"/>
      <c r="IH54" s="47"/>
      <c r="II54" s="47"/>
      <c r="IJ54" s="47"/>
      <c r="IK54" s="47"/>
      <c r="IL54" s="47"/>
      <c r="IM54" s="47"/>
      <c r="IN54" s="47"/>
      <c r="IO54" s="47"/>
      <c r="IP54" s="47"/>
      <c r="IQ54" s="47"/>
      <c r="IR54" s="47"/>
      <c r="IS54" s="47"/>
      <c r="IT54" s="47"/>
      <c r="IU54" s="47"/>
      <c r="IV54" s="47"/>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F54" s="63">
        <v>0.02</v>
      </c>
      <c r="NG54" s="64">
        <v>146650.29809744441</v>
      </c>
      <c r="NH54" s="13">
        <v>0.26500000000000001</v>
      </c>
      <c r="NI54" s="1">
        <f>Combine!A56</f>
        <v>48322</v>
      </c>
      <c r="NJ54" s="14">
        <f>Combine!F56</f>
        <v>408090.75359510398</v>
      </c>
    </row>
    <row r="55" spans="1:374" ht="12.75" customHeight="1" x14ac:dyDescent="0.3">
      <c r="A55" s="59"/>
      <c r="D55" s="61"/>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c r="CT55" s="47"/>
      <c r="CU55" s="47"/>
      <c r="CV55" s="47"/>
      <c r="CW55" s="47"/>
      <c r="CX55" s="47"/>
      <c r="CY55" s="47"/>
      <c r="CZ55" s="47"/>
      <c r="DA55" s="47"/>
      <c r="DB55" s="47"/>
      <c r="DC55" s="47"/>
      <c r="DD55" s="47"/>
      <c r="DE55" s="47"/>
      <c r="DF55" s="47"/>
      <c r="DG55" s="47"/>
      <c r="DH55" s="47"/>
      <c r="DI55" s="47"/>
      <c r="DJ55" s="47"/>
      <c r="DK55" s="47"/>
      <c r="DL55" s="47"/>
      <c r="DM55" s="47"/>
      <c r="DN55" s="47"/>
      <c r="DO55" s="47"/>
      <c r="DP55" s="47"/>
      <c r="DQ55" s="47"/>
      <c r="DR55" s="47"/>
      <c r="DS55" s="47"/>
      <c r="DT55" s="47"/>
      <c r="DU55" s="47"/>
      <c r="DV55" s="47"/>
      <c r="DW55" s="47"/>
      <c r="DX55" s="47"/>
      <c r="DY55" s="47"/>
      <c r="DZ55" s="47"/>
      <c r="EA55" s="47"/>
      <c r="EB55" s="47"/>
      <c r="EC55" s="47"/>
      <c r="ED55" s="47"/>
      <c r="EE55" s="47"/>
      <c r="EF55" s="47"/>
      <c r="EG55" s="47"/>
      <c r="EH55" s="47"/>
      <c r="EI55" s="47"/>
      <c r="EJ55" s="47"/>
      <c r="EK55" s="47"/>
      <c r="EL55" s="47"/>
      <c r="EM55" s="47"/>
      <c r="EN55" s="47"/>
      <c r="EO55" s="47"/>
      <c r="EP55" s="47"/>
      <c r="EQ55" s="47"/>
      <c r="ER55" s="47"/>
      <c r="ES55" s="47"/>
      <c r="ET55" s="47"/>
      <c r="EU55" s="47"/>
      <c r="EV55" s="47"/>
      <c r="EW55" s="47"/>
      <c r="EX55" s="47"/>
      <c r="EY55" s="47"/>
      <c r="EZ55" s="47"/>
      <c r="FA55" s="47"/>
      <c r="FB55" s="47"/>
      <c r="FC55" s="47"/>
      <c r="FD55" s="47"/>
      <c r="FE55" s="47"/>
      <c r="FF55" s="47"/>
      <c r="FG55" s="47"/>
      <c r="FH55" s="47"/>
      <c r="FI55" s="47"/>
      <c r="FJ55" s="47"/>
      <c r="FK55" s="47"/>
      <c r="FL55" s="47"/>
      <c r="FM55" s="47"/>
      <c r="FN55" s="47"/>
      <c r="FO55" s="47"/>
      <c r="FP55" s="47"/>
      <c r="FQ55" s="47"/>
      <c r="FR55" s="47"/>
      <c r="FS55" s="47"/>
      <c r="FT55" s="47"/>
      <c r="FU55" s="47"/>
      <c r="FV55" s="47"/>
      <c r="FW55" s="47"/>
      <c r="FX55" s="47"/>
      <c r="FY55" s="47"/>
      <c r="FZ55" s="47"/>
      <c r="GA55" s="47"/>
      <c r="GB55" s="47"/>
      <c r="GC55" s="47"/>
      <c r="GD55" s="47"/>
      <c r="GE55" s="47"/>
      <c r="GF55" s="47"/>
      <c r="GG55" s="47"/>
      <c r="GH55" s="47"/>
      <c r="GI55" s="47"/>
      <c r="GJ55" s="47"/>
      <c r="GK55" s="47"/>
      <c r="GL55" s="47"/>
      <c r="GM55" s="47"/>
      <c r="GN55" s="47"/>
      <c r="GO55" s="47"/>
      <c r="GP55" s="47"/>
      <c r="GQ55" s="47"/>
      <c r="GR55" s="47"/>
      <c r="GS55" s="47"/>
      <c r="GT55" s="47"/>
      <c r="GU55" s="47"/>
      <c r="GV55" s="47"/>
      <c r="GW55" s="47"/>
      <c r="GX55" s="47"/>
      <c r="GY55" s="47"/>
      <c r="GZ55" s="47"/>
      <c r="HA55" s="47"/>
      <c r="HB55" s="47"/>
      <c r="HC55" s="47"/>
      <c r="HD55" s="47"/>
      <c r="HE55" s="47"/>
      <c r="HF55" s="47"/>
      <c r="HG55" s="47"/>
      <c r="HH55" s="47"/>
      <c r="HI55" s="47"/>
      <c r="HJ55" s="47"/>
      <c r="HK55" s="47"/>
      <c r="HL55" s="47"/>
      <c r="HM55" s="47"/>
      <c r="HN55" s="47"/>
      <c r="HO55" s="47"/>
      <c r="HP55" s="47"/>
      <c r="HQ55" s="47"/>
      <c r="HR55" s="47"/>
      <c r="HS55" s="47"/>
      <c r="HT55" s="47"/>
      <c r="HU55" s="47"/>
      <c r="HV55" s="47"/>
      <c r="HW55" s="47"/>
      <c r="HX55" s="47"/>
      <c r="HY55" s="47"/>
      <c r="HZ55" s="47"/>
      <c r="IA55" s="47"/>
      <c r="IB55" s="47"/>
      <c r="IC55" s="47"/>
      <c r="ID55" s="47"/>
      <c r="IE55" s="47"/>
      <c r="IF55" s="47"/>
      <c r="IG55" s="47"/>
      <c r="IH55" s="47"/>
      <c r="II55" s="47"/>
      <c r="IJ55" s="47"/>
      <c r="IK55" s="47"/>
      <c r="IL55" s="47"/>
      <c r="IM55" s="47"/>
      <c r="IN55" s="47"/>
      <c r="IO55" s="47"/>
      <c r="IP55" s="47"/>
      <c r="IQ55" s="47"/>
      <c r="IR55" s="47"/>
      <c r="IS55" s="47"/>
      <c r="IT55" s="47"/>
      <c r="IU55" s="47"/>
      <c r="IV55" s="47"/>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F55" s="63">
        <v>2.1000000000000001E-2</v>
      </c>
      <c r="NG55" s="64">
        <v>143414.34192267954</v>
      </c>
      <c r="NH55" s="13">
        <v>0.27</v>
      </c>
      <c r="NI55" s="1">
        <f>Combine!A57</f>
        <v>48917</v>
      </c>
      <c r="NJ55" s="14">
        <f>Combine!F57</f>
        <v>219360.441567412</v>
      </c>
    </row>
    <row r="56" spans="1:374" ht="12.75" customHeight="1" x14ac:dyDescent="0.3">
      <c r="A56" s="59"/>
      <c r="D56" s="61"/>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c r="CT56" s="47"/>
      <c r="CU56" s="47"/>
      <c r="CV56" s="47"/>
      <c r="CW56" s="47"/>
      <c r="CX56" s="47"/>
      <c r="CY56" s="47"/>
      <c r="CZ56" s="47"/>
      <c r="DA56" s="47"/>
      <c r="DB56" s="47"/>
      <c r="DC56" s="47"/>
      <c r="DD56" s="47"/>
      <c r="DE56" s="47"/>
      <c r="DF56" s="47"/>
      <c r="DG56" s="47"/>
      <c r="DH56" s="47"/>
      <c r="DI56" s="47"/>
      <c r="DJ56" s="47"/>
      <c r="DK56" s="47"/>
      <c r="DL56" s="47"/>
      <c r="DM56" s="47"/>
      <c r="DN56" s="47"/>
      <c r="DO56" s="47"/>
      <c r="DP56" s="47"/>
      <c r="DQ56" s="47"/>
      <c r="DR56" s="47"/>
      <c r="DS56" s="47"/>
      <c r="DT56" s="47"/>
      <c r="DU56" s="47"/>
      <c r="DV56" s="47"/>
      <c r="DW56" s="47"/>
      <c r="DX56" s="47"/>
      <c r="DY56" s="47"/>
      <c r="DZ56" s="47"/>
      <c r="EA56" s="47"/>
      <c r="EB56" s="47"/>
      <c r="EC56" s="47"/>
      <c r="ED56" s="47"/>
      <c r="EE56" s="47"/>
      <c r="EF56" s="47"/>
      <c r="EG56" s="47"/>
      <c r="EH56" s="47"/>
      <c r="EI56" s="47"/>
      <c r="EJ56" s="47"/>
      <c r="EK56" s="47"/>
      <c r="EL56" s="47"/>
      <c r="EM56" s="47"/>
      <c r="EN56" s="47"/>
      <c r="EO56" s="47"/>
      <c r="EP56" s="47"/>
      <c r="EQ56" s="47"/>
      <c r="ER56" s="47"/>
      <c r="ES56" s="47"/>
      <c r="ET56" s="47"/>
      <c r="EU56" s="47"/>
      <c r="EV56" s="47"/>
      <c r="EW56" s="47"/>
      <c r="EX56" s="47"/>
      <c r="EY56" s="47"/>
      <c r="EZ56" s="47"/>
      <c r="FA56" s="47"/>
      <c r="FB56" s="47"/>
      <c r="FC56" s="47"/>
      <c r="FD56" s="47"/>
      <c r="FE56" s="47"/>
      <c r="FF56" s="47"/>
      <c r="FG56" s="47"/>
      <c r="FH56" s="47"/>
      <c r="FI56" s="47"/>
      <c r="FJ56" s="47"/>
      <c r="FK56" s="47"/>
      <c r="FL56" s="47"/>
      <c r="FM56" s="47"/>
      <c r="FN56" s="47"/>
      <c r="FO56" s="47"/>
      <c r="FP56" s="47"/>
      <c r="FQ56" s="47"/>
      <c r="FR56" s="47"/>
      <c r="FS56" s="47"/>
      <c r="FT56" s="47"/>
      <c r="FU56" s="47"/>
      <c r="FV56" s="47"/>
      <c r="FW56" s="47"/>
      <c r="FX56" s="47"/>
      <c r="FY56" s="47"/>
      <c r="FZ56" s="47"/>
      <c r="GA56" s="47"/>
      <c r="GB56" s="47"/>
      <c r="GC56" s="47"/>
      <c r="GD56" s="47"/>
      <c r="GE56" s="47"/>
      <c r="GF56" s="47"/>
      <c r="GG56" s="47"/>
      <c r="GH56" s="47"/>
      <c r="GI56" s="47"/>
      <c r="GJ56" s="47"/>
      <c r="GK56" s="47"/>
      <c r="GL56" s="47"/>
      <c r="GM56" s="47"/>
      <c r="GN56" s="47"/>
      <c r="GO56" s="47"/>
      <c r="GP56" s="47"/>
      <c r="GQ56" s="47"/>
      <c r="GR56" s="47"/>
      <c r="GS56" s="47"/>
      <c r="GT56" s="47"/>
      <c r="GU56" s="47"/>
      <c r="GV56" s="47"/>
      <c r="GW56" s="47"/>
      <c r="GX56" s="47"/>
      <c r="GY56" s="47"/>
      <c r="GZ56" s="47"/>
      <c r="HA56" s="47"/>
      <c r="HB56" s="47"/>
      <c r="HC56" s="47"/>
      <c r="HD56" s="47"/>
      <c r="HE56" s="47"/>
      <c r="HF56" s="47"/>
      <c r="HG56" s="47"/>
      <c r="HH56" s="47"/>
      <c r="HI56" s="47"/>
      <c r="HJ56" s="47"/>
      <c r="HK56" s="47"/>
      <c r="HL56" s="47"/>
      <c r="HM56" s="47"/>
      <c r="HN56" s="47"/>
      <c r="HO56" s="47"/>
      <c r="HP56" s="47"/>
      <c r="HQ56" s="47"/>
      <c r="HR56" s="47"/>
      <c r="HS56" s="47"/>
      <c r="HT56" s="47"/>
      <c r="HU56" s="47"/>
      <c r="HV56" s="47"/>
      <c r="HW56" s="47"/>
      <c r="HX56" s="47"/>
      <c r="HY56" s="47"/>
      <c r="HZ56" s="47"/>
      <c r="IA56" s="47"/>
      <c r="IB56" s="47"/>
      <c r="IC56" s="47"/>
      <c r="ID56" s="47"/>
      <c r="IE56" s="47"/>
      <c r="IF56" s="47"/>
      <c r="IG56" s="47"/>
      <c r="IH56" s="47"/>
      <c r="II56" s="47"/>
      <c r="IJ56" s="47"/>
      <c r="IK56" s="47"/>
      <c r="IL56" s="47"/>
      <c r="IM56" s="47"/>
      <c r="IN56" s="47"/>
      <c r="IO56" s="47"/>
      <c r="IP56" s="47"/>
      <c r="IQ56" s="47"/>
      <c r="IR56" s="47"/>
      <c r="IS56" s="47"/>
      <c r="IT56" s="47"/>
      <c r="IU56" s="47"/>
      <c r="IV56" s="47"/>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F56" s="63">
        <v>2.1999999999999999E-2</v>
      </c>
      <c r="NG56" s="64">
        <v>140163.5072597134</v>
      </c>
      <c r="NH56" s="13">
        <v>0.27500000000000002</v>
      </c>
      <c r="NI56" s="1">
        <f>Combine!A58</f>
        <v>49417</v>
      </c>
      <c r="NJ56" s="14">
        <f>Combine!F58</f>
        <v>336219.11613828299</v>
      </c>
    </row>
    <row r="57" spans="1:374" ht="12.75" customHeight="1" x14ac:dyDescent="0.3">
      <c r="A57" s="59"/>
      <c r="D57" s="61"/>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c r="CT57" s="47"/>
      <c r="CU57" s="47"/>
      <c r="CV57" s="47"/>
      <c r="CW57" s="47"/>
      <c r="CX57" s="47"/>
      <c r="CY57" s="47"/>
      <c r="CZ57" s="47"/>
      <c r="DA57" s="47"/>
      <c r="DB57" s="47"/>
      <c r="DC57" s="47"/>
      <c r="DD57" s="47"/>
      <c r="DE57" s="47"/>
      <c r="DF57" s="47"/>
      <c r="DG57" s="47"/>
      <c r="DH57" s="47"/>
      <c r="DI57" s="47"/>
      <c r="DJ57" s="47"/>
      <c r="DK57" s="47"/>
      <c r="DL57" s="47"/>
      <c r="DM57" s="47"/>
      <c r="DN57" s="47"/>
      <c r="DO57" s="47"/>
      <c r="DP57" s="47"/>
      <c r="DQ57" s="47"/>
      <c r="DR57" s="47"/>
      <c r="DS57" s="47"/>
      <c r="DT57" s="47"/>
      <c r="DU57" s="47"/>
      <c r="DV57" s="47"/>
      <c r="DW57" s="47"/>
      <c r="DX57" s="47"/>
      <c r="DY57" s="47"/>
      <c r="DZ57" s="47"/>
      <c r="EA57" s="47"/>
      <c r="EB57" s="47"/>
      <c r="EC57" s="47"/>
      <c r="ED57" s="47"/>
      <c r="EE57" s="47"/>
      <c r="EF57" s="47"/>
      <c r="EG57" s="47"/>
      <c r="EH57" s="47"/>
      <c r="EI57" s="47"/>
      <c r="EJ57" s="47"/>
      <c r="EK57" s="47"/>
      <c r="EL57" s="47"/>
      <c r="EM57" s="47"/>
      <c r="EN57" s="47"/>
      <c r="EO57" s="47"/>
      <c r="EP57" s="47"/>
      <c r="EQ57" s="47"/>
      <c r="ER57" s="47"/>
      <c r="ES57" s="47"/>
      <c r="ET57" s="47"/>
      <c r="EU57" s="47"/>
      <c r="EV57" s="47"/>
      <c r="EW57" s="47"/>
      <c r="EX57" s="47"/>
      <c r="EY57" s="47"/>
      <c r="EZ57" s="47"/>
      <c r="FA57" s="47"/>
      <c r="FB57" s="47"/>
      <c r="FC57" s="47"/>
      <c r="FD57" s="47"/>
      <c r="FE57" s="47"/>
      <c r="FF57" s="47"/>
      <c r="FG57" s="47"/>
      <c r="FH57" s="47"/>
      <c r="FI57" s="47"/>
      <c r="FJ57" s="47"/>
      <c r="FK57" s="47"/>
      <c r="FL57" s="47"/>
      <c r="FM57" s="47"/>
      <c r="FN57" s="47"/>
      <c r="FO57" s="47"/>
      <c r="FP57" s="47"/>
      <c r="FQ57" s="47"/>
      <c r="FR57" s="47"/>
      <c r="FS57" s="47"/>
      <c r="FT57" s="47"/>
      <c r="FU57" s="47"/>
      <c r="FV57" s="47"/>
      <c r="FW57" s="47"/>
      <c r="FX57" s="47"/>
      <c r="FY57" s="47"/>
      <c r="FZ57" s="47"/>
      <c r="GA57" s="47"/>
      <c r="GB57" s="47"/>
      <c r="GC57" s="47"/>
      <c r="GD57" s="47"/>
      <c r="GE57" s="47"/>
      <c r="GF57" s="47"/>
      <c r="GG57" s="47"/>
      <c r="GH57" s="47"/>
      <c r="GI57" s="47"/>
      <c r="GJ57" s="47"/>
      <c r="GK57" s="47"/>
      <c r="GL57" s="47"/>
      <c r="GM57" s="47"/>
      <c r="GN57" s="47"/>
      <c r="GO57" s="47"/>
      <c r="GP57" s="47"/>
      <c r="GQ57" s="47"/>
      <c r="GR57" s="47"/>
      <c r="GS57" s="47"/>
      <c r="GT57" s="47"/>
      <c r="GU57" s="47"/>
      <c r="GV57" s="47"/>
      <c r="GW57" s="47"/>
      <c r="GX57" s="47"/>
      <c r="GY57" s="47"/>
      <c r="GZ57" s="47"/>
      <c r="HA57" s="47"/>
      <c r="HB57" s="47"/>
      <c r="HC57" s="47"/>
      <c r="HD57" s="47"/>
      <c r="HE57" s="47"/>
      <c r="HF57" s="47"/>
      <c r="HG57" s="47"/>
      <c r="HH57" s="47"/>
      <c r="HI57" s="47"/>
      <c r="HJ57" s="47"/>
      <c r="HK57" s="47"/>
      <c r="HL57" s="47"/>
      <c r="HM57" s="47"/>
      <c r="HN57" s="47"/>
      <c r="HO57" s="47"/>
      <c r="HP57" s="47"/>
      <c r="HQ57" s="47"/>
      <c r="HR57" s="47"/>
      <c r="HS57" s="47"/>
      <c r="HT57" s="47"/>
      <c r="HU57" s="47"/>
      <c r="HV57" s="47"/>
      <c r="HW57" s="47"/>
      <c r="HX57" s="47"/>
      <c r="HY57" s="47"/>
      <c r="HZ57" s="47"/>
      <c r="IA57" s="47"/>
      <c r="IB57" s="47"/>
      <c r="IC57" s="47"/>
      <c r="ID57" s="47"/>
      <c r="IE57" s="47"/>
      <c r="IF57" s="47"/>
      <c r="IG57" s="47"/>
      <c r="IH57" s="47"/>
      <c r="II57" s="47"/>
      <c r="IJ57" s="47"/>
      <c r="IK57" s="47"/>
      <c r="IL57" s="47"/>
      <c r="IM57" s="47"/>
      <c r="IN57" s="47"/>
      <c r="IO57" s="47"/>
      <c r="IP57" s="47"/>
      <c r="IQ57" s="47"/>
      <c r="IR57" s="47"/>
      <c r="IS57" s="47"/>
      <c r="IT57" s="47"/>
      <c r="IU57" s="47"/>
      <c r="IV57" s="47"/>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F57" s="63">
        <v>2.3E-2</v>
      </c>
      <c r="NG57" s="64">
        <v>136897.93085401278</v>
      </c>
      <c r="NH57" s="13">
        <v>0.28000000000000003</v>
      </c>
      <c r="NI57" s="1">
        <f>Combine!A59</f>
        <v>48089</v>
      </c>
      <c r="NJ57" s="14">
        <f>Combine!F59</f>
        <v>106507.706871546</v>
      </c>
    </row>
    <row r="58" spans="1:374" ht="12.75" customHeight="1" x14ac:dyDescent="0.3">
      <c r="A58" s="59"/>
      <c r="D58" s="61"/>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7"/>
      <c r="DF58" s="47"/>
      <c r="DG58" s="47"/>
      <c r="DH58" s="47"/>
      <c r="DI58" s="47"/>
      <c r="DJ58" s="47"/>
      <c r="DK58" s="47"/>
      <c r="DL58" s="47"/>
      <c r="DM58" s="47"/>
      <c r="DN58" s="47"/>
      <c r="DO58" s="47"/>
      <c r="DP58" s="47"/>
      <c r="DQ58" s="47"/>
      <c r="DR58" s="47"/>
      <c r="DS58" s="47"/>
      <c r="DT58" s="47"/>
      <c r="DU58" s="47"/>
      <c r="DV58" s="47"/>
      <c r="DW58" s="47"/>
      <c r="DX58" s="47"/>
      <c r="DY58" s="47"/>
      <c r="DZ58" s="47"/>
      <c r="EA58" s="47"/>
      <c r="EB58" s="47"/>
      <c r="EC58" s="47"/>
      <c r="ED58" s="47"/>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c r="FO58" s="47"/>
      <c r="FP58" s="47"/>
      <c r="FQ58" s="47"/>
      <c r="FR58" s="47"/>
      <c r="FS58" s="47"/>
      <c r="FT58" s="47"/>
      <c r="FU58" s="47"/>
      <c r="FV58" s="47"/>
      <c r="FW58" s="47"/>
      <c r="FX58" s="47"/>
      <c r="FY58" s="47"/>
      <c r="FZ58" s="47"/>
      <c r="GA58" s="47"/>
      <c r="GB58" s="47"/>
      <c r="GC58" s="47"/>
      <c r="GD58" s="47"/>
      <c r="GE58" s="47"/>
      <c r="GF58" s="47"/>
      <c r="GG58" s="47"/>
      <c r="GH58" s="47"/>
      <c r="GI58" s="47"/>
      <c r="GJ58" s="47"/>
      <c r="GK58" s="47"/>
      <c r="GL58" s="47"/>
      <c r="GM58" s="47"/>
      <c r="GN58" s="47"/>
      <c r="GO58" s="47"/>
      <c r="GP58" s="47"/>
      <c r="GQ58" s="47"/>
      <c r="GR58" s="47"/>
      <c r="GS58" s="47"/>
      <c r="GT58" s="47"/>
      <c r="GU58" s="47"/>
      <c r="GV58" s="47"/>
      <c r="GW58" s="47"/>
      <c r="GX58" s="47"/>
      <c r="GY58" s="47"/>
      <c r="GZ58" s="47"/>
      <c r="HA58" s="47"/>
      <c r="HB58" s="47"/>
      <c r="HC58" s="47"/>
      <c r="HD58" s="47"/>
      <c r="HE58" s="47"/>
      <c r="HF58" s="47"/>
      <c r="HG58" s="47"/>
      <c r="HH58" s="47"/>
      <c r="HI58" s="47"/>
      <c r="HJ58" s="47"/>
      <c r="HK58" s="47"/>
      <c r="HL58" s="47"/>
      <c r="HM58" s="47"/>
      <c r="HN58" s="47"/>
      <c r="HO58" s="47"/>
      <c r="HP58" s="47"/>
      <c r="HQ58" s="47"/>
      <c r="HR58" s="47"/>
      <c r="HS58" s="47"/>
      <c r="HT58" s="47"/>
      <c r="HU58" s="47"/>
      <c r="HV58" s="47"/>
      <c r="HW58" s="47"/>
      <c r="HX58" s="47"/>
      <c r="HY58" s="47"/>
      <c r="HZ58" s="47"/>
      <c r="IA58" s="47"/>
      <c r="IB58" s="47"/>
      <c r="IC58" s="47"/>
      <c r="ID58" s="47"/>
      <c r="IE58" s="47"/>
      <c r="IF58" s="47"/>
      <c r="IG58" s="47"/>
      <c r="IH58" s="47"/>
      <c r="II58" s="47"/>
      <c r="IJ58" s="47"/>
      <c r="IK58" s="47"/>
      <c r="IL58" s="47"/>
      <c r="IM58" s="47"/>
      <c r="IN58" s="47"/>
      <c r="IO58" s="47"/>
      <c r="IP58" s="47"/>
      <c r="IQ58" s="47"/>
      <c r="IR58" s="47"/>
      <c r="IS58" s="47"/>
      <c r="IT58" s="47"/>
      <c r="IU58" s="47"/>
      <c r="IV58" s="47"/>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F58" s="63">
        <v>2.4E-2</v>
      </c>
      <c r="NG58" s="64">
        <v>133617.75098888509</v>
      </c>
      <c r="NH58" s="13">
        <v>0.28499999999999998</v>
      </c>
      <c r="NI58" s="1">
        <f>Combine!A60</f>
        <v>48642</v>
      </c>
      <c r="NJ58" s="14">
        <f>Combine!F60</f>
        <v>203348.645656067</v>
      </c>
    </row>
    <row r="59" spans="1:374" ht="12.75" customHeight="1" x14ac:dyDescent="0.3">
      <c r="A59" s="59"/>
      <c r="D59" s="61"/>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c r="CT59" s="47"/>
      <c r="CU59" s="47"/>
      <c r="CV59" s="47"/>
      <c r="CW59" s="47"/>
      <c r="CX59" s="47"/>
      <c r="CY59" s="47"/>
      <c r="CZ59" s="47"/>
      <c r="DA59" s="47"/>
      <c r="DB59" s="47"/>
      <c r="DC59" s="47"/>
      <c r="DD59" s="47"/>
      <c r="DE59" s="47"/>
      <c r="DF59" s="47"/>
      <c r="DG59" s="47"/>
      <c r="DH59" s="47"/>
      <c r="DI59" s="47"/>
      <c r="DJ59" s="47"/>
      <c r="DK59" s="47"/>
      <c r="DL59" s="47"/>
      <c r="DM59" s="47"/>
      <c r="DN59" s="47"/>
      <c r="DO59" s="47"/>
      <c r="DP59" s="47"/>
      <c r="DQ59" s="47"/>
      <c r="DR59" s="47"/>
      <c r="DS59" s="47"/>
      <c r="DT59" s="47"/>
      <c r="DU59" s="47"/>
      <c r="DV59" s="47"/>
      <c r="DW59" s="47"/>
      <c r="DX59" s="47"/>
      <c r="DY59" s="47"/>
      <c r="DZ59" s="47"/>
      <c r="EA59" s="47"/>
      <c r="EB59" s="47"/>
      <c r="EC59" s="47"/>
      <c r="ED59" s="47"/>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c r="FO59" s="47"/>
      <c r="FP59" s="47"/>
      <c r="FQ59" s="47"/>
      <c r="FR59" s="47"/>
      <c r="FS59" s="47"/>
      <c r="FT59" s="47"/>
      <c r="FU59" s="47"/>
      <c r="FV59" s="47"/>
      <c r="FW59" s="47"/>
      <c r="FX59" s="47"/>
      <c r="FY59" s="47"/>
      <c r="FZ59" s="47"/>
      <c r="GA59" s="47"/>
      <c r="GB59" s="47"/>
      <c r="GC59" s="47"/>
      <c r="GD59" s="47"/>
      <c r="GE59" s="47"/>
      <c r="GF59" s="47"/>
      <c r="GG59" s="47"/>
      <c r="GH59" s="47"/>
      <c r="GI59" s="47"/>
      <c r="GJ59" s="47"/>
      <c r="GK59" s="47"/>
      <c r="GL59" s="47"/>
      <c r="GM59" s="47"/>
      <c r="GN59" s="47"/>
      <c r="GO59" s="47"/>
      <c r="GP59" s="47"/>
      <c r="GQ59" s="47"/>
      <c r="GR59" s="47"/>
      <c r="GS59" s="47"/>
      <c r="GT59" s="47"/>
      <c r="GU59" s="47"/>
      <c r="GV59" s="47"/>
      <c r="GW59" s="47"/>
      <c r="GX59" s="47"/>
      <c r="GY59" s="47"/>
      <c r="GZ59" s="47"/>
      <c r="HA59" s="47"/>
      <c r="HB59" s="47"/>
      <c r="HC59" s="47"/>
      <c r="HD59" s="47"/>
      <c r="HE59" s="47"/>
      <c r="HF59" s="47"/>
      <c r="HG59" s="47"/>
      <c r="HH59" s="47"/>
      <c r="HI59" s="47"/>
      <c r="HJ59" s="47"/>
      <c r="HK59" s="47"/>
      <c r="HL59" s="47"/>
      <c r="HM59" s="47"/>
      <c r="HN59" s="47"/>
      <c r="HO59" s="47"/>
      <c r="HP59" s="47"/>
      <c r="HQ59" s="47"/>
      <c r="HR59" s="47"/>
      <c r="HS59" s="47"/>
      <c r="HT59" s="47"/>
      <c r="HU59" s="47"/>
      <c r="HV59" s="47"/>
      <c r="HW59" s="47"/>
      <c r="HX59" s="47"/>
      <c r="HY59" s="47"/>
      <c r="HZ59" s="47"/>
      <c r="IA59" s="47"/>
      <c r="IB59" s="47"/>
      <c r="IC59" s="47"/>
      <c r="ID59" s="47"/>
      <c r="IE59" s="47"/>
      <c r="IF59" s="47"/>
      <c r="IG59" s="47"/>
      <c r="IH59" s="47"/>
      <c r="II59" s="47"/>
      <c r="IJ59" s="47"/>
      <c r="IK59" s="47"/>
      <c r="IL59" s="47"/>
      <c r="IM59" s="47"/>
      <c r="IN59" s="47"/>
      <c r="IO59" s="47"/>
      <c r="IP59" s="47"/>
      <c r="IQ59" s="47"/>
      <c r="IR59" s="47"/>
      <c r="IS59" s="47"/>
      <c r="IT59" s="47"/>
      <c r="IU59" s="47"/>
      <c r="IV59" s="47"/>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F59" s="63">
        <v>2.5000000000000001E-2</v>
      </c>
      <c r="NG59" s="64">
        <v>130323.10742077271</v>
      </c>
      <c r="NH59" s="13">
        <v>0.28999999999999998</v>
      </c>
      <c r="NI59" s="1">
        <f>Combine!A61</f>
        <v>48507</v>
      </c>
      <c r="NJ59" s="14">
        <f>Combine!F61</f>
        <v>84955.440533019093</v>
      </c>
    </row>
    <row r="60" spans="1:374" ht="12.75" customHeight="1" x14ac:dyDescent="0.3">
      <c r="A60" s="59"/>
      <c r="D60" s="61"/>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c r="CT60" s="47"/>
      <c r="CU60" s="47"/>
      <c r="CV60" s="47"/>
      <c r="CW60" s="47"/>
      <c r="CX60" s="47"/>
      <c r="CY60" s="47"/>
      <c r="CZ60" s="47"/>
      <c r="DA60" s="47"/>
      <c r="DB60" s="47"/>
      <c r="DC60" s="47"/>
      <c r="DD60" s="47"/>
      <c r="DE60" s="47"/>
      <c r="DF60" s="47"/>
      <c r="DG60" s="47"/>
      <c r="DH60" s="47"/>
      <c r="DI60" s="47"/>
      <c r="DJ60" s="47"/>
      <c r="DK60" s="47"/>
      <c r="DL60" s="47"/>
      <c r="DM60" s="47"/>
      <c r="DN60" s="47"/>
      <c r="DO60" s="47"/>
      <c r="DP60" s="47"/>
      <c r="DQ60" s="47"/>
      <c r="DR60" s="47"/>
      <c r="DS60" s="47"/>
      <c r="DT60" s="47"/>
      <c r="DU60" s="47"/>
      <c r="DV60" s="47"/>
      <c r="DW60" s="47"/>
      <c r="DX60" s="47"/>
      <c r="DY60" s="47"/>
      <c r="DZ60" s="47"/>
      <c r="EA60" s="47"/>
      <c r="EB60" s="47"/>
      <c r="EC60" s="47"/>
      <c r="ED60" s="47"/>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c r="FO60" s="47"/>
      <c r="FP60" s="47"/>
      <c r="FQ60" s="47"/>
      <c r="FR60" s="47"/>
      <c r="FS60" s="47"/>
      <c r="FT60" s="47"/>
      <c r="FU60" s="47"/>
      <c r="FV60" s="47"/>
      <c r="FW60" s="47"/>
      <c r="FX60" s="47"/>
      <c r="FY60" s="47"/>
      <c r="FZ60" s="47"/>
      <c r="GA60" s="47"/>
      <c r="GB60" s="47"/>
      <c r="GC60" s="47"/>
      <c r="GD60" s="47"/>
      <c r="GE60" s="47"/>
      <c r="GF60" s="47"/>
      <c r="GG60" s="47"/>
      <c r="GH60" s="47"/>
      <c r="GI60" s="47"/>
      <c r="GJ60" s="47"/>
      <c r="GK60" s="47"/>
      <c r="GL60" s="47"/>
      <c r="GM60" s="47"/>
      <c r="GN60" s="47"/>
      <c r="GO60" s="47"/>
      <c r="GP60" s="47"/>
      <c r="GQ60" s="47"/>
      <c r="GR60" s="47"/>
      <c r="GS60" s="47"/>
      <c r="GT60" s="47"/>
      <c r="GU60" s="47"/>
      <c r="GV60" s="47"/>
      <c r="GW60" s="47"/>
      <c r="GX60" s="47"/>
      <c r="GY60" s="47"/>
      <c r="GZ60" s="47"/>
      <c r="HA60" s="47"/>
      <c r="HB60" s="47"/>
      <c r="HC60" s="47"/>
      <c r="HD60" s="47"/>
      <c r="HE60" s="47"/>
      <c r="HF60" s="47"/>
      <c r="HG60" s="47"/>
      <c r="HH60" s="47"/>
      <c r="HI60" s="47"/>
      <c r="HJ60" s="47"/>
      <c r="HK60" s="47"/>
      <c r="HL60" s="47"/>
      <c r="HM60" s="47"/>
      <c r="HN60" s="47"/>
      <c r="HO60" s="47"/>
      <c r="HP60" s="47"/>
      <c r="HQ60" s="47"/>
      <c r="HR60" s="47"/>
      <c r="HS60" s="47"/>
      <c r="HT60" s="47"/>
      <c r="HU60" s="47"/>
      <c r="HV60" s="47"/>
      <c r="HW60" s="47"/>
      <c r="HX60" s="47"/>
      <c r="HY60" s="47"/>
      <c r="HZ60" s="47"/>
      <c r="IA60" s="47"/>
      <c r="IB60" s="47"/>
      <c r="IC60" s="47"/>
      <c r="ID60" s="47"/>
      <c r="IE60" s="47"/>
      <c r="IF60" s="47"/>
      <c r="IG60" s="47"/>
      <c r="IH60" s="47"/>
      <c r="II60" s="47"/>
      <c r="IJ60" s="47"/>
      <c r="IK60" s="47"/>
      <c r="IL60" s="47"/>
      <c r="IM60" s="47"/>
      <c r="IN60" s="47"/>
      <c r="IO60" s="47"/>
      <c r="IP60" s="47"/>
      <c r="IQ60" s="47"/>
      <c r="IR60" s="47"/>
      <c r="IS60" s="47"/>
      <c r="IT60" s="47"/>
      <c r="IU60" s="47"/>
      <c r="IV60" s="47"/>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F60" s="63">
        <v>2.5999999999999999E-2</v>
      </c>
      <c r="NG60" s="64">
        <v>127014.14131412515</v>
      </c>
      <c r="NH60" s="13">
        <v>0.29499999999999998</v>
      </c>
      <c r="NI60" s="1">
        <f>Combine!A62</f>
        <v>48071</v>
      </c>
      <c r="NJ60" s="14">
        <f>Combine!F62</f>
        <v>191742.55999785301</v>
      </c>
    </row>
    <row r="61" spans="1:374" ht="12.75" customHeight="1" x14ac:dyDescent="0.3">
      <c r="A61" s="59"/>
      <c r="D61" s="61"/>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c r="CT61" s="47"/>
      <c r="CU61" s="47"/>
      <c r="CV61" s="47"/>
      <c r="CW61" s="47"/>
      <c r="CX61" s="47"/>
      <c r="CY61" s="47"/>
      <c r="CZ61" s="47"/>
      <c r="DA61" s="47"/>
      <c r="DB61" s="47"/>
      <c r="DC61" s="47"/>
      <c r="DD61" s="47"/>
      <c r="DE61" s="47"/>
      <c r="DF61" s="47"/>
      <c r="DG61" s="47"/>
      <c r="DH61" s="47"/>
      <c r="DI61" s="47"/>
      <c r="DJ61" s="47"/>
      <c r="DK61" s="47"/>
      <c r="DL61" s="47"/>
      <c r="DM61" s="47"/>
      <c r="DN61" s="47"/>
      <c r="DO61" s="47"/>
      <c r="DP61" s="47"/>
      <c r="DQ61" s="47"/>
      <c r="DR61" s="47"/>
      <c r="DS61" s="47"/>
      <c r="DT61" s="47"/>
      <c r="DU61" s="47"/>
      <c r="DV61" s="47"/>
      <c r="DW61" s="47"/>
      <c r="DX61" s="47"/>
      <c r="DY61" s="47"/>
      <c r="DZ61" s="47"/>
      <c r="EA61" s="47"/>
      <c r="EB61" s="47"/>
      <c r="EC61" s="47"/>
      <c r="ED61" s="47"/>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c r="FO61" s="47"/>
      <c r="FP61" s="47"/>
      <c r="FQ61" s="47"/>
      <c r="FR61" s="47"/>
      <c r="FS61" s="47"/>
      <c r="FT61" s="47"/>
      <c r="FU61" s="47"/>
      <c r="FV61" s="47"/>
      <c r="FW61" s="47"/>
      <c r="FX61" s="47"/>
      <c r="FY61" s="47"/>
      <c r="FZ61" s="47"/>
      <c r="GA61" s="47"/>
      <c r="GB61" s="47"/>
      <c r="GC61" s="47"/>
      <c r="GD61" s="47"/>
      <c r="GE61" s="47"/>
      <c r="GF61" s="47"/>
      <c r="GG61" s="47"/>
      <c r="GH61" s="47"/>
      <c r="GI61" s="47"/>
      <c r="GJ61" s="47"/>
      <c r="GK61" s="47"/>
      <c r="GL61" s="47"/>
      <c r="GM61" s="47"/>
      <c r="GN61" s="47"/>
      <c r="GO61" s="47"/>
      <c r="GP61" s="47"/>
      <c r="GQ61" s="47"/>
      <c r="GR61" s="47"/>
      <c r="GS61" s="47"/>
      <c r="GT61" s="47"/>
      <c r="GU61" s="47"/>
      <c r="GV61" s="47"/>
      <c r="GW61" s="47"/>
      <c r="GX61" s="47"/>
      <c r="GY61" s="47"/>
      <c r="GZ61" s="47"/>
      <c r="HA61" s="47"/>
      <c r="HB61" s="47"/>
      <c r="HC61" s="47"/>
      <c r="HD61" s="47"/>
      <c r="HE61" s="47"/>
      <c r="HF61" s="47"/>
      <c r="HG61" s="47"/>
      <c r="HH61" s="47"/>
      <c r="HI61" s="47"/>
      <c r="HJ61" s="47"/>
      <c r="HK61" s="47"/>
      <c r="HL61" s="47"/>
      <c r="HM61" s="47"/>
      <c r="HN61" s="47"/>
      <c r="HO61" s="47"/>
      <c r="HP61" s="47"/>
      <c r="HQ61" s="47"/>
      <c r="HR61" s="47"/>
      <c r="HS61" s="47"/>
      <c r="HT61" s="47"/>
      <c r="HU61" s="47"/>
      <c r="HV61" s="47"/>
      <c r="HW61" s="47"/>
      <c r="HX61" s="47"/>
      <c r="HY61" s="47"/>
      <c r="HZ61" s="47"/>
      <c r="IA61" s="47"/>
      <c r="IB61" s="47"/>
      <c r="IC61" s="47"/>
      <c r="ID61" s="47"/>
      <c r="IE61" s="47"/>
      <c r="IF61" s="47"/>
      <c r="IG61" s="47"/>
      <c r="IH61" s="47"/>
      <c r="II61" s="47"/>
      <c r="IJ61" s="47"/>
      <c r="IK61" s="47"/>
      <c r="IL61" s="47"/>
      <c r="IM61" s="47"/>
      <c r="IN61" s="47"/>
      <c r="IO61" s="47"/>
      <c r="IP61" s="47"/>
      <c r="IQ61" s="47"/>
      <c r="IR61" s="47"/>
      <c r="IS61" s="47"/>
      <c r="IT61" s="47"/>
      <c r="IU61" s="47"/>
      <c r="IV61" s="47"/>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F61" s="63">
        <v>2.7E-2</v>
      </c>
      <c r="NG61" s="64">
        <v>123690.99517591046</v>
      </c>
      <c r="NH61" s="13">
        <v>0.3</v>
      </c>
      <c r="NI61" s="1">
        <f>Combine!A63</f>
        <v>48091</v>
      </c>
      <c r="NJ61" s="14">
        <f>Combine!F63</f>
        <v>137685.38007520299</v>
      </c>
    </row>
    <row r="62" spans="1:374" ht="12.75" customHeight="1" x14ac:dyDescent="0.3">
      <c r="A62" s="59"/>
      <c r="D62" s="61"/>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c r="CT62" s="47"/>
      <c r="CU62" s="47"/>
      <c r="CV62" s="47"/>
      <c r="CW62" s="47"/>
      <c r="CX62" s="47"/>
      <c r="CY62" s="47"/>
      <c r="CZ62" s="47"/>
      <c r="DA62" s="47"/>
      <c r="DB62" s="47"/>
      <c r="DC62" s="47"/>
      <c r="DD62" s="47"/>
      <c r="DE62" s="47"/>
      <c r="DF62" s="47"/>
      <c r="DG62" s="47"/>
      <c r="DH62" s="47"/>
      <c r="DI62" s="47"/>
      <c r="DJ62" s="47"/>
      <c r="DK62" s="47"/>
      <c r="DL62" s="47"/>
      <c r="DM62" s="47"/>
      <c r="DN62" s="47"/>
      <c r="DO62" s="47"/>
      <c r="DP62" s="47"/>
      <c r="DQ62" s="47"/>
      <c r="DR62" s="47"/>
      <c r="DS62" s="47"/>
      <c r="DT62" s="47"/>
      <c r="DU62" s="47"/>
      <c r="DV62" s="47"/>
      <c r="DW62" s="47"/>
      <c r="DX62" s="47"/>
      <c r="DY62" s="47"/>
      <c r="DZ62" s="47"/>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c r="FO62" s="47"/>
      <c r="FP62" s="47"/>
      <c r="FQ62" s="47"/>
      <c r="FR62" s="47"/>
      <c r="FS62" s="47"/>
      <c r="FT62" s="47"/>
      <c r="FU62" s="47"/>
      <c r="FV62" s="47"/>
      <c r="FW62" s="47"/>
      <c r="FX62" s="47"/>
      <c r="FY62" s="47"/>
      <c r="FZ62" s="47"/>
      <c r="GA62" s="47"/>
      <c r="GB62" s="47"/>
      <c r="GC62" s="47"/>
      <c r="GD62" s="47"/>
      <c r="GE62" s="47"/>
      <c r="GF62" s="47"/>
      <c r="GG62" s="47"/>
      <c r="GH62" s="47"/>
      <c r="GI62" s="47"/>
      <c r="GJ62" s="47"/>
      <c r="GK62" s="47"/>
      <c r="GL62" s="47"/>
      <c r="GM62" s="47"/>
      <c r="GN62" s="47"/>
      <c r="GO62" s="47"/>
      <c r="GP62" s="47"/>
      <c r="GQ62" s="47"/>
      <c r="GR62" s="47"/>
      <c r="GS62" s="47"/>
      <c r="GT62" s="47"/>
      <c r="GU62" s="47"/>
      <c r="GV62" s="47"/>
      <c r="GW62" s="47"/>
      <c r="GX62" s="47"/>
      <c r="GY62" s="47"/>
      <c r="GZ62" s="47"/>
      <c r="HA62" s="47"/>
      <c r="HB62" s="47"/>
      <c r="HC62" s="47"/>
      <c r="HD62" s="47"/>
      <c r="HE62" s="47"/>
      <c r="HF62" s="47"/>
      <c r="HG62" s="47"/>
      <c r="HH62" s="47"/>
      <c r="HI62" s="47"/>
      <c r="HJ62" s="47"/>
      <c r="HK62" s="47"/>
      <c r="HL62" s="47"/>
      <c r="HM62" s="47"/>
      <c r="HN62" s="47"/>
      <c r="HO62" s="47"/>
      <c r="HP62" s="47"/>
      <c r="HQ62" s="47"/>
      <c r="HR62" s="47"/>
      <c r="HS62" s="47"/>
      <c r="HT62" s="47"/>
      <c r="HU62" s="47"/>
      <c r="HV62" s="47"/>
      <c r="HW62" s="47"/>
      <c r="HX62" s="47"/>
      <c r="HY62" s="47"/>
      <c r="HZ62" s="47"/>
      <c r="IA62" s="47"/>
      <c r="IB62" s="47"/>
      <c r="IC62" s="47"/>
      <c r="ID62" s="47"/>
      <c r="IE62" s="47"/>
      <c r="IF62" s="47"/>
      <c r="IG62" s="47"/>
      <c r="IH62" s="47"/>
      <c r="II62" s="47"/>
      <c r="IJ62" s="47"/>
      <c r="IK62" s="47"/>
      <c r="IL62" s="47"/>
      <c r="IM62" s="47"/>
      <c r="IN62" s="47"/>
      <c r="IO62" s="47"/>
      <c r="IP62" s="47"/>
      <c r="IQ62" s="47"/>
      <c r="IR62" s="47"/>
      <c r="IS62" s="47"/>
      <c r="IT62" s="47"/>
      <c r="IU62" s="47"/>
      <c r="IV62" s="47"/>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F62" s="63">
        <v>2.8000000000000001E-2</v>
      </c>
      <c r="NG62" s="64">
        <v>120353.81278983595</v>
      </c>
      <c r="NH62" s="13">
        <v>0.30499999999999999</v>
      </c>
      <c r="NI62" s="1">
        <f>Combine!A64</f>
        <v>49525</v>
      </c>
      <c r="NJ62" s="14">
        <f>Combine!F64</f>
        <v>303273.83023073402</v>
      </c>
    </row>
    <row r="63" spans="1:374" ht="12.75" customHeight="1" x14ac:dyDescent="0.3">
      <c r="A63" s="59"/>
      <c r="D63" s="61"/>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c r="CT63" s="47"/>
      <c r="CU63" s="47"/>
      <c r="CV63" s="47"/>
      <c r="CW63" s="47"/>
      <c r="CX63" s="47"/>
      <c r="CY63" s="47"/>
      <c r="CZ63" s="47"/>
      <c r="DA63" s="47"/>
      <c r="DB63" s="47"/>
      <c r="DC63" s="47"/>
      <c r="DD63" s="47"/>
      <c r="DE63" s="47"/>
      <c r="DF63" s="47"/>
      <c r="DG63" s="47"/>
      <c r="DH63" s="47"/>
      <c r="DI63" s="47"/>
      <c r="DJ63" s="47"/>
      <c r="DK63" s="47"/>
      <c r="DL63" s="47"/>
      <c r="DM63" s="47"/>
      <c r="DN63" s="47"/>
      <c r="DO63" s="47"/>
      <c r="DP63" s="47"/>
      <c r="DQ63" s="47"/>
      <c r="DR63" s="47"/>
      <c r="DS63" s="47"/>
      <c r="DT63" s="47"/>
      <c r="DU63" s="47"/>
      <c r="DV63" s="47"/>
      <c r="DW63" s="47"/>
      <c r="DX63" s="47"/>
      <c r="DY63" s="47"/>
      <c r="DZ63" s="47"/>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c r="FO63" s="47"/>
      <c r="FP63" s="47"/>
      <c r="FQ63" s="47"/>
      <c r="FR63" s="47"/>
      <c r="FS63" s="47"/>
      <c r="FT63" s="47"/>
      <c r="FU63" s="47"/>
      <c r="FV63" s="47"/>
      <c r="FW63" s="47"/>
      <c r="FX63" s="47"/>
      <c r="FY63" s="47"/>
      <c r="FZ63" s="47"/>
      <c r="GA63" s="47"/>
      <c r="GB63" s="47"/>
      <c r="GC63" s="47"/>
      <c r="GD63" s="47"/>
      <c r="GE63" s="47"/>
      <c r="GF63" s="47"/>
      <c r="GG63" s="47"/>
      <c r="GH63" s="47"/>
      <c r="GI63" s="47"/>
      <c r="GJ63" s="47"/>
      <c r="GK63" s="47"/>
      <c r="GL63" s="47"/>
      <c r="GM63" s="47"/>
      <c r="GN63" s="47"/>
      <c r="GO63" s="47"/>
      <c r="GP63" s="47"/>
      <c r="GQ63" s="47"/>
      <c r="GR63" s="47"/>
      <c r="GS63" s="47"/>
      <c r="GT63" s="47"/>
      <c r="GU63" s="47"/>
      <c r="GV63" s="47"/>
      <c r="GW63" s="47"/>
      <c r="GX63" s="47"/>
      <c r="GY63" s="47"/>
      <c r="GZ63" s="47"/>
      <c r="HA63" s="47"/>
      <c r="HB63" s="47"/>
      <c r="HC63" s="47"/>
      <c r="HD63" s="47"/>
      <c r="HE63" s="47"/>
      <c r="HF63" s="47"/>
      <c r="HG63" s="47"/>
      <c r="HH63" s="47"/>
      <c r="HI63" s="47"/>
      <c r="HJ63" s="47"/>
      <c r="HK63" s="47"/>
      <c r="HL63" s="47"/>
      <c r="HM63" s="47"/>
      <c r="HN63" s="47"/>
      <c r="HO63" s="47"/>
      <c r="HP63" s="47"/>
      <c r="HQ63" s="47"/>
      <c r="HR63" s="47"/>
      <c r="HS63" s="47"/>
      <c r="HT63" s="47"/>
      <c r="HU63" s="47"/>
      <c r="HV63" s="47"/>
      <c r="HW63" s="47"/>
      <c r="HX63" s="47"/>
      <c r="HY63" s="47"/>
      <c r="HZ63" s="47"/>
      <c r="IA63" s="47"/>
      <c r="IB63" s="47"/>
      <c r="IC63" s="47"/>
      <c r="ID63" s="47"/>
      <c r="IE63" s="47"/>
      <c r="IF63" s="47"/>
      <c r="IG63" s="47"/>
      <c r="IH63" s="47"/>
      <c r="II63" s="47"/>
      <c r="IJ63" s="47"/>
      <c r="IK63" s="47"/>
      <c r="IL63" s="47"/>
      <c r="IM63" s="47"/>
      <c r="IN63" s="47"/>
      <c r="IO63" s="47"/>
      <c r="IP63" s="47"/>
      <c r="IQ63" s="47"/>
      <c r="IR63" s="47"/>
      <c r="IS63" s="47"/>
      <c r="IT63" s="47"/>
      <c r="IU63" s="47"/>
      <c r="IV63" s="47"/>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F63" s="63">
        <v>2.9000000000000001E-2</v>
      </c>
      <c r="NG63" s="64">
        <v>117002.73915033082</v>
      </c>
      <c r="NH63" s="13">
        <v>0.31</v>
      </c>
      <c r="NI63" s="1">
        <f>Combine!A65</f>
        <v>48237</v>
      </c>
      <c r="NJ63" s="14">
        <f>Combine!F65</f>
        <v>202075.19452045599</v>
      </c>
    </row>
    <row r="64" spans="1:374" ht="12.75" customHeight="1" x14ac:dyDescent="0.3">
      <c r="A64" s="59"/>
      <c r="D64" s="61"/>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c r="CT64" s="47"/>
      <c r="CU64" s="47"/>
      <c r="CV64" s="47"/>
      <c r="CW64" s="47"/>
      <c r="CX64" s="47"/>
      <c r="CY64" s="47"/>
      <c r="CZ64" s="47"/>
      <c r="DA64" s="47"/>
      <c r="DB64" s="47"/>
      <c r="DC64" s="47"/>
      <c r="DD64" s="47"/>
      <c r="DE64" s="47"/>
      <c r="DF64" s="47"/>
      <c r="DG64" s="47"/>
      <c r="DH64" s="47"/>
      <c r="DI64" s="47"/>
      <c r="DJ64" s="47"/>
      <c r="DK64" s="47"/>
      <c r="DL64" s="47"/>
      <c r="DM64" s="47"/>
      <c r="DN64" s="47"/>
      <c r="DO64" s="47"/>
      <c r="DP64" s="47"/>
      <c r="DQ64" s="47"/>
      <c r="DR64" s="47"/>
      <c r="DS64" s="47"/>
      <c r="DT64" s="47"/>
      <c r="DU64" s="47"/>
      <c r="DV64" s="47"/>
      <c r="DW64" s="47"/>
      <c r="DX64" s="47"/>
      <c r="DY64" s="47"/>
      <c r="DZ64" s="47"/>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c r="FO64" s="47"/>
      <c r="FP64" s="47"/>
      <c r="FQ64" s="47"/>
      <c r="FR64" s="47"/>
      <c r="FS64" s="47"/>
      <c r="FT64" s="47"/>
      <c r="FU64" s="47"/>
      <c r="FV64" s="47"/>
      <c r="FW64" s="47"/>
      <c r="FX64" s="47"/>
      <c r="FY64" s="47"/>
      <c r="FZ64" s="47"/>
      <c r="GA64" s="47"/>
      <c r="GB64" s="47"/>
      <c r="GC64" s="47"/>
      <c r="GD64" s="47"/>
      <c r="GE64" s="47"/>
      <c r="GF64" s="47"/>
      <c r="GG64" s="47"/>
      <c r="GH64" s="47"/>
      <c r="GI64" s="47"/>
      <c r="GJ64" s="47"/>
      <c r="GK64" s="47"/>
      <c r="GL64" s="47"/>
      <c r="GM64" s="47"/>
      <c r="GN64" s="47"/>
      <c r="GO64" s="47"/>
      <c r="GP64" s="47"/>
      <c r="GQ64" s="47"/>
      <c r="GR64" s="47"/>
      <c r="GS64" s="47"/>
      <c r="GT64" s="47"/>
      <c r="GU64" s="47"/>
      <c r="GV64" s="47"/>
      <c r="GW64" s="47"/>
      <c r="GX64" s="47"/>
      <c r="GY64" s="47"/>
      <c r="GZ64" s="47"/>
      <c r="HA64" s="47"/>
      <c r="HB64" s="47"/>
      <c r="HC64" s="47"/>
      <c r="HD64" s="47"/>
      <c r="HE64" s="47"/>
      <c r="HF64" s="47"/>
      <c r="HG64" s="47"/>
      <c r="HH64" s="47"/>
      <c r="HI64" s="47"/>
      <c r="HJ64" s="47"/>
      <c r="HK64" s="47"/>
      <c r="HL64" s="47"/>
      <c r="HM64" s="47"/>
      <c r="HN64" s="47"/>
      <c r="HO64" s="47"/>
      <c r="HP64" s="47"/>
      <c r="HQ64" s="47"/>
      <c r="HR64" s="47"/>
      <c r="HS64" s="47"/>
      <c r="HT64" s="47"/>
      <c r="HU64" s="47"/>
      <c r="HV64" s="47"/>
      <c r="HW64" s="47"/>
      <c r="HX64" s="47"/>
      <c r="HY64" s="47"/>
      <c r="HZ64" s="47"/>
      <c r="IA64" s="47"/>
      <c r="IB64" s="47"/>
      <c r="IC64" s="47"/>
      <c r="ID64" s="47"/>
      <c r="IE64" s="47"/>
      <c r="IF64" s="47"/>
      <c r="IG64" s="47"/>
      <c r="IH64" s="47"/>
      <c r="II64" s="47"/>
      <c r="IJ64" s="47"/>
      <c r="IK64" s="47"/>
      <c r="IL64" s="47"/>
      <c r="IM64" s="47"/>
      <c r="IN64" s="47"/>
      <c r="IO64" s="47"/>
      <c r="IP64" s="47"/>
      <c r="IQ64" s="47"/>
      <c r="IR64" s="47"/>
      <c r="IS64" s="47"/>
      <c r="IT64" s="47"/>
      <c r="IU64" s="47"/>
      <c r="IV64" s="47"/>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F64" s="63">
        <v>0.03</v>
      </c>
      <c r="NG64" s="64">
        <v>113637.92039635914</v>
      </c>
      <c r="NH64" s="13">
        <v>0.315</v>
      </c>
      <c r="NI64" s="1">
        <f>Combine!A66</f>
        <v>48195</v>
      </c>
      <c r="NJ64" s="14">
        <f>Combine!F66</f>
        <v>164230.14534908501</v>
      </c>
    </row>
    <row r="65" spans="1:374" ht="12.75" customHeight="1" x14ac:dyDescent="0.3">
      <c r="A65" s="59"/>
      <c r="D65" s="61"/>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c r="CT65" s="47"/>
      <c r="CU65" s="47"/>
      <c r="CV65" s="47"/>
      <c r="CW65" s="47"/>
      <c r="CX65" s="47"/>
      <c r="CY65" s="47"/>
      <c r="CZ65" s="47"/>
      <c r="DA65" s="47"/>
      <c r="DB65" s="47"/>
      <c r="DC65" s="47"/>
      <c r="DD65" s="47"/>
      <c r="DE65" s="47"/>
      <c r="DF65" s="47"/>
      <c r="DG65" s="47"/>
      <c r="DH65" s="47"/>
      <c r="DI65" s="47"/>
      <c r="DJ65" s="47"/>
      <c r="DK65" s="47"/>
      <c r="DL65" s="47"/>
      <c r="DM65" s="47"/>
      <c r="DN65" s="47"/>
      <c r="DO65" s="47"/>
      <c r="DP65" s="47"/>
      <c r="DQ65" s="47"/>
      <c r="DR65" s="47"/>
      <c r="DS65" s="47"/>
      <c r="DT65" s="47"/>
      <c r="DU65" s="47"/>
      <c r="DV65" s="47"/>
      <c r="DW65" s="47"/>
      <c r="DX65" s="47"/>
      <c r="DY65" s="47"/>
      <c r="DZ65" s="47"/>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c r="FO65" s="47"/>
      <c r="FP65" s="47"/>
      <c r="FQ65" s="47"/>
      <c r="FR65" s="47"/>
      <c r="FS65" s="47"/>
      <c r="FT65" s="47"/>
      <c r="FU65" s="47"/>
      <c r="FV65" s="47"/>
      <c r="FW65" s="47"/>
      <c r="FX65" s="47"/>
      <c r="FY65" s="47"/>
      <c r="FZ65" s="47"/>
      <c r="GA65" s="47"/>
      <c r="GB65" s="47"/>
      <c r="GC65" s="47"/>
      <c r="GD65" s="47"/>
      <c r="GE65" s="47"/>
      <c r="GF65" s="47"/>
      <c r="GG65" s="47"/>
      <c r="GH65" s="47"/>
      <c r="GI65" s="47"/>
      <c r="GJ65" s="47"/>
      <c r="GK65" s="47"/>
      <c r="GL65" s="47"/>
      <c r="GM65" s="47"/>
      <c r="GN65" s="47"/>
      <c r="GO65" s="47"/>
      <c r="GP65" s="47"/>
      <c r="GQ65" s="47"/>
      <c r="GR65" s="47"/>
      <c r="GS65" s="47"/>
      <c r="GT65" s="47"/>
      <c r="GU65" s="47"/>
      <c r="GV65" s="47"/>
      <c r="GW65" s="47"/>
      <c r="GX65" s="47"/>
      <c r="GY65" s="47"/>
      <c r="GZ65" s="47"/>
      <c r="HA65" s="47"/>
      <c r="HB65" s="47"/>
      <c r="HC65" s="47"/>
      <c r="HD65" s="47"/>
      <c r="HE65" s="47"/>
      <c r="HF65" s="47"/>
      <c r="HG65" s="47"/>
      <c r="HH65" s="47"/>
      <c r="HI65" s="47"/>
      <c r="HJ65" s="47"/>
      <c r="HK65" s="47"/>
      <c r="HL65" s="47"/>
      <c r="HM65" s="47"/>
      <c r="HN65" s="47"/>
      <c r="HO65" s="47"/>
      <c r="HP65" s="47"/>
      <c r="HQ65" s="47"/>
      <c r="HR65" s="47"/>
      <c r="HS65" s="47"/>
      <c r="HT65" s="47"/>
      <c r="HU65" s="47"/>
      <c r="HV65" s="47"/>
      <c r="HW65" s="47"/>
      <c r="HX65" s="47"/>
      <c r="HY65" s="47"/>
      <c r="HZ65" s="47"/>
      <c r="IA65" s="47"/>
      <c r="IB65" s="47"/>
      <c r="IC65" s="47"/>
      <c r="ID65" s="47"/>
      <c r="IE65" s="47"/>
      <c r="IF65" s="47"/>
      <c r="IG65" s="47"/>
      <c r="IH65" s="47"/>
      <c r="II65" s="47"/>
      <c r="IJ65" s="47"/>
      <c r="IK65" s="47"/>
      <c r="IL65" s="47"/>
      <c r="IM65" s="47"/>
      <c r="IN65" s="47"/>
      <c r="IO65" s="47"/>
      <c r="IP65" s="47"/>
      <c r="IQ65" s="47"/>
      <c r="IR65" s="47"/>
      <c r="IS65" s="47"/>
      <c r="IT65" s="47"/>
      <c r="IU65" s="47"/>
      <c r="IV65" s="47"/>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F65" s="63">
        <v>3.1E-2</v>
      </c>
      <c r="NG65" s="64">
        <v>110259.50374512629</v>
      </c>
      <c r="NH65" s="13">
        <v>0.32</v>
      </c>
      <c r="NI65" s="1">
        <f>Combine!A67</f>
        <v>48506</v>
      </c>
      <c r="NJ65" s="14">
        <f>Combine!F67</f>
        <v>57262.9306294138</v>
      </c>
    </row>
    <row r="66" spans="1:374" ht="12.75" customHeight="1" x14ac:dyDescent="0.3">
      <c r="A66" s="59"/>
      <c r="D66" s="61"/>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c r="CT66" s="47"/>
      <c r="CU66" s="47"/>
      <c r="CV66" s="47"/>
      <c r="CW66" s="47"/>
      <c r="CX66" s="47"/>
      <c r="CY66" s="47"/>
      <c r="CZ66" s="47"/>
      <c r="DA66" s="47"/>
      <c r="DB66" s="47"/>
      <c r="DC66" s="47"/>
      <c r="DD66" s="47"/>
      <c r="DE66" s="47"/>
      <c r="DF66" s="47"/>
      <c r="DG66" s="47"/>
      <c r="DH66" s="47"/>
      <c r="DI66" s="47"/>
      <c r="DJ66" s="47"/>
      <c r="DK66" s="47"/>
      <c r="DL66" s="47"/>
      <c r="DM66" s="47"/>
      <c r="DN66" s="47"/>
      <c r="DO66" s="47"/>
      <c r="DP66" s="47"/>
      <c r="DQ66" s="47"/>
      <c r="DR66" s="47"/>
      <c r="DS66" s="47"/>
      <c r="DT66" s="47"/>
      <c r="DU66" s="47"/>
      <c r="DV66" s="47"/>
      <c r="DW66" s="47"/>
      <c r="DX66" s="47"/>
      <c r="DY66" s="47"/>
      <c r="DZ66" s="47"/>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c r="FO66" s="47"/>
      <c r="FP66" s="47"/>
      <c r="FQ66" s="47"/>
      <c r="FR66" s="47"/>
      <c r="FS66" s="47"/>
      <c r="FT66" s="47"/>
      <c r="FU66" s="47"/>
      <c r="FV66" s="47"/>
      <c r="FW66" s="47"/>
      <c r="FX66" s="47"/>
      <c r="FY66" s="47"/>
      <c r="FZ66" s="47"/>
      <c r="GA66" s="47"/>
      <c r="GB66" s="47"/>
      <c r="GC66" s="47"/>
      <c r="GD66" s="47"/>
      <c r="GE66" s="47"/>
      <c r="GF66" s="47"/>
      <c r="GG66" s="47"/>
      <c r="GH66" s="47"/>
      <c r="GI66" s="47"/>
      <c r="GJ66" s="47"/>
      <c r="GK66" s="47"/>
      <c r="GL66" s="47"/>
      <c r="GM66" s="47"/>
      <c r="GN66" s="47"/>
      <c r="GO66" s="47"/>
      <c r="GP66" s="47"/>
      <c r="GQ66" s="47"/>
      <c r="GR66" s="47"/>
      <c r="GS66" s="47"/>
      <c r="GT66" s="47"/>
      <c r="GU66" s="47"/>
      <c r="GV66" s="47"/>
      <c r="GW66" s="47"/>
      <c r="GX66" s="47"/>
      <c r="GY66" s="47"/>
      <c r="GZ66" s="47"/>
      <c r="HA66" s="47"/>
      <c r="HB66" s="47"/>
      <c r="HC66" s="47"/>
      <c r="HD66" s="47"/>
      <c r="HE66" s="47"/>
      <c r="HF66" s="47"/>
      <c r="HG66" s="47"/>
      <c r="HH66" s="47"/>
      <c r="HI66" s="47"/>
      <c r="HJ66" s="47"/>
      <c r="HK66" s="47"/>
      <c r="HL66" s="47"/>
      <c r="HM66" s="47"/>
      <c r="HN66" s="47"/>
      <c r="HO66" s="47"/>
      <c r="HP66" s="47"/>
      <c r="HQ66" s="47"/>
      <c r="HR66" s="47"/>
      <c r="HS66" s="47"/>
      <c r="HT66" s="47"/>
      <c r="HU66" s="47"/>
      <c r="HV66" s="47"/>
      <c r="HW66" s="47"/>
      <c r="HX66" s="47"/>
      <c r="HY66" s="47"/>
      <c r="HZ66" s="47"/>
      <c r="IA66" s="47"/>
      <c r="IB66" s="47"/>
      <c r="IC66" s="47"/>
      <c r="ID66" s="47"/>
      <c r="IE66" s="47"/>
      <c r="IF66" s="47"/>
      <c r="IG66" s="47"/>
      <c r="IH66" s="47"/>
      <c r="II66" s="47"/>
      <c r="IJ66" s="47"/>
      <c r="IK66" s="47"/>
      <c r="IL66" s="47"/>
      <c r="IM66" s="47"/>
      <c r="IN66" s="47"/>
      <c r="IO66" s="47"/>
      <c r="IP66" s="47"/>
      <c r="IQ66" s="47"/>
      <c r="IR66" s="47"/>
      <c r="IS66" s="47"/>
      <c r="IT66" s="47"/>
      <c r="IU66" s="47"/>
      <c r="IV66" s="47"/>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F66" s="63">
        <v>3.2000000000000001E-2</v>
      </c>
      <c r="NG66" s="64">
        <v>106867.63742573257</v>
      </c>
      <c r="NH66" s="13">
        <v>0.32500000000000001</v>
      </c>
      <c r="NI66" s="1">
        <f>Combine!A68</f>
        <v>49024</v>
      </c>
      <c r="NJ66" s="14">
        <f>Combine!F68</f>
        <v>263585.14089259802</v>
      </c>
    </row>
    <row r="67" spans="1:374" ht="12.75" customHeight="1" x14ac:dyDescent="0.3">
      <c r="A67" s="59"/>
      <c r="D67" s="61"/>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c r="CT67" s="47"/>
      <c r="CU67" s="47"/>
      <c r="CV67" s="47"/>
      <c r="CW67" s="47"/>
      <c r="CX67" s="47"/>
      <c r="CY67" s="47"/>
      <c r="CZ67" s="47"/>
      <c r="DA67" s="47"/>
      <c r="DB67" s="47"/>
      <c r="DC67" s="47"/>
      <c r="DD67" s="47"/>
      <c r="DE67" s="47"/>
      <c r="DF67" s="47"/>
      <c r="DG67" s="47"/>
      <c r="DH67" s="47"/>
      <c r="DI67" s="47"/>
      <c r="DJ67" s="47"/>
      <c r="DK67" s="47"/>
      <c r="DL67" s="47"/>
      <c r="DM67" s="47"/>
      <c r="DN67" s="47"/>
      <c r="DO67" s="47"/>
      <c r="DP67" s="47"/>
      <c r="DQ67" s="47"/>
      <c r="DR67" s="47"/>
      <c r="DS67" s="47"/>
      <c r="DT67" s="47"/>
      <c r="DU67" s="47"/>
      <c r="DV67" s="47"/>
      <c r="DW67" s="47"/>
      <c r="DX67" s="47"/>
      <c r="DY67" s="47"/>
      <c r="DZ67" s="47"/>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c r="FO67" s="47"/>
      <c r="FP67" s="47"/>
      <c r="FQ67" s="47"/>
      <c r="FR67" s="47"/>
      <c r="FS67" s="47"/>
      <c r="FT67" s="47"/>
      <c r="FU67" s="47"/>
      <c r="FV67" s="47"/>
      <c r="FW67" s="47"/>
      <c r="FX67" s="47"/>
      <c r="FY67" s="47"/>
      <c r="FZ67" s="47"/>
      <c r="GA67" s="47"/>
      <c r="GB67" s="47"/>
      <c r="GC67" s="47"/>
      <c r="GD67" s="47"/>
      <c r="GE67" s="47"/>
      <c r="GF67" s="47"/>
      <c r="GG67" s="47"/>
      <c r="GH67" s="47"/>
      <c r="GI67" s="47"/>
      <c r="GJ67" s="47"/>
      <c r="GK67" s="47"/>
      <c r="GL67" s="47"/>
      <c r="GM67" s="47"/>
      <c r="GN67" s="47"/>
      <c r="GO67" s="47"/>
      <c r="GP67" s="47"/>
      <c r="GQ67" s="47"/>
      <c r="GR67" s="47"/>
      <c r="GS67" s="47"/>
      <c r="GT67" s="47"/>
      <c r="GU67" s="47"/>
      <c r="GV67" s="47"/>
      <c r="GW67" s="47"/>
      <c r="GX67" s="47"/>
      <c r="GY67" s="47"/>
      <c r="GZ67" s="47"/>
      <c r="HA67" s="47"/>
      <c r="HB67" s="47"/>
      <c r="HC67" s="47"/>
      <c r="HD67" s="47"/>
      <c r="HE67" s="47"/>
      <c r="HF67" s="47"/>
      <c r="HG67" s="47"/>
      <c r="HH67" s="47"/>
      <c r="HI67" s="47"/>
      <c r="HJ67" s="47"/>
      <c r="HK67" s="47"/>
      <c r="HL67" s="47"/>
      <c r="HM67" s="47"/>
      <c r="HN67" s="47"/>
      <c r="HO67" s="47"/>
      <c r="HP67" s="47"/>
      <c r="HQ67" s="47"/>
      <c r="HR67" s="47"/>
      <c r="HS67" s="47"/>
      <c r="HT67" s="47"/>
      <c r="HU67" s="47"/>
      <c r="HV67" s="47"/>
      <c r="HW67" s="47"/>
      <c r="HX67" s="47"/>
      <c r="HY67" s="47"/>
      <c r="HZ67" s="47"/>
      <c r="IA67" s="47"/>
      <c r="IB67" s="47"/>
      <c r="IC67" s="47"/>
      <c r="ID67" s="47"/>
      <c r="IE67" s="47"/>
      <c r="IF67" s="47"/>
      <c r="IG67" s="47"/>
      <c r="IH67" s="47"/>
      <c r="II67" s="47"/>
      <c r="IJ67" s="47"/>
      <c r="IK67" s="47"/>
      <c r="IL67" s="47"/>
      <c r="IM67" s="47"/>
      <c r="IN67" s="47"/>
      <c r="IO67" s="47"/>
      <c r="IP67" s="47"/>
      <c r="IQ67" s="47"/>
      <c r="IR67" s="47"/>
      <c r="IS67" s="47"/>
      <c r="IT67" s="47"/>
      <c r="IU67" s="47"/>
      <c r="IV67" s="47"/>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F67" s="63">
        <v>3.3000000000000002E-2</v>
      </c>
      <c r="NG67" s="64">
        <v>103462.47061284685</v>
      </c>
      <c r="NH67" s="13">
        <v>0.33</v>
      </c>
      <c r="NI67" s="1">
        <f>Combine!A69</f>
        <v>49519</v>
      </c>
      <c r="NJ67" s="14">
        <f>Combine!F69</f>
        <v>250438.83688627201</v>
      </c>
    </row>
    <row r="68" spans="1:374" ht="12.75" customHeight="1" x14ac:dyDescent="0.3">
      <c r="A68" s="59"/>
      <c r="D68" s="61"/>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c r="CT68" s="47"/>
      <c r="CU68" s="47"/>
      <c r="CV68" s="47"/>
      <c r="CW68" s="47"/>
      <c r="CX68" s="47"/>
      <c r="CY68" s="47"/>
      <c r="CZ68" s="47"/>
      <c r="DA68" s="47"/>
      <c r="DB68" s="47"/>
      <c r="DC68" s="47"/>
      <c r="DD68" s="47"/>
      <c r="DE68" s="47"/>
      <c r="DF68" s="47"/>
      <c r="DG68" s="47"/>
      <c r="DH68" s="47"/>
      <c r="DI68" s="47"/>
      <c r="DJ68" s="47"/>
      <c r="DK68" s="47"/>
      <c r="DL68" s="47"/>
      <c r="DM68" s="47"/>
      <c r="DN68" s="47"/>
      <c r="DO68" s="47"/>
      <c r="DP68" s="47"/>
      <c r="DQ68" s="47"/>
      <c r="DR68" s="47"/>
      <c r="DS68" s="47"/>
      <c r="DT68" s="47"/>
      <c r="DU68" s="47"/>
      <c r="DV68" s="47"/>
      <c r="DW68" s="47"/>
      <c r="DX68" s="47"/>
      <c r="DY68" s="47"/>
      <c r="DZ68" s="47"/>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c r="FO68" s="47"/>
      <c r="FP68" s="47"/>
      <c r="FQ68" s="47"/>
      <c r="FR68" s="47"/>
      <c r="FS68" s="47"/>
      <c r="FT68" s="47"/>
      <c r="FU68" s="47"/>
      <c r="FV68" s="47"/>
      <c r="FW68" s="47"/>
      <c r="FX68" s="47"/>
      <c r="FY68" s="47"/>
      <c r="FZ68" s="47"/>
      <c r="GA68" s="47"/>
      <c r="GB68" s="47"/>
      <c r="GC68" s="47"/>
      <c r="GD68" s="47"/>
      <c r="GE68" s="47"/>
      <c r="GF68" s="47"/>
      <c r="GG68" s="47"/>
      <c r="GH68" s="47"/>
      <c r="GI68" s="47"/>
      <c r="GJ68" s="47"/>
      <c r="GK68" s="47"/>
      <c r="GL68" s="47"/>
      <c r="GM68" s="47"/>
      <c r="GN68" s="47"/>
      <c r="GO68" s="47"/>
      <c r="GP68" s="47"/>
      <c r="GQ68" s="47"/>
      <c r="GR68" s="47"/>
      <c r="GS68" s="47"/>
      <c r="GT68" s="47"/>
      <c r="GU68" s="47"/>
      <c r="GV68" s="47"/>
      <c r="GW68" s="47"/>
      <c r="GX68" s="47"/>
      <c r="GY68" s="47"/>
      <c r="GZ68" s="47"/>
      <c r="HA68" s="47"/>
      <c r="HB68" s="47"/>
      <c r="HC68" s="47"/>
      <c r="HD68" s="47"/>
      <c r="HE68" s="47"/>
      <c r="HF68" s="47"/>
      <c r="HG68" s="47"/>
      <c r="HH68" s="47"/>
      <c r="HI68" s="47"/>
      <c r="HJ68" s="47"/>
      <c r="HK68" s="47"/>
      <c r="HL68" s="47"/>
      <c r="HM68" s="47"/>
      <c r="HN68" s="47"/>
      <c r="HO68" s="47"/>
      <c r="HP68" s="47"/>
      <c r="HQ68" s="47"/>
      <c r="HR68" s="47"/>
      <c r="HS68" s="47"/>
      <c r="HT68" s="47"/>
      <c r="HU68" s="47"/>
      <c r="HV68" s="47"/>
      <c r="HW68" s="47"/>
      <c r="HX68" s="47"/>
      <c r="HY68" s="47"/>
      <c r="HZ68" s="47"/>
      <c r="IA68" s="47"/>
      <c r="IB68" s="47"/>
      <c r="IC68" s="47"/>
      <c r="ID68" s="47"/>
      <c r="IE68" s="47"/>
      <c r="IF68" s="47"/>
      <c r="IG68" s="47"/>
      <c r="IH68" s="47"/>
      <c r="II68" s="47"/>
      <c r="IJ68" s="47"/>
      <c r="IK68" s="47"/>
      <c r="IL68" s="47"/>
      <c r="IM68" s="47"/>
      <c r="IN68" s="47"/>
      <c r="IO68" s="47"/>
      <c r="IP68" s="47"/>
      <c r="IQ68" s="47"/>
      <c r="IR68" s="47"/>
      <c r="IS68" s="47"/>
      <c r="IT68" s="47"/>
      <c r="IU68" s="47"/>
      <c r="IV68" s="47"/>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F68" s="63">
        <v>3.4000000000000002E-2</v>
      </c>
      <c r="NG68" s="64">
        <v>100044.15336044562</v>
      </c>
      <c r="NH68" s="13">
        <v>0.33500000000000002</v>
      </c>
      <c r="NI68" s="1">
        <f>Combine!A70</f>
        <v>48317</v>
      </c>
      <c r="NJ68" s="14">
        <f>Combine!F70</f>
        <v>256564.12850270499</v>
      </c>
    </row>
    <row r="69" spans="1:374" ht="12.75" customHeight="1" x14ac:dyDescent="0.3">
      <c r="A69" s="59"/>
      <c r="D69" s="61"/>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c r="CT69" s="47"/>
      <c r="CU69" s="47"/>
      <c r="CV69" s="47"/>
      <c r="CW69" s="47"/>
      <c r="CX69" s="47"/>
      <c r="CY69" s="47"/>
      <c r="CZ69" s="47"/>
      <c r="DA69" s="47"/>
      <c r="DB69" s="47"/>
      <c r="DC69" s="47"/>
      <c r="DD69" s="47"/>
      <c r="DE69" s="47"/>
      <c r="DF69" s="47"/>
      <c r="DG69" s="47"/>
      <c r="DH69" s="47"/>
      <c r="DI69" s="47"/>
      <c r="DJ69" s="47"/>
      <c r="DK69" s="47"/>
      <c r="DL69" s="47"/>
      <c r="DM69" s="47"/>
      <c r="DN69" s="47"/>
      <c r="DO69" s="47"/>
      <c r="DP69" s="47"/>
      <c r="DQ69" s="47"/>
      <c r="DR69" s="47"/>
      <c r="DS69" s="47"/>
      <c r="DT69" s="47"/>
      <c r="DU69" s="47"/>
      <c r="DV69" s="47"/>
      <c r="DW69" s="47"/>
      <c r="DX69" s="47"/>
      <c r="DY69" s="47"/>
      <c r="DZ69" s="47"/>
      <c r="EA69" s="47"/>
      <c r="EB69" s="47"/>
      <c r="EC69" s="47"/>
      <c r="ED69" s="47"/>
      <c r="EE69" s="47"/>
      <c r="EF69" s="47"/>
      <c r="EG69" s="47"/>
      <c r="EH69" s="47"/>
      <c r="EI69" s="47"/>
      <c r="EJ69" s="47"/>
      <c r="EK69" s="47"/>
      <c r="EL69" s="47"/>
      <c r="EM69" s="47"/>
      <c r="EN69" s="47"/>
      <c r="EO69" s="47"/>
      <c r="EP69" s="47"/>
      <c r="EQ69" s="47"/>
      <c r="ER69" s="47"/>
      <c r="ES69" s="47"/>
      <c r="ET69" s="47"/>
      <c r="EU69" s="47"/>
      <c r="EV69" s="47"/>
      <c r="EW69" s="47"/>
      <c r="EX69" s="47"/>
      <c r="EY69" s="47"/>
      <c r="EZ69" s="47"/>
      <c r="FA69" s="47"/>
      <c r="FB69" s="47"/>
      <c r="FC69" s="47"/>
      <c r="FD69" s="47"/>
      <c r="FE69" s="47"/>
      <c r="FF69" s="47"/>
      <c r="FG69" s="47"/>
      <c r="FH69" s="47"/>
      <c r="FI69" s="47"/>
      <c r="FJ69" s="47"/>
      <c r="FK69" s="47"/>
      <c r="FL69" s="47"/>
      <c r="FM69" s="47"/>
      <c r="FN69" s="47"/>
      <c r="FO69" s="47"/>
      <c r="FP69" s="47"/>
      <c r="FQ69" s="47"/>
      <c r="FR69" s="47"/>
      <c r="FS69" s="47"/>
      <c r="FT69" s="47"/>
      <c r="FU69" s="47"/>
      <c r="FV69" s="47"/>
      <c r="FW69" s="47"/>
      <c r="FX69" s="47"/>
      <c r="FY69" s="47"/>
      <c r="FZ69" s="47"/>
      <c r="GA69" s="47"/>
      <c r="GB69" s="47"/>
      <c r="GC69" s="47"/>
      <c r="GD69" s="47"/>
      <c r="GE69" s="47"/>
      <c r="GF69" s="47"/>
      <c r="GG69" s="47"/>
      <c r="GH69" s="47"/>
      <c r="GI69" s="47"/>
      <c r="GJ69" s="47"/>
      <c r="GK69" s="47"/>
      <c r="GL69" s="47"/>
      <c r="GM69" s="47"/>
      <c r="GN69" s="47"/>
      <c r="GO69" s="47"/>
      <c r="GP69" s="47"/>
      <c r="GQ69" s="47"/>
      <c r="GR69" s="47"/>
      <c r="GS69" s="47"/>
      <c r="GT69" s="47"/>
      <c r="GU69" s="47"/>
      <c r="GV69" s="47"/>
      <c r="GW69" s="47"/>
      <c r="GX69" s="47"/>
      <c r="GY69" s="47"/>
      <c r="GZ69" s="47"/>
      <c r="HA69" s="47"/>
      <c r="HB69" s="47"/>
      <c r="HC69" s="47"/>
      <c r="HD69" s="47"/>
      <c r="HE69" s="47"/>
      <c r="HF69" s="47"/>
      <c r="HG69" s="47"/>
      <c r="HH69" s="47"/>
      <c r="HI69" s="47"/>
      <c r="HJ69" s="47"/>
      <c r="HK69" s="47"/>
      <c r="HL69" s="47"/>
      <c r="HM69" s="47"/>
      <c r="HN69" s="47"/>
      <c r="HO69" s="47"/>
      <c r="HP69" s="47"/>
      <c r="HQ69" s="47"/>
      <c r="HR69" s="47"/>
      <c r="HS69" s="47"/>
      <c r="HT69" s="47"/>
      <c r="HU69" s="47"/>
      <c r="HV69" s="47"/>
      <c r="HW69" s="47"/>
      <c r="HX69" s="47"/>
      <c r="HY69" s="47"/>
      <c r="HZ69" s="47"/>
      <c r="IA69" s="47"/>
      <c r="IB69" s="47"/>
      <c r="IC69" s="47"/>
      <c r="ID69" s="47"/>
      <c r="IE69" s="47"/>
      <c r="IF69" s="47"/>
      <c r="IG69" s="47"/>
      <c r="IH69" s="47"/>
      <c r="II69" s="47"/>
      <c r="IJ69" s="47"/>
      <c r="IK69" s="47"/>
      <c r="IL69" s="47"/>
      <c r="IM69" s="47"/>
      <c r="IN69" s="47"/>
      <c r="IO69" s="47"/>
      <c r="IP69" s="47"/>
      <c r="IQ69" s="47"/>
      <c r="IR69" s="47"/>
      <c r="IS69" s="47"/>
      <c r="IT69" s="47"/>
      <c r="IU69" s="47"/>
      <c r="IV69" s="47"/>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F69" s="63">
        <v>3.5000000000000003E-2</v>
      </c>
      <c r="NG69" s="64">
        <v>96612.83653568897</v>
      </c>
      <c r="NH69" s="13">
        <v>0.34</v>
      </c>
      <c r="NI69" s="1">
        <f>Combine!A71</f>
        <v>48504</v>
      </c>
      <c r="NJ69" s="14">
        <f>Combine!F71</f>
        <v>35867.727506732102</v>
      </c>
    </row>
    <row r="70" spans="1:374" ht="12.75" customHeight="1" x14ac:dyDescent="0.3">
      <c r="A70" s="59"/>
      <c r="D70" s="61"/>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c r="CT70" s="47"/>
      <c r="CU70" s="47"/>
      <c r="CV70" s="47"/>
      <c r="CW70" s="47"/>
      <c r="CX70" s="47"/>
      <c r="CY70" s="47"/>
      <c r="CZ70" s="47"/>
      <c r="DA70" s="47"/>
      <c r="DB70" s="47"/>
      <c r="DC70" s="47"/>
      <c r="DD70" s="47"/>
      <c r="DE70" s="47"/>
      <c r="DF70" s="47"/>
      <c r="DG70" s="47"/>
      <c r="DH70" s="47"/>
      <c r="DI70" s="47"/>
      <c r="DJ70" s="47"/>
      <c r="DK70" s="47"/>
      <c r="DL70" s="47"/>
      <c r="DM70" s="47"/>
      <c r="DN70" s="47"/>
      <c r="DO70" s="47"/>
      <c r="DP70" s="47"/>
      <c r="DQ70" s="47"/>
      <c r="DR70" s="47"/>
      <c r="DS70" s="47"/>
      <c r="DT70" s="47"/>
      <c r="DU70" s="47"/>
      <c r="DV70" s="47"/>
      <c r="DW70" s="47"/>
      <c r="DX70" s="47"/>
      <c r="DY70" s="47"/>
      <c r="DZ70" s="47"/>
      <c r="EA70" s="47"/>
      <c r="EB70" s="47"/>
      <c r="EC70" s="47"/>
      <c r="ED70" s="47"/>
      <c r="EE70" s="47"/>
      <c r="EF70" s="47"/>
      <c r="EG70" s="47"/>
      <c r="EH70" s="47"/>
      <c r="EI70" s="47"/>
      <c r="EJ70" s="47"/>
      <c r="EK70" s="47"/>
      <c r="EL70" s="47"/>
      <c r="EM70" s="47"/>
      <c r="EN70" s="47"/>
      <c r="EO70" s="47"/>
      <c r="EP70" s="47"/>
      <c r="EQ70" s="47"/>
      <c r="ER70" s="47"/>
      <c r="ES70" s="47"/>
      <c r="ET70" s="47"/>
      <c r="EU70" s="47"/>
      <c r="EV70" s="47"/>
      <c r="EW70" s="47"/>
      <c r="EX70" s="47"/>
      <c r="EY70" s="47"/>
      <c r="EZ70" s="47"/>
      <c r="FA70" s="47"/>
      <c r="FB70" s="47"/>
      <c r="FC70" s="47"/>
      <c r="FD70" s="47"/>
      <c r="FE70" s="47"/>
      <c r="FF70" s="47"/>
      <c r="FG70" s="47"/>
      <c r="FH70" s="47"/>
      <c r="FI70" s="47"/>
      <c r="FJ70" s="47"/>
      <c r="FK70" s="47"/>
      <c r="FL70" s="47"/>
      <c r="FM70" s="47"/>
      <c r="FN70" s="47"/>
      <c r="FO70" s="47"/>
      <c r="FP70" s="47"/>
      <c r="FQ70" s="47"/>
      <c r="FR70" s="47"/>
      <c r="FS70" s="47"/>
      <c r="FT70" s="47"/>
      <c r="FU70" s="47"/>
      <c r="FV70" s="47"/>
      <c r="FW70" s="47"/>
      <c r="FX70" s="47"/>
      <c r="FY70" s="47"/>
      <c r="FZ70" s="47"/>
      <c r="GA70" s="47"/>
      <c r="GB70" s="47"/>
      <c r="GC70" s="47"/>
      <c r="GD70" s="47"/>
      <c r="GE70" s="47"/>
      <c r="GF70" s="47"/>
      <c r="GG70" s="47"/>
      <c r="GH70" s="47"/>
      <c r="GI70" s="47"/>
      <c r="GJ70" s="47"/>
      <c r="GK70" s="47"/>
      <c r="GL70" s="47"/>
      <c r="GM70" s="47"/>
      <c r="GN70" s="47"/>
      <c r="GO70" s="47"/>
      <c r="GP70" s="47"/>
      <c r="GQ70" s="47"/>
      <c r="GR70" s="47"/>
      <c r="GS70" s="47"/>
      <c r="GT70" s="47"/>
      <c r="GU70" s="47"/>
      <c r="GV70" s="47"/>
      <c r="GW70" s="47"/>
      <c r="GX70" s="47"/>
      <c r="GY70" s="47"/>
      <c r="GZ70" s="47"/>
      <c r="HA70" s="47"/>
      <c r="HB70" s="47"/>
      <c r="HC70" s="47"/>
      <c r="HD70" s="47"/>
      <c r="HE70" s="47"/>
      <c r="HF70" s="47"/>
      <c r="HG70" s="47"/>
      <c r="HH70" s="47"/>
      <c r="HI70" s="47"/>
      <c r="HJ70" s="47"/>
      <c r="HK70" s="47"/>
      <c r="HL70" s="47"/>
      <c r="HM70" s="47"/>
      <c r="HN70" s="47"/>
      <c r="HO70" s="47"/>
      <c r="HP70" s="47"/>
      <c r="HQ70" s="47"/>
      <c r="HR70" s="47"/>
      <c r="HS70" s="47"/>
      <c r="HT70" s="47"/>
      <c r="HU70" s="47"/>
      <c r="HV70" s="47"/>
      <c r="HW70" s="47"/>
      <c r="HX70" s="47"/>
      <c r="HY70" s="47"/>
      <c r="HZ70" s="47"/>
      <c r="IA70" s="47"/>
      <c r="IB70" s="47"/>
      <c r="IC70" s="47"/>
      <c r="ID70" s="47"/>
      <c r="IE70" s="47"/>
      <c r="IF70" s="47"/>
      <c r="IG70" s="47"/>
      <c r="IH70" s="47"/>
      <c r="II70" s="47"/>
      <c r="IJ70" s="47"/>
      <c r="IK70" s="47"/>
      <c r="IL70" s="47"/>
      <c r="IM70" s="47"/>
      <c r="IN70" s="47"/>
      <c r="IO70" s="47"/>
      <c r="IP70" s="47"/>
      <c r="IQ70" s="47"/>
      <c r="IR70" s="47"/>
      <c r="IS70" s="47"/>
      <c r="IT70" s="47"/>
      <c r="IU70" s="47"/>
      <c r="IV70" s="47"/>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F70" s="63">
        <v>3.5999999999999997E-2</v>
      </c>
      <c r="NG70" s="64">
        <v>93168.671752986716</v>
      </c>
      <c r="NH70" s="13">
        <v>0.34499999999999997</v>
      </c>
      <c r="NI70" s="1">
        <f>Combine!A72</f>
        <v>49006</v>
      </c>
      <c r="NJ70" s="14">
        <f>Combine!F72</f>
        <v>210486.558746775</v>
      </c>
    </row>
    <row r="71" spans="1:374" ht="12.75" customHeight="1" x14ac:dyDescent="0.3">
      <c r="A71" s="59"/>
      <c r="D71" s="61"/>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47"/>
      <c r="GO71" s="47"/>
      <c r="GP71" s="47"/>
      <c r="GQ71" s="47"/>
      <c r="GR71" s="47"/>
      <c r="GS71" s="47"/>
      <c r="GT71" s="47"/>
      <c r="GU71" s="47"/>
      <c r="GV71" s="47"/>
      <c r="GW71" s="47"/>
      <c r="GX71" s="47"/>
      <c r="GY71" s="47"/>
      <c r="GZ71" s="47"/>
      <c r="HA71" s="47"/>
      <c r="HB71" s="47"/>
      <c r="HC71" s="47"/>
      <c r="HD71" s="47"/>
      <c r="HE71" s="47"/>
      <c r="HF71" s="47"/>
      <c r="HG71" s="47"/>
      <c r="HH71" s="47"/>
      <c r="HI71" s="47"/>
      <c r="HJ71" s="47"/>
      <c r="HK71" s="47"/>
      <c r="HL71" s="47"/>
      <c r="HM71" s="47"/>
      <c r="HN71" s="47"/>
      <c r="HO71" s="47"/>
      <c r="HP71" s="47"/>
      <c r="HQ71" s="47"/>
      <c r="HR71" s="47"/>
      <c r="HS71" s="47"/>
      <c r="HT71" s="47"/>
      <c r="HU71" s="47"/>
      <c r="HV71" s="47"/>
      <c r="HW71" s="47"/>
      <c r="HX71" s="47"/>
      <c r="HY71" s="47"/>
      <c r="HZ71" s="47"/>
      <c r="IA71" s="47"/>
      <c r="IB71" s="47"/>
      <c r="IC71" s="47"/>
      <c r="ID71" s="47"/>
      <c r="IE71" s="47"/>
      <c r="IF71" s="47"/>
      <c r="IG71" s="47"/>
      <c r="IH71" s="47"/>
      <c r="II71" s="47"/>
      <c r="IJ71" s="47"/>
      <c r="IK71" s="47"/>
      <c r="IL71" s="47"/>
      <c r="IM71" s="47"/>
      <c r="IN71" s="47"/>
      <c r="IO71" s="47"/>
      <c r="IP71" s="47"/>
      <c r="IQ71" s="47"/>
      <c r="IR71" s="47"/>
      <c r="IS71" s="47"/>
      <c r="IT71" s="47"/>
      <c r="IU71" s="47"/>
      <c r="IV71" s="47"/>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F71" s="63">
        <v>3.6999999999999998E-2</v>
      </c>
      <c r="NG71" s="64">
        <v>89711.811308309363</v>
      </c>
      <c r="NH71" s="13">
        <v>0.35</v>
      </c>
      <c r="NI71" s="1">
        <f>Combine!A73</f>
        <v>48108</v>
      </c>
      <c r="NJ71" s="14">
        <f>Combine!F73</f>
        <v>408161.10457399703</v>
      </c>
    </row>
    <row r="72" spans="1:374" ht="12.75" customHeight="1" x14ac:dyDescent="0.3">
      <c r="A72" s="59"/>
      <c r="D72" s="61"/>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c r="CT72" s="47"/>
      <c r="CU72" s="47"/>
      <c r="CV72" s="47"/>
      <c r="CW72" s="47"/>
      <c r="CX72" s="47"/>
      <c r="CY72" s="47"/>
      <c r="CZ72" s="47"/>
      <c r="DA72" s="47"/>
      <c r="DB72" s="47"/>
      <c r="DC72" s="47"/>
      <c r="DD72" s="47"/>
      <c r="DE72" s="47"/>
      <c r="DF72" s="47"/>
      <c r="DG72" s="47"/>
      <c r="DH72" s="47"/>
      <c r="DI72" s="47"/>
      <c r="DJ72" s="47"/>
      <c r="DK72" s="47"/>
      <c r="DL72" s="47"/>
      <c r="DM72" s="47"/>
      <c r="DN72" s="47"/>
      <c r="DO72" s="47"/>
      <c r="DP72" s="47"/>
      <c r="DQ72" s="47"/>
      <c r="DR72" s="47"/>
      <c r="DS72" s="47"/>
      <c r="DT72" s="47"/>
      <c r="DU72" s="47"/>
      <c r="DV72" s="47"/>
      <c r="DW72" s="47"/>
      <c r="DX72" s="47"/>
      <c r="DY72" s="47"/>
      <c r="DZ72" s="47"/>
      <c r="EA72" s="47"/>
      <c r="EB72" s="47"/>
      <c r="EC72" s="47"/>
      <c r="ED72" s="47"/>
      <c r="EE72" s="47"/>
      <c r="EF72" s="47"/>
      <c r="EG72" s="47"/>
      <c r="EH72" s="47"/>
      <c r="EI72" s="47"/>
      <c r="EJ72" s="47"/>
      <c r="EK72" s="47"/>
      <c r="EL72" s="47"/>
      <c r="EM72" s="47"/>
      <c r="EN72" s="47"/>
      <c r="EO72" s="47"/>
      <c r="EP72" s="47"/>
      <c r="EQ72" s="47"/>
      <c r="ER72" s="47"/>
      <c r="ES72" s="47"/>
      <c r="ET72" s="47"/>
      <c r="EU72" s="47"/>
      <c r="EV72" s="47"/>
      <c r="EW72" s="47"/>
      <c r="EX72" s="47"/>
      <c r="EY72" s="47"/>
      <c r="EZ72" s="47"/>
      <c r="FA72" s="47"/>
      <c r="FB72" s="47"/>
      <c r="FC72" s="47"/>
      <c r="FD72" s="47"/>
      <c r="FE72" s="47"/>
      <c r="FF72" s="47"/>
      <c r="FG72" s="47"/>
      <c r="FH72" s="47"/>
      <c r="FI72" s="47"/>
      <c r="FJ72" s="47"/>
      <c r="FK72" s="47"/>
      <c r="FL72" s="47"/>
      <c r="FM72" s="47"/>
      <c r="FN72" s="47"/>
      <c r="FO72" s="47"/>
      <c r="FP72" s="47"/>
      <c r="FQ72" s="47"/>
      <c r="FR72" s="47"/>
      <c r="FS72" s="47"/>
      <c r="FT72" s="47"/>
      <c r="FU72" s="47"/>
      <c r="FV72" s="47"/>
      <c r="FW72" s="47"/>
      <c r="FX72" s="47"/>
      <c r="FY72" s="47"/>
      <c r="FZ72" s="47"/>
      <c r="GA72" s="47"/>
      <c r="GB72" s="47"/>
      <c r="GC72" s="47"/>
      <c r="GD72" s="47"/>
      <c r="GE72" s="47"/>
      <c r="GF72" s="47"/>
      <c r="GG72" s="47"/>
      <c r="GH72" s="47"/>
      <c r="GI72" s="47"/>
      <c r="GJ72" s="47"/>
      <c r="GK72" s="47"/>
      <c r="GL72" s="47"/>
      <c r="GM72" s="47"/>
      <c r="GN72" s="47"/>
      <c r="GO72" s="47"/>
      <c r="GP72" s="47"/>
      <c r="GQ72" s="47"/>
      <c r="GR72" s="47"/>
      <c r="GS72" s="47"/>
      <c r="GT72" s="47"/>
      <c r="GU72" s="47"/>
      <c r="GV72" s="47"/>
      <c r="GW72" s="47"/>
      <c r="GX72" s="47"/>
      <c r="GY72" s="47"/>
      <c r="GZ72" s="47"/>
      <c r="HA72" s="47"/>
      <c r="HB72" s="47"/>
      <c r="HC72" s="47"/>
      <c r="HD72" s="47"/>
      <c r="HE72" s="47"/>
      <c r="HF72" s="47"/>
      <c r="HG72" s="47"/>
      <c r="HH72" s="47"/>
      <c r="HI72" s="47"/>
      <c r="HJ72" s="47"/>
      <c r="HK72" s="47"/>
      <c r="HL72" s="47"/>
      <c r="HM72" s="47"/>
      <c r="HN72" s="47"/>
      <c r="HO72" s="47"/>
      <c r="HP72" s="47"/>
      <c r="HQ72" s="47"/>
      <c r="HR72" s="47"/>
      <c r="HS72" s="47"/>
      <c r="HT72" s="47"/>
      <c r="HU72" s="47"/>
      <c r="HV72" s="47"/>
      <c r="HW72" s="47"/>
      <c r="HX72" s="47"/>
      <c r="HY72" s="47"/>
      <c r="HZ72" s="47"/>
      <c r="IA72" s="47"/>
      <c r="IB72" s="47"/>
      <c r="IC72" s="47"/>
      <c r="ID72" s="47"/>
      <c r="IE72" s="47"/>
      <c r="IF72" s="47"/>
      <c r="IG72" s="47"/>
      <c r="IH72" s="47"/>
      <c r="II72" s="47"/>
      <c r="IJ72" s="47"/>
      <c r="IK72" s="47"/>
      <c r="IL72" s="47"/>
      <c r="IM72" s="47"/>
      <c r="IN72" s="47"/>
      <c r="IO72" s="47"/>
      <c r="IP72" s="47"/>
      <c r="IQ72" s="47"/>
      <c r="IR72" s="47"/>
      <c r="IS72" s="47"/>
      <c r="IT72" s="47"/>
      <c r="IU72" s="47"/>
      <c r="IV72" s="47"/>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F72" s="63">
        <v>3.7999999999999999E-2</v>
      </c>
      <c r="NG72" s="64">
        <v>86242.408113804646</v>
      </c>
      <c r="NH72" s="13">
        <v>0.35499999999999998</v>
      </c>
      <c r="NI72" s="1">
        <f>Combine!A74</f>
        <v>49015</v>
      </c>
      <c r="NJ72" s="14">
        <f>Combine!F74</f>
        <v>165151.603118053</v>
      </c>
    </row>
    <row r="73" spans="1:374" ht="12.75" customHeight="1" x14ac:dyDescent="0.3">
      <c r="A73" s="59"/>
      <c r="D73" s="61"/>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c r="CT73" s="47"/>
      <c r="CU73" s="47"/>
      <c r="CV73" s="47"/>
      <c r="CW73" s="47"/>
      <c r="CX73" s="47"/>
      <c r="CY73" s="47"/>
      <c r="CZ73" s="47"/>
      <c r="DA73" s="47"/>
      <c r="DB73" s="47"/>
      <c r="DC73" s="47"/>
      <c r="DD73" s="47"/>
      <c r="DE73" s="47"/>
      <c r="DF73" s="47"/>
      <c r="DG73" s="47"/>
      <c r="DH73" s="47"/>
      <c r="DI73" s="47"/>
      <c r="DJ73" s="47"/>
      <c r="DK73" s="47"/>
      <c r="DL73" s="47"/>
      <c r="DM73" s="47"/>
      <c r="DN73" s="47"/>
      <c r="DO73" s="47"/>
      <c r="DP73" s="47"/>
      <c r="DQ73" s="47"/>
      <c r="DR73" s="47"/>
      <c r="DS73" s="47"/>
      <c r="DT73" s="47"/>
      <c r="DU73" s="47"/>
      <c r="DV73" s="47"/>
      <c r="DW73" s="47"/>
      <c r="DX73" s="47"/>
      <c r="DY73" s="47"/>
      <c r="DZ73" s="47"/>
      <c r="EA73" s="47"/>
      <c r="EB73" s="47"/>
      <c r="EC73" s="47"/>
      <c r="ED73" s="47"/>
      <c r="EE73" s="47"/>
      <c r="EF73" s="47"/>
      <c r="EG73" s="47"/>
      <c r="EH73" s="47"/>
      <c r="EI73" s="47"/>
      <c r="EJ73" s="47"/>
      <c r="EK73" s="47"/>
      <c r="EL73" s="47"/>
      <c r="EM73" s="47"/>
      <c r="EN73" s="47"/>
      <c r="EO73" s="47"/>
      <c r="EP73" s="47"/>
      <c r="EQ73" s="47"/>
      <c r="ER73" s="47"/>
      <c r="ES73" s="47"/>
      <c r="ET73" s="47"/>
      <c r="EU73" s="47"/>
      <c r="EV73" s="47"/>
      <c r="EW73" s="47"/>
      <c r="EX73" s="47"/>
      <c r="EY73" s="47"/>
      <c r="EZ73" s="47"/>
      <c r="FA73" s="47"/>
      <c r="FB73" s="47"/>
      <c r="FC73" s="47"/>
      <c r="FD73" s="47"/>
      <c r="FE73" s="47"/>
      <c r="FF73" s="47"/>
      <c r="FG73" s="47"/>
      <c r="FH73" s="47"/>
      <c r="FI73" s="47"/>
      <c r="FJ73" s="47"/>
      <c r="FK73" s="47"/>
      <c r="FL73" s="47"/>
      <c r="FM73" s="47"/>
      <c r="FN73" s="47"/>
      <c r="FO73" s="47"/>
      <c r="FP73" s="47"/>
      <c r="FQ73" s="47"/>
      <c r="FR73" s="47"/>
      <c r="FS73" s="47"/>
      <c r="FT73" s="47"/>
      <c r="FU73" s="47"/>
      <c r="FV73" s="47"/>
      <c r="FW73" s="47"/>
      <c r="FX73" s="47"/>
      <c r="FY73" s="47"/>
      <c r="FZ73" s="47"/>
      <c r="GA73" s="47"/>
      <c r="GB73" s="47"/>
      <c r="GC73" s="47"/>
      <c r="GD73" s="47"/>
      <c r="GE73" s="47"/>
      <c r="GF73" s="47"/>
      <c r="GG73" s="47"/>
      <c r="GH73" s="47"/>
      <c r="GI73" s="47"/>
      <c r="GJ73" s="47"/>
      <c r="GK73" s="47"/>
      <c r="GL73" s="47"/>
      <c r="GM73" s="47"/>
      <c r="GN73" s="47"/>
      <c r="GO73" s="47"/>
      <c r="GP73" s="47"/>
      <c r="GQ73" s="47"/>
      <c r="GR73" s="47"/>
      <c r="GS73" s="47"/>
      <c r="GT73" s="47"/>
      <c r="GU73" s="47"/>
      <c r="GV73" s="47"/>
      <c r="GW73" s="47"/>
      <c r="GX73" s="47"/>
      <c r="GY73" s="47"/>
      <c r="GZ73" s="47"/>
      <c r="HA73" s="47"/>
      <c r="HB73" s="47"/>
      <c r="HC73" s="47"/>
      <c r="HD73" s="47"/>
      <c r="HE73" s="47"/>
      <c r="HF73" s="47"/>
      <c r="HG73" s="47"/>
      <c r="HH73" s="47"/>
      <c r="HI73" s="47"/>
      <c r="HJ73" s="47"/>
      <c r="HK73" s="47"/>
      <c r="HL73" s="47"/>
      <c r="HM73" s="47"/>
      <c r="HN73" s="47"/>
      <c r="HO73" s="47"/>
      <c r="HP73" s="47"/>
      <c r="HQ73" s="47"/>
      <c r="HR73" s="47"/>
      <c r="HS73" s="47"/>
      <c r="HT73" s="47"/>
      <c r="HU73" s="47"/>
      <c r="HV73" s="47"/>
      <c r="HW73" s="47"/>
      <c r="HX73" s="47"/>
      <c r="HY73" s="47"/>
      <c r="HZ73" s="47"/>
      <c r="IA73" s="47"/>
      <c r="IB73" s="47"/>
      <c r="IC73" s="47"/>
      <c r="ID73" s="47"/>
      <c r="IE73" s="47"/>
      <c r="IF73" s="47"/>
      <c r="IG73" s="47"/>
      <c r="IH73" s="47"/>
      <c r="II73" s="47"/>
      <c r="IJ73" s="47"/>
      <c r="IK73" s="47"/>
      <c r="IL73" s="47"/>
      <c r="IM73" s="47"/>
      <c r="IN73" s="47"/>
      <c r="IO73" s="47"/>
      <c r="IP73" s="47"/>
      <c r="IQ73" s="47"/>
      <c r="IR73" s="47"/>
      <c r="IS73" s="47"/>
      <c r="IT73" s="47"/>
      <c r="IU73" s="47"/>
      <c r="IV73" s="47"/>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F73" s="63">
        <v>3.9E-2</v>
      </c>
      <c r="NG73" s="64">
        <v>82760.615632773755</v>
      </c>
      <c r="NH73" s="13">
        <v>0.36</v>
      </c>
      <c r="NI73" s="1">
        <f>Combine!A75</f>
        <v>49444</v>
      </c>
      <c r="NJ73" s="14">
        <f>Combine!F75</f>
        <v>124369.13084090099</v>
      </c>
    </row>
    <row r="74" spans="1:374" ht="12.75" customHeight="1" x14ac:dyDescent="0.3">
      <c r="A74" s="59"/>
      <c r="D74" s="61"/>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c r="CT74" s="47"/>
      <c r="CU74" s="47"/>
      <c r="CV74" s="47"/>
      <c r="CW74" s="47"/>
      <c r="CX74" s="47"/>
      <c r="CY74" s="47"/>
      <c r="CZ74" s="47"/>
      <c r="DA74" s="47"/>
      <c r="DB74" s="47"/>
      <c r="DC74" s="47"/>
      <c r="DD74" s="47"/>
      <c r="DE74" s="47"/>
      <c r="DF74" s="47"/>
      <c r="DG74" s="47"/>
      <c r="DH74" s="47"/>
      <c r="DI74" s="47"/>
      <c r="DJ74" s="47"/>
      <c r="DK74" s="47"/>
      <c r="DL74" s="47"/>
      <c r="DM74" s="47"/>
      <c r="DN74" s="47"/>
      <c r="DO74" s="47"/>
      <c r="DP74" s="47"/>
      <c r="DQ74" s="47"/>
      <c r="DR74" s="47"/>
      <c r="DS74" s="47"/>
      <c r="DT74" s="47"/>
      <c r="DU74" s="47"/>
      <c r="DV74" s="47"/>
      <c r="DW74" s="47"/>
      <c r="DX74" s="47"/>
      <c r="DY74" s="47"/>
      <c r="DZ74" s="47"/>
      <c r="EA74" s="47"/>
      <c r="EB74" s="47"/>
      <c r="EC74" s="47"/>
      <c r="ED74" s="47"/>
      <c r="EE74" s="47"/>
      <c r="EF74" s="47"/>
      <c r="EG74" s="47"/>
      <c r="EH74" s="47"/>
      <c r="EI74" s="47"/>
      <c r="EJ74" s="47"/>
      <c r="EK74" s="47"/>
      <c r="EL74" s="47"/>
      <c r="EM74" s="47"/>
      <c r="EN74" s="47"/>
      <c r="EO74" s="47"/>
      <c r="EP74" s="47"/>
      <c r="EQ74" s="47"/>
      <c r="ER74" s="47"/>
      <c r="ES74" s="47"/>
      <c r="ET74" s="47"/>
      <c r="EU74" s="47"/>
      <c r="EV74" s="47"/>
      <c r="EW74" s="47"/>
      <c r="EX74" s="47"/>
      <c r="EY74" s="47"/>
      <c r="EZ74" s="47"/>
      <c r="FA74" s="47"/>
      <c r="FB74" s="47"/>
      <c r="FC74" s="47"/>
      <c r="FD74" s="47"/>
      <c r="FE74" s="47"/>
      <c r="FF74" s="47"/>
      <c r="FG74" s="47"/>
      <c r="FH74" s="47"/>
      <c r="FI74" s="47"/>
      <c r="FJ74" s="47"/>
      <c r="FK74" s="47"/>
      <c r="FL74" s="47"/>
      <c r="FM74" s="47"/>
      <c r="FN74" s="47"/>
      <c r="FO74" s="47"/>
      <c r="FP74" s="47"/>
      <c r="FQ74" s="47"/>
      <c r="FR74" s="47"/>
      <c r="FS74" s="47"/>
      <c r="FT74" s="47"/>
      <c r="FU74" s="47"/>
      <c r="FV74" s="47"/>
      <c r="FW74" s="47"/>
      <c r="FX74" s="47"/>
      <c r="FY74" s="47"/>
      <c r="FZ74" s="47"/>
      <c r="GA74" s="47"/>
      <c r="GB74" s="47"/>
      <c r="GC74" s="47"/>
      <c r="GD74" s="47"/>
      <c r="GE74" s="47"/>
      <c r="GF74" s="47"/>
      <c r="GG74" s="47"/>
      <c r="GH74" s="47"/>
      <c r="GI74" s="47"/>
      <c r="GJ74" s="47"/>
      <c r="GK74" s="47"/>
      <c r="GL74" s="47"/>
      <c r="GM74" s="47"/>
      <c r="GN74" s="47"/>
      <c r="GO74" s="47"/>
      <c r="GP74" s="47"/>
      <c r="GQ74" s="47"/>
      <c r="GR74" s="47"/>
      <c r="GS74" s="47"/>
      <c r="GT74" s="47"/>
      <c r="GU74" s="47"/>
      <c r="GV74" s="47"/>
      <c r="GW74" s="47"/>
      <c r="GX74" s="47"/>
      <c r="GY74" s="47"/>
      <c r="GZ74" s="47"/>
      <c r="HA74" s="47"/>
      <c r="HB74" s="47"/>
      <c r="HC74" s="47"/>
      <c r="HD74" s="47"/>
      <c r="HE74" s="47"/>
      <c r="HF74" s="47"/>
      <c r="HG74" s="47"/>
      <c r="HH74" s="47"/>
      <c r="HI74" s="47"/>
      <c r="HJ74" s="47"/>
      <c r="HK74" s="47"/>
      <c r="HL74" s="47"/>
      <c r="HM74" s="47"/>
      <c r="HN74" s="47"/>
      <c r="HO74" s="47"/>
      <c r="HP74" s="47"/>
      <c r="HQ74" s="47"/>
      <c r="HR74" s="47"/>
      <c r="HS74" s="47"/>
      <c r="HT74" s="47"/>
      <c r="HU74" s="47"/>
      <c r="HV74" s="47"/>
      <c r="HW74" s="47"/>
      <c r="HX74" s="47"/>
      <c r="HY74" s="47"/>
      <c r="HZ74" s="47"/>
      <c r="IA74" s="47"/>
      <c r="IB74" s="47"/>
      <c r="IC74" s="47"/>
      <c r="ID74" s="47"/>
      <c r="IE74" s="47"/>
      <c r="IF74" s="47"/>
      <c r="IG74" s="47"/>
      <c r="IH74" s="47"/>
      <c r="II74" s="47"/>
      <c r="IJ74" s="47"/>
      <c r="IK74" s="47"/>
      <c r="IL74" s="47"/>
      <c r="IM74" s="47"/>
      <c r="IN74" s="47"/>
      <c r="IO74" s="47"/>
      <c r="IP74" s="47"/>
      <c r="IQ74" s="47"/>
      <c r="IR74" s="47"/>
      <c r="IS74" s="47"/>
      <c r="IT74" s="47"/>
      <c r="IU74" s="47"/>
      <c r="IV74" s="47"/>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F74" s="63">
        <v>0.04</v>
      </c>
      <c r="NG74" s="64">
        <v>79266.587815059029</v>
      </c>
      <c r="NH74" s="13">
        <v>0.36499999999999999</v>
      </c>
      <c r="NI74" s="1">
        <f>Combine!A76</f>
        <v>48161</v>
      </c>
      <c r="NJ74" s="14">
        <f>Combine!F76</f>
        <v>171960.864100279</v>
      </c>
    </row>
    <row r="75" spans="1:374" ht="12.75" customHeight="1" x14ac:dyDescent="0.3">
      <c r="A75" s="59"/>
      <c r="D75" s="61"/>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c r="CT75" s="47"/>
      <c r="CU75" s="47"/>
      <c r="CV75" s="47"/>
      <c r="CW75" s="47"/>
      <c r="CX75" s="47"/>
      <c r="CY75" s="47"/>
      <c r="CZ75" s="47"/>
      <c r="DA75" s="47"/>
      <c r="DB75" s="47"/>
      <c r="DC75" s="47"/>
      <c r="DD75" s="47"/>
      <c r="DE75" s="47"/>
      <c r="DF75" s="47"/>
      <c r="DG75" s="47"/>
      <c r="DH75" s="47"/>
      <c r="DI75" s="47"/>
      <c r="DJ75" s="47"/>
      <c r="DK75" s="47"/>
      <c r="DL75" s="47"/>
      <c r="DM75" s="47"/>
      <c r="DN75" s="47"/>
      <c r="DO75" s="47"/>
      <c r="DP75" s="47"/>
      <c r="DQ75" s="47"/>
      <c r="DR75" s="47"/>
      <c r="DS75" s="47"/>
      <c r="DT75" s="47"/>
      <c r="DU75" s="47"/>
      <c r="DV75" s="47"/>
      <c r="DW75" s="47"/>
      <c r="DX75" s="47"/>
      <c r="DY75" s="47"/>
      <c r="DZ75" s="47"/>
      <c r="EA75" s="47"/>
      <c r="EB75" s="47"/>
      <c r="EC75" s="47"/>
      <c r="ED75" s="47"/>
      <c r="EE75" s="47"/>
      <c r="EF75" s="47"/>
      <c r="EG75" s="47"/>
      <c r="EH75" s="47"/>
      <c r="EI75" s="47"/>
      <c r="EJ75" s="47"/>
      <c r="EK75" s="47"/>
      <c r="EL75" s="47"/>
      <c r="EM75" s="47"/>
      <c r="EN75" s="47"/>
      <c r="EO75" s="47"/>
      <c r="EP75" s="47"/>
      <c r="EQ75" s="47"/>
      <c r="ER75" s="47"/>
      <c r="ES75" s="47"/>
      <c r="ET75" s="47"/>
      <c r="EU75" s="47"/>
      <c r="EV75" s="47"/>
      <c r="EW75" s="47"/>
      <c r="EX75" s="47"/>
      <c r="EY75" s="47"/>
      <c r="EZ75" s="47"/>
      <c r="FA75" s="47"/>
      <c r="FB75" s="47"/>
      <c r="FC75" s="47"/>
      <c r="FD75" s="47"/>
      <c r="FE75" s="47"/>
      <c r="FF75" s="47"/>
      <c r="FG75" s="47"/>
      <c r="FH75" s="47"/>
      <c r="FI75" s="47"/>
      <c r="FJ75" s="47"/>
      <c r="FK75" s="47"/>
      <c r="FL75" s="47"/>
      <c r="FM75" s="47"/>
      <c r="FN75" s="47"/>
      <c r="FO75" s="47"/>
      <c r="FP75" s="47"/>
      <c r="FQ75" s="47"/>
      <c r="FR75" s="47"/>
      <c r="FS75" s="47"/>
      <c r="FT75" s="47"/>
      <c r="FU75" s="47"/>
      <c r="FV75" s="47"/>
      <c r="FW75" s="47"/>
      <c r="FX75" s="47"/>
      <c r="FY75" s="47"/>
      <c r="FZ75" s="47"/>
      <c r="GA75" s="47"/>
      <c r="GB75" s="47"/>
      <c r="GC75" s="47"/>
      <c r="GD75" s="47"/>
      <c r="GE75" s="47"/>
      <c r="GF75" s="47"/>
      <c r="GG75" s="47"/>
      <c r="GH75" s="47"/>
      <c r="GI75" s="47"/>
      <c r="GJ75" s="47"/>
      <c r="GK75" s="47"/>
      <c r="GL75" s="47"/>
      <c r="GM75" s="47"/>
      <c r="GN75" s="47"/>
      <c r="GO75" s="47"/>
      <c r="GP75" s="47"/>
      <c r="GQ75" s="47"/>
      <c r="GR75" s="47"/>
      <c r="GS75" s="47"/>
      <c r="GT75" s="47"/>
      <c r="GU75" s="47"/>
      <c r="GV75" s="47"/>
      <c r="GW75" s="47"/>
      <c r="GX75" s="47"/>
      <c r="GY75" s="47"/>
      <c r="GZ75" s="47"/>
      <c r="HA75" s="47"/>
      <c r="HB75" s="47"/>
      <c r="HC75" s="47"/>
      <c r="HD75" s="47"/>
      <c r="HE75" s="47"/>
      <c r="HF75" s="47"/>
      <c r="HG75" s="47"/>
      <c r="HH75" s="47"/>
      <c r="HI75" s="47"/>
      <c r="HJ75" s="47"/>
      <c r="HK75" s="47"/>
      <c r="HL75" s="47"/>
      <c r="HM75" s="47"/>
      <c r="HN75" s="47"/>
      <c r="HO75" s="47"/>
      <c r="HP75" s="47"/>
      <c r="HQ75" s="47"/>
      <c r="HR75" s="47"/>
      <c r="HS75" s="47"/>
      <c r="HT75" s="47"/>
      <c r="HU75" s="47"/>
      <c r="HV75" s="47"/>
      <c r="HW75" s="47"/>
      <c r="HX75" s="47"/>
      <c r="HY75" s="47"/>
      <c r="HZ75" s="47"/>
      <c r="IA75" s="47"/>
      <c r="IB75" s="47"/>
      <c r="IC75" s="47"/>
      <c r="ID75" s="47"/>
      <c r="IE75" s="47"/>
      <c r="IF75" s="47"/>
      <c r="IG75" s="47"/>
      <c r="IH75" s="47"/>
      <c r="II75" s="47"/>
      <c r="IJ75" s="47"/>
      <c r="IK75" s="47"/>
      <c r="IL75" s="47"/>
      <c r="IM75" s="47"/>
      <c r="IN75" s="47"/>
      <c r="IO75" s="47"/>
      <c r="IP75" s="47"/>
      <c r="IQ75" s="47"/>
      <c r="IR75" s="47"/>
      <c r="IS75" s="47"/>
      <c r="IT75" s="47"/>
      <c r="IU75" s="47"/>
      <c r="IV75" s="47"/>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F75" s="63">
        <v>4.1000000000000002E-2</v>
      </c>
      <c r="NG75" s="64">
        <v>75760.479032896648</v>
      </c>
      <c r="NH75" s="13">
        <v>0.37</v>
      </c>
      <c r="NI75" s="1">
        <f>Combine!A77</f>
        <v>48085</v>
      </c>
      <c r="NJ75" s="14">
        <f>Combine!F77</f>
        <v>390031.51114245597</v>
      </c>
    </row>
    <row r="76" spans="1:374" ht="12.75" customHeight="1" x14ac:dyDescent="0.3">
      <c r="A76" s="59"/>
      <c r="D76" s="61"/>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c r="CT76" s="47"/>
      <c r="CU76" s="47"/>
      <c r="CV76" s="47"/>
      <c r="CW76" s="47"/>
      <c r="CX76" s="47"/>
      <c r="CY76" s="47"/>
      <c r="CZ76" s="47"/>
      <c r="DA76" s="47"/>
      <c r="DB76" s="47"/>
      <c r="DC76" s="47"/>
      <c r="DD76" s="47"/>
      <c r="DE76" s="47"/>
      <c r="DF76" s="47"/>
      <c r="DG76" s="47"/>
      <c r="DH76" s="47"/>
      <c r="DI76" s="47"/>
      <c r="DJ76" s="47"/>
      <c r="DK76" s="47"/>
      <c r="DL76" s="47"/>
      <c r="DM76" s="47"/>
      <c r="DN76" s="47"/>
      <c r="DO76" s="47"/>
      <c r="DP76" s="47"/>
      <c r="DQ76" s="47"/>
      <c r="DR76" s="47"/>
      <c r="DS76" s="47"/>
      <c r="DT76" s="47"/>
      <c r="DU76" s="47"/>
      <c r="DV76" s="47"/>
      <c r="DW76" s="47"/>
      <c r="DX76" s="47"/>
      <c r="DY76" s="47"/>
      <c r="DZ76" s="47"/>
      <c r="EA76" s="47"/>
      <c r="EB76" s="47"/>
      <c r="EC76" s="47"/>
      <c r="ED76" s="47"/>
      <c r="EE76" s="47"/>
      <c r="EF76" s="47"/>
      <c r="EG76" s="47"/>
      <c r="EH76" s="47"/>
      <c r="EI76" s="47"/>
      <c r="EJ76" s="47"/>
      <c r="EK76" s="47"/>
      <c r="EL76" s="47"/>
      <c r="EM76" s="47"/>
      <c r="EN76" s="47"/>
      <c r="EO76" s="47"/>
      <c r="EP76" s="47"/>
      <c r="EQ76" s="47"/>
      <c r="ER76" s="47"/>
      <c r="ES76" s="47"/>
      <c r="ET76" s="47"/>
      <c r="EU76" s="47"/>
      <c r="EV76" s="47"/>
      <c r="EW76" s="47"/>
      <c r="EX76" s="47"/>
      <c r="EY76" s="47"/>
      <c r="EZ76" s="47"/>
      <c r="FA76" s="47"/>
      <c r="FB76" s="47"/>
      <c r="FC76" s="47"/>
      <c r="FD76" s="47"/>
      <c r="FE76" s="47"/>
      <c r="FF76" s="47"/>
      <c r="FG76" s="47"/>
      <c r="FH76" s="47"/>
      <c r="FI76" s="47"/>
      <c r="FJ76" s="47"/>
      <c r="FK76" s="47"/>
      <c r="FL76" s="47"/>
      <c r="FM76" s="47"/>
      <c r="FN76" s="47"/>
      <c r="FO76" s="47"/>
      <c r="FP76" s="47"/>
      <c r="FQ76" s="47"/>
      <c r="FR76" s="47"/>
      <c r="FS76" s="47"/>
      <c r="FT76" s="47"/>
      <c r="FU76" s="47"/>
      <c r="FV76" s="47"/>
      <c r="FW76" s="47"/>
      <c r="FX76" s="47"/>
      <c r="FY76" s="47"/>
      <c r="FZ76" s="47"/>
      <c r="GA76" s="47"/>
      <c r="GB76" s="47"/>
      <c r="GC76" s="47"/>
      <c r="GD76" s="47"/>
      <c r="GE76" s="47"/>
      <c r="GF76" s="47"/>
      <c r="GG76" s="47"/>
      <c r="GH76" s="47"/>
      <c r="GI76" s="47"/>
      <c r="GJ76" s="47"/>
      <c r="GK76" s="47"/>
      <c r="GL76" s="47"/>
      <c r="GM76" s="47"/>
      <c r="GN76" s="47"/>
      <c r="GO76" s="47"/>
      <c r="GP76" s="47"/>
      <c r="GQ76" s="47"/>
      <c r="GR76" s="47"/>
      <c r="GS76" s="47"/>
      <c r="GT76" s="47"/>
      <c r="GU76" s="47"/>
      <c r="GV76" s="47"/>
      <c r="GW76" s="47"/>
      <c r="GX76" s="47"/>
      <c r="GY76" s="47"/>
      <c r="GZ76" s="47"/>
      <c r="HA76" s="47"/>
      <c r="HB76" s="47"/>
      <c r="HC76" s="47"/>
      <c r="HD76" s="47"/>
      <c r="HE76" s="47"/>
      <c r="HF76" s="47"/>
      <c r="HG76" s="47"/>
      <c r="HH76" s="47"/>
      <c r="HI76" s="47"/>
      <c r="HJ76" s="47"/>
      <c r="HK76" s="47"/>
      <c r="HL76" s="47"/>
      <c r="HM76" s="47"/>
      <c r="HN76" s="47"/>
      <c r="HO76" s="47"/>
      <c r="HP76" s="47"/>
      <c r="HQ76" s="47"/>
      <c r="HR76" s="47"/>
      <c r="HS76" s="47"/>
      <c r="HT76" s="47"/>
      <c r="HU76" s="47"/>
      <c r="HV76" s="47"/>
      <c r="HW76" s="47"/>
      <c r="HX76" s="47"/>
      <c r="HY76" s="47"/>
      <c r="HZ76" s="47"/>
      <c r="IA76" s="47"/>
      <c r="IB76" s="47"/>
      <c r="IC76" s="47"/>
      <c r="ID76" s="47"/>
      <c r="IE76" s="47"/>
      <c r="IF76" s="47"/>
      <c r="IG76" s="47"/>
      <c r="IH76" s="47"/>
      <c r="II76" s="47"/>
      <c r="IJ76" s="47"/>
      <c r="IK76" s="47"/>
      <c r="IL76" s="47"/>
      <c r="IM76" s="47"/>
      <c r="IN76" s="47"/>
      <c r="IO76" s="47"/>
      <c r="IP76" s="47"/>
      <c r="IQ76" s="47"/>
      <c r="IR76" s="47"/>
      <c r="IS76" s="47"/>
      <c r="IT76" s="47"/>
      <c r="IU76" s="47"/>
      <c r="IV76" s="47"/>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F76" s="63">
        <v>4.2000000000000003E-2</v>
      </c>
      <c r="NG76" s="64">
        <v>72242.444017287649</v>
      </c>
      <c r="NH76" s="13">
        <v>0.375</v>
      </c>
      <c r="NI76" s="1">
        <f>Combine!A78</f>
        <v>48092</v>
      </c>
      <c r="NJ76" s="14">
        <f>Combine!F78</f>
        <v>217057.556133153</v>
      </c>
    </row>
    <row r="77" spans="1:374" ht="12.75" customHeight="1" x14ac:dyDescent="0.3">
      <c r="A77" s="59"/>
      <c r="D77" s="61"/>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7"/>
      <c r="DB77" s="47"/>
      <c r="DC77" s="47"/>
      <c r="DD77" s="47"/>
      <c r="DE77" s="47"/>
      <c r="DF77" s="47"/>
      <c r="DG77" s="47"/>
      <c r="DH77" s="47"/>
      <c r="DI77" s="47"/>
      <c r="DJ77" s="47"/>
      <c r="DK77" s="47"/>
      <c r="DL77" s="47"/>
      <c r="DM77" s="47"/>
      <c r="DN77" s="47"/>
      <c r="DO77" s="47"/>
      <c r="DP77" s="47"/>
      <c r="DQ77" s="47"/>
      <c r="DR77" s="47"/>
      <c r="DS77" s="47"/>
      <c r="DT77" s="47"/>
      <c r="DU77" s="47"/>
      <c r="DV77" s="47"/>
      <c r="DW77" s="47"/>
      <c r="DX77" s="47"/>
      <c r="DY77" s="47"/>
      <c r="DZ77" s="47"/>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c r="FO77" s="47"/>
      <c r="FP77" s="47"/>
      <c r="FQ77" s="47"/>
      <c r="FR77" s="47"/>
      <c r="FS77" s="47"/>
      <c r="FT77" s="47"/>
      <c r="FU77" s="47"/>
      <c r="FV77" s="47"/>
      <c r="FW77" s="47"/>
      <c r="FX77" s="47"/>
      <c r="FY77" s="47"/>
      <c r="FZ77" s="47"/>
      <c r="GA77" s="47"/>
      <c r="GB77" s="47"/>
      <c r="GC77" s="47"/>
      <c r="GD77" s="47"/>
      <c r="GE77" s="47"/>
      <c r="GF77" s="47"/>
      <c r="GG77" s="47"/>
      <c r="GH77" s="47"/>
      <c r="GI77" s="47"/>
      <c r="GJ77" s="47"/>
      <c r="GK77" s="47"/>
      <c r="GL77" s="47"/>
      <c r="GM77" s="47"/>
      <c r="GN77" s="47"/>
      <c r="GO77" s="47"/>
      <c r="GP77" s="47"/>
      <c r="GQ77" s="47"/>
      <c r="GR77" s="47"/>
      <c r="GS77" s="47"/>
      <c r="GT77" s="47"/>
      <c r="GU77" s="47"/>
      <c r="GV77" s="47"/>
      <c r="GW77" s="47"/>
      <c r="GX77" s="47"/>
      <c r="GY77" s="47"/>
      <c r="GZ77" s="47"/>
      <c r="HA77" s="47"/>
      <c r="HB77" s="47"/>
      <c r="HC77" s="47"/>
      <c r="HD77" s="47"/>
      <c r="HE77" s="47"/>
      <c r="HF77" s="47"/>
      <c r="HG77" s="47"/>
      <c r="HH77" s="47"/>
      <c r="HI77" s="47"/>
      <c r="HJ77" s="47"/>
      <c r="HK77" s="47"/>
      <c r="HL77" s="47"/>
      <c r="HM77" s="47"/>
      <c r="HN77" s="47"/>
      <c r="HO77" s="47"/>
      <c r="HP77" s="47"/>
      <c r="HQ77" s="47"/>
      <c r="HR77" s="47"/>
      <c r="HS77" s="47"/>
      <c r="HT77" s="47"/>
      <c r="HU77" s="47"/>
      <c r="HV77" s="47"/>
      <c r="HW77" s="47"/>
      <c r="HX77" s="47"/>
      <c r="HY77" s="47"/>
      <c r="HZ77" s="47"/>
      <c r="IA77" s="47"/>
      <c r="IB77" s="47"/>
      <c r="IC77" s="47"/>
      <c r="ID77" s="47"/>
      <c r="IE77" s="47"/>
      <c r="IF77" s="47"/>
      <c r="IG77" s="47"/>
      <c r="IH77" s="47"/>
      <c r="II77" s="47"/>
      <c r="IJ77" s="47"/>
      <c r="IK77" s="47"/>
      <c r="IL77" s="47"/>
      <c r="IM77" s="47"/>
      <c r="IN77" s="47"/>
      <c r="IO77" s="47"/>
      <c r="IP77" s="47"/>
      <c r="IQ77" s="47"/>
      <c r="IR77" s="47"/>
      <c r="IS77" s="47"/>
      <c r="IT77" s="47"/>
      <c r="IU77" s="47"/>
      <c r="IV77" s="47"/>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F77" s="63">
        <v>4.2999999999999997E-2</v>
      </c>
      <c r="NG77" s="64">
        <v>68712.637794935305</v>
      </c>
      <c r="NH77" s="13">
        <v>0.38</v>
      </c>
      <c r="NI77" s="1">
        <f>Combine!A79</f>
        <v>48503</v>
      </c>
      <c r="NJ77" s="14">
        <f>Combine!F79</f>
        <v>54398.477718802002</v>
      </c>
    </row>
    <row r="78" spans="1:374" ht="12.75" customHeight="1" x14ac:dyDescent="0.3">
      <c r="A78" s="59"/>
      <c r="D78" s="61"/>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7"/>
      <c r="DB78" s="47"/>
      <c r="DC78" s="47"/>
      <c r="DD78" s="47"/>
      <c r="DE78" s="47"/>
      <c r="DF78" s="47"/>
      <c r="DG78" s="47"/>
      <c r="DH78" s="47"/>
      <c r="DI78" s="47"/>
      <c r="DJ78" s="47"/>
      <c r="DK78" s="47"/>
      <c r="DL78" s="47"/>
      <c r="DM78" s="47"/>
      <c r="DN78" s="47"/>
      <c r="DO78" s="47"/>
      <c r="DP78" s="47"/>
      <c r="DQ78" s="47"/>
      <c r="DR78" s="47"/>
      <c r="DS78" s="47"/>
      <c r="DT78" s="47"/>
      <c r="DU78" s="47"/>
      <c r="DV78" s="47"/>
      <c r="DW78" s="47"/>
      <c r="DX78" s="47"/>
      <c r="DY78" s="47"/>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T78" s="47"/>
      <c r="HU78" s="47"/>
      <c r="HV78" s="47"/>
      <c r="HW78" s="47"/>
      <c r="HX78" s="47"/>
      <c r="HY78" s="47"/>
      <c r="HZ78" s="47"/>
      <c r="IA78" s="47"/>
      <c r="IB78" s="47"/>
      <c r="IC78" s="47"/>
      <c r="ID78" s="47"/>
      <c r="IE78" s="47"/>
      <c r="IF78" s="47"/>
      <c r="IG78" s="47"/>
      <c r="IH78" s="47"/>
      <c r="II78" s="47"/>
      <c r="IJ78" s="47"/>
      <c r="IK78" s="47"/>
      <c r="IL78" s="47"/>
      <c r="IM78" s="47"/>
      <c r="IN78" s="47"/>
      <c r="IO78" s="47"/>
      <c r="IP78" s="47"/>
      <c r="IQ78" s="47"/>
      <c r="IR78" s="47"/>
      <c r="IS78" s="47"/>
      <c r="IT78" s="47"/>
      <c r="IU78" s="47"/>
      <c r="IV78" s="47"/>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F78" s="63">
        <v>4.3999999999999997E-2</v>
      </c>
      <c r="NG78" s="64">
        <v>65171.215625795521</v>
      </c>
      <c r="NH78" s="13">
        <v>0.38500000000000001</v>
      </c>
      <c r="NI78" s="1">
        <f>Combine!A80</f>
        <v>48238</v>
      </c>
      <c r="NJ78" s="14">
        <f>Combine!F80</f>
        <v>42809.804725090398</v>
      </c>
    </row>
    <row r="79" spans="1:374" ht="12.75" customHeight="1" x14ac:dyDescent="0.3">
      <c r="A79" s="59"/>
      <c r="D79" s="61"/>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7"/>
      <c r="DB79" s="47"/>
      <c r="DC79" s="47"/>
      <c r="DD79" s="47"/>
      <c r="DE79" s="47"/>
      <c r="DF79" s="47"/>
      <c r="DG79" s="47"/>
      <c r="DH79" s="47"/>
      <c r="DI79" s="47"/>
      <c r="DJ79" s="47"/>
      <c r="DK79" s="47"/>
      <c r="DL79" s="47"/>
      <c r="DM79" s="47"/>
      <c r="DN79" s="47"/>
      <c r="DO79" s="47"/>
      <c r="DP79" s="47"/>
      <c r="DQ79" s="47"/>
      <c r="DR79" s="47"/>
      <c r="DS79" s="47"/>
      <c r="DT79" s="47"/>
      <c r="DU79" s="47"/>
      <c r="DV79" s="47"/>
      <c r="DW79" s="47"/>
      <c r="DX79" s="47"/>
      <c r="DY79" s="47"/>
      <c r="DZ79" s="47"/>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c r="FO79" s="47"/>
      <c r="FP79" s="47"/>
      <c r="FQ79" s="47"/>
      <c r="FR79" s="47"/>
      <c r="FS79" s="47"/>
      <c r="FT79" s="47"/>
      <c r="FU79" s="47"/>
      <c r="FV79" s="47"/>
      <c r="FW79" s="47"/>
      <c r="FX79" s="47"/>
      <c r="FY79" s="47"/>
      <c r="FZ79" s="47"/>
      <c r="GA79" s="47"/>
      <c r="GB79" s="47"/>
      <c r="GC79" s="47"/>
      <c r="GD79" s="47"/>
      <c r="GE79" s="47"/>
      <c r="GF79" s="47"/>
      <c r="GG79" s="47"/>
      <c r="GH79" s="47"/>
      <c r="GI79" s="47"/>
      <c r="GJ79" s="47"/>
      <c r="GK79" s="47"/>
      <c r="GL79" s="47"/>
      <c r="GM79" s="47"/>
      <c r="GN79" s="47"/>
      <c r="GO79" s="47"/>
      <c r="GP79" s="47"/>
      <c r="GQ79" s="47"/>
      <c r="GR79" s="47"/>
      <c r="GS79" s="47"/>
      <c r="GT79" s="47"/>
      <c r="GU79" s="47"/>
      <c r="GV79" s="47"/>
      <c r="GW79" s="47"/>
      <c r="GX79" s="47"/>
      <c r="GY79" s="47"/>
      <c r="GZ79" s="47"/>
      <c r="HA79" s="47"/>
      <c r="HB79" s="47"/>
      <c r="HC79" s="47"/>
      <c r="HD79" s="47"/>
      <c r="HE79" s="47"/>
      <c r="HF79" s="47"/>
      <c r="HG79" s="47"/>
      <c r="HH79" s="47"/>
      <c r="HI79" s="47"/>
      <c r="HJ79" s="47"/>
      <c r="HK79" s="47"/>
      <c r="HL79" s="47"/>
      <c r="HM79" s="47"/>
      <c r="HN79" s="47"/>
      <c r="HO79" s="47"/>
      <c r="HP79" s="47"/>
      <c r="HQ79" s="47"/>
      <c r="HR79" s="47"/>
      <c r="HS79" s="47"/>
      <c r="HT79" s="47"/>
      <c r="HU79" s="47"/>
      <c r="HV79" s="47"/>
      <c r="HW79" s="47"/>
      <c r="HX79" s="47"/>
      <c r="HY79" s="47"/>
      <c r="HZ79" s="47"/>
      <c r="IA79" s="47"/>
      <c r="IB79" s="47"/>
      <c r="IC79" s="47"/>
      <c r="ID79" s="47"/>
      <c r="IE79" s="47"/>
      <c r="IF79" s="47"/>
      <c r="IG79" s="47"/>
      <c r="IH79" s="47"/>
      <c r="II79" s="47"/>
      <c r="IJ79" s="47"/>
      <c r="IK79" s="47"/>
      <c r="IL79" s="47"/>
      <c r="IM79" s="47"/>
      <c r="IN79" s="47"/>
      <c r="IO79" s="47"/>
      <c r="IP79" s="47"/>
      <c r="IQ79" s="47"/>
      <c r="IR79" s="47"/>
      <c r="IS79" s="47"/>
      <c r="IT79" s="47"/>
      <c r="IU79" s="47"/>
      <c r="IV79" s="47"/>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F79" s="63">
        <v>4.4999999999999901E-2</v>
      </c>
      <c r="NG79" s="64">
        <v>61618.332941293593</v>
      </c>
      <c r="NH79" s="13">
        <v>0.39</v>
      </c>
      <c r="NI79" s="1">
        <f>Combine!A81</f>
        <v>48340</v>
      </c>
      <c r="NJ79" s="14">
        <f>Combine!F81</f>
        <v>106003.16061858099</v>
      </c>
    </row>
    <row r="80" spans="1:374" ht="12.75" customHeight="1" x14ac:dyDescent="0.3">
      <c r="A80" s="59"/>
      <c r="D80" s="61"/>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7"/>
      <c r="DB80" s="47"/>
      <c r="DC80" s="47"/>
      <c r="DD80" s="47"/>
      <c r="DE80" s="47"/>
      <c r="DF80" s="47"/>
      <c r="DG80" s="47"/>
      <c r="DH80" s="47"/>
      <c r="DI80" s="47"/>
      <c r="DJ80" s="47"/>
      <c r="DK80" s="47"/>
      <c r="DL80" s="47"/>
      <c r="DM80" s="47"/>
      <c r="DN80" s="47"/>
      <c r="DO80" s="47"/>
      <c r="DP80" s="47"/>
      <c r="DQ80" s="47"/>
      <c r="DR80" s="47"/>
      <c r="DS80" s="47"/>
      <c r="DT80" s="47"/>
      <c r="DU80" s="47"/>
      <c r="DV80" s="47"/>
      <c r="DW80" s="47"/>
      <c r="DX80" s="47"/>
      <c r="DY80" s="47"/>
      <c r="DZ80" s="47"/>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c r="FO80" s="47"/>
      <c r="FP80" s="47"/>
      <c r="FQ80" s="47"/>
      <c r="FR80" s="47"/>
      <c r="FS80" s="47"/>
      <c r="FT80" s="47"/>
      <c r="FU80" s="47"/>
      <c r="FV80" s="47"/>
      <c r="FW80" s="47"/>
      <c r="FX80" s="47"/>
      <c r="FY80" s="47"/>
      <c r="FZ80" s="47"/>
      <c r="GA80" s="47"/>
      <c r="GB80" s="47"/>
      <c r="GC80" s="47"/>
      <c r="GD80" s="47"/>
      <c r="GE80" s="47"/>
      <c r="GF80" s="47"/>
      <c r="GG80" s="47"/>
      <c r="GH80" s="47"/>
      <c r="GI80" s="47"/>
      <c r="GJ80" s="47"/>
      <c r="GK80" s="47"/>
      <c r="GL80" s="47"/>
      <c r="GM80" s="47"/>
      <c r="GN80" s="47"/>
      <c r="GO80" s="47"/>
      <c r="GP80" s="47"/>
      <c r="GQ80" s="47"/>
      <c r="GR80" s="47"/>
      <c r="GS80" s="47"/>
      <c r="GT80" s="47"/>
      <c r="GU80" s="47"/>
      <c r="GV80" s="47"/>
      <c r="GW80" s="47"/>
      <c r="GX80" s="47"/>
      <c r="GY80" s="47"/>
      <c r="GZ80" s="47"/>
      <c r="HA80" s="47"/>
      <c r="HB80" s="47"/>
      <c r="HC80" s="47"/>
      <c r="HD80" s="47"/>
      <c r="HE80" s="47"/>
      <c r="HF80" s="47"/>
      <c r="HG80" s="47"/>
      <c r="HH80" s="47"/>
      <c r="HI80" s="47"/>
      <c r="HJ80" s="47"/>
      <c r="HK80" s="47"/>
      <c r="HL80" s="47"/>
      <c r="HM80" s="47"/>
      <c r="HN80" s="47"/>
      <c r="HO80" s="47"/>
      <c r="HP80" s="47"/>
      <c r="HQ80" s="47"/>
      <c r="HR80" s="47"/>
      <c r="HS80" s="47"/>
      <c r="HT80" s="47"/>
      <c r="HU80" s="47"/>
      <c r="HV80" s="47"/>
      <c r="HW80" s="47"/>
      <c r="HX80" s="47"/>
      <c r="HY80" s="47"/>
      <c r="HZ80" s="47"/>
      <c r="IA80" s="47"/>
      <c r="IB80" s="47"/>
      <c r="IC80" s="47"/>
      <c r="ID80" s="47"/>
      <c r="IE80" s="47"/>
      <c r="IF80" s="47"/>
      <c r="IG80" s="47"/>
      <c r="IH80" s="47"/>
      <c r="II80" s="47"/>
      <c r="IJ80" s="47"/>
      <c r="IK80" s="47"/>
      <c r="IL80" s="47"/>
      <c r="IM80" s="47"/>
      <c r="IN80" s="47"/>
      <c r="IO80" s="47"/>
      <c r="IP80" s="47"/>
      <c r="IQ80" s="47"/>
      <c r="IR80" s="47"/>
      <c r="IS80" s="47"/>
      <c r="IT80" s="47"/>
      <c r="IU80" s="47"/>
      <c r="IV80" s="47"/>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F80" s="63">
        <v>4.5999999999999902E-2</v>
      </c>
      <c r="NG80" s="64">
        <v>58054.14528324503</v>
      </c>
      <c r="NH80" s="13">
        <v>0.39500000000000002</v>
      </c>
      <c r="NI80" s="1">
        <f>Combine!A82</f>
        <v>48336</v>
      </c>
      <c r="NJ80" s="14">
        <f>Combine!F82</f>
        <v>263635.78904095403</v>
      </c>
    </row>
    <row r="81" spans="1:374" ht="12.75" customHeight="1" x14ac:dyDescent="0.3">
      <c r="A81" s="59"/>
      <c r="D81" s="61"/>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7"/>
      <c r="DB81" s="47"/>
      <c r="DC81" s="47"/>
      <c r="DD81" s="47"/>
      <c r="DE81" s="47"/>
      <c r="DF81" s="47"/>
      <c r="DG81" s="47"/>
      <c r="DH81" s="47"/>
      <c r="DI81" s="47"/>
      <c r="DJ81" s="47"/>
      <c r="DK81" s="47"/>
      <c r="DL81" s="47"/>
      <c r="DM81" s="47"/>
      <c r="DN81" s="47"/>
      <c r="DO81" s="47"/>
      <c r="DP81" s="47"/>
      <c r="DQ81" s="47"/>
      <c r="DR81" s="47"/>
      <c r="DS81" s="47"/>
      <c r="DT81" s="47"/>
      <c r="DU81" s="47"/>
      <c r="DV81" s="47"/>
      <c r="DW81" s="47"/>
      <c r="DX81" s="47"/>
      <c r="DY81" s="47"/>
      <c r="DZ81" s="47"/>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c r="FO81" s="47"/>
      <c r="FP81" s="47"/>
      <c r="FQ81" s="47"/>
      <c r="FR81" s="47"/>
      <c r="FS81" s="47"/>
      <c r="FT81" s="47"/>
      <c r="FU81" s="47"/>
      <c r="FV81" s="47"/>
      <c r="FW81" s="47"/>
      <c r="FX81" s="47"/>
      <c r="FY81" s="47"/>
      <c r="FZ81" s="47"/>
      <c r="GA81" s="47"/>
      <c r="GB81" s="47"/>
      <c r="GC81" s="47"/>
      <c r="GD81" s="47"/>
      <c r="GE81" s="47"/>
      <c r="GF81" s="47"/>
      <c r="GG81" s="47"/>
      <c r="GH81" s="47"/>
      <c r="GI81" s="47"/>
      <c r="GJ81" s="47"/>
      <c r="GK81" s="47"/>
      <c r="GL81" s="47"/>
      <c r="GM81" s="47"/>
      <c r="GN81" s="47"/>
      <c r="GO81" s="47"/>
      <c r="GP81" s="47"/>
      <c r="GQ81" s="47"/>
      <c r="GR81" s="47"/>
      <c r="GS81" s="47"/>
      <c r="GT81" s="47"/>
      <c r="GU81" s="47"/>
      <c r="GV81" s="47"/>
      <c r="GW81" s="47"/>
      <c r="GX81" s="47"/>
      <c r="GY81" s="47"/>
      <c r="GZ81" s="47"/>
      <c r="HA81" s="47"/>
      <c r="HB81" s="47"/>
      <c r="HC81" s="47"/>
      <c r="HD81" s="47"/>
      <c r="HE81" s="47"/>
      <c r="HF81" s="47"/>
      <c r="HG81" s="47"/>
      <c r="HH81" s="47"/>
      <c r="HI81" s="47"/>
      <c r="HJ81" s="47"/>
      <c r="HK81" s="47"/>
      <c r="HL81" s="47"/>
      <c r="HM81" s="47"/>
      <c r="HN81" s="47"/>
      <c r="HO81" s="47"/>
      <c r="HP81" s="47"/>
      <c r="HQ81" s="47"/>
      <c r="HR81" s="47"/>
      <c r="HS81" s="47"/>
      <c r="HT81" s="47"/>
      <c r="HU81" s="47"/>
      <c r="HV81" s="47"/>
      <c r="HW81" s="47"/>
      <c r="HX81" s="47"/>
      <c r="HY81" s="47"/>
      <c r="HZ81" s="47"/>
      <c r="IA81" s="47"/>
      <c r="IB81" s="47"/>
      <c r="IC81" s="47"/>
      <c r="ID81" s="47"/>
      <c r="IE81" s="47"/>
      <c r="IF81" s="47"/>
      <c r="IG81" s="47"/>
      <c r="IH81" s="47"/>
      <c r="II81" s="47"/>
      <c r="IJ81" s="47"/>
      <c r="IK81" s="47"/>
      <c r="IL81" s="47"/>
      <c r="IM81" s="47"/>
      <c r="IN81" s="47"/>
      <c r="IO81" s="47"/>
      <c r="IP81" s="47"/>
      <c r="IQ81" s="47"/>
      <c r="IR81" s="47"/>
      <c r="IS81" s="47"/>
      <c r="IT81" s="47"/>
      <c r="IU81" s="47"/>
      <c r="IV81" s="47"/>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F81" s="63">
        <v>4.6999999999999903E-2</v>
      </c>
      <c r="NG81" s="64">
        <v>54478.808243529173</v>
      </c>
      <c r="NH81" s="13">
        <v>0.4</v>
      </c>
      <c r="NI81" s="1">
        <f>Combine!A83</f>
        <v>48076</v>
      </c>
      <c r="NJ81" s="14">
        <f>Combine!F83</f>
        <v>266985.27904510102</v>
      </c>
    </row>
    <row r="82" spans="1:374" ht="12.75" customHeight="1" x14ac:dyDescent="0.3">
      <c r="A82" s="59"/>
      <c r="D82" s="61"/>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7"/>
      <c r="DB82" s="47"/>
      <c r="DC82" s="47"/>
      <c r="DD82" s="47"/>
      <c r="DE82" s="47"/>
      <c r="DF82" s="47"/>
      <c r="DG82" s="47"/>
      <c r="DH82" s="47"/>
      <c r="DI82" s="47"/>
      <c r="DJ82" s="47"/>
      <c r="DK82" s="47"/>
      <c r="DL82" s="47"/>
      <c r="DM82" s="47"/>
      <c r="DN82" s="47"/>
      <c r="DO82" s="47"/>
      <c r="DP82" s="47"/>
      <c r="DQ82" s="47"/>
      <c r="DR82" s="47"/>
      <c r="DS82" s="47"/>
      <c r="DT82" s="47"/>
      <c r="DU82" s="47"/>
      <c r="DV82" s="47"/>
      <c r="DW82" s="47"/>
      <c r="DX82" s="47"/>
      <c r="DY82" s="47"/>
      <c r="DZ82" s="47"/>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c r="FO82" s="47"/>
      <c r="FP82" s="47"/>
      <c r="FQ82" s="47"/>
      <c r="FR82" s="47"/>
      <c r="FS82" s="47"/>
      <c r="FT82" s="47"/>
      <c r="FU82" s="47"/>
      <c r="FV82" s="47"/>
      <c r="FW82" s="47"/>
      <c r="FX82" s="47"/>
      <c r="FY82" s="47"/>
      <c r="FZ82" s="47"/>
      <c r="GA82" s="47"/>
      <c r="GB82" s="47"/>
      <c r="GC82" s="47"/>
      <c r="GD82" s="47"/>
      <c r="GE82" s="47"/>
      <c r="GF82" s="47"/>
      <c r="GG82" s="47"/>
      <c r="GH82" s="47"/>
      <c r="GI82" s="47"/>
      <c r="GJ82" s="47"/>
      <c r="GK82" s="47"/>
      <c r="GL82" s="47"/>
      <c r="GM82" s="47"/>
      <c r="GN82" s="47"/>
      <c r="GO82" s="47"/>
      <c r="GP82" s="47"/>
      <c r="GQ82" s="47"/>
      <c r="GR82" s="47"/>
      <c r="GS82" s="47"/>
      <c r="GT82" s="47"/>
      <c r="GU82" s="47"/>
      <c r="GV82" s="47"/>
      <c r="GW82" s="47"/>
      <c r="GX82" s="47"/>
      <c r="GY82" s="47"/>
      <c r="GZ82" s="47"/>
      <c r="HA82" s="47"/>
      <c r="HB82" s="47"/>
      <c r="HC82" s="47"/>
      <c r="HD82" s="47"/>
      <c r="HE82" s="47"/>
      <c r="HF82" s="47"/>
      <c r="HG82" s="47"/>
      <c r="HH82" s="47"/>
      <c r="HI82" s="47"/>
      <c r="HJ82" s="47"/>
      <c r="HK82" s="47"/>
      <c r="HL82" s="47"/>
      <c r="HM82" s="47"/>
      <c r="HN82" s="47"/>
      <c r="HO82" s="47"/>
      <c r="HP82" s="47"/>
      <c r="HQ82" s="47"/>
      <c r="HR82" s="47"/>
      <c r="HS82" s="47"/>
      <c r="HT82" s="47"/>
      <c r="HU82" s="47"/>
      <c r="HV82" s="47"/>
      <c r="HW82" s="47"/>
      <c r="HX82" s="47"/>
      <c r="HY82" s="47"/>
      <c r="HZ82" s="47"/>
      <c r="IA82" s="47"/>
      <c r="IB82" s="47"/>
      <c r="IC82" s="47"/>
      <c r="ID82" s="47"/>
      <c r="IE82" s="47"/>
      <c r="IF82" s="47"/>
      <c r="IG82" s="47"/>
      <c r="IH82" s="47"/>
      <c r="II82" s="47"/>
      <c r="IJ82" s="47"/>
      <c r="IK82" s="47"/>
      <c r="IL82" s="47"/>
      <c r="IM82" s="47"/>
      <c r="IN82" s="47"/>
      <c r="IO82" s="47"/>
      <c r="IP82" s="47"/>
      <c r="IQ82" s="47"/>
      <c r="IR82" s="47"/>
      <c r="IS82" s="47"/>
      <c r="IT82" s="47"/>
      <c r="IU82" s="47"/>
      <c r="IV82" s="47"/>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F82" s="63">
        <v>4.7999999999999897E-2</v>
      </c>
      <c r="NG82" s="64">
        <v>50892.477404556805</v>
      </c>
      <c r="NH82" s="13">
        <v>0.40500000000000003</v>
      </c>
      <c r="NI82" s="1">
        <f>Combine!A84</f>
        <v>48192</v>
      </c>
      <c r="NJ82" s="14">
        <f>Combine!F84</f>
        <v>156800.896419417</v>
      </c>
    </row>
    <row r="83" spans="1:374" ht="12.75" customHeight="1" x14ac:dyDescent="0.3">
      <c r="A83" s="59"/>
      <c r="D83" s="61"/>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7"/>
      <c r="DB83" s="47"/>
      <c r="DC83" s="47"/>
      <c r="DD83" s="47"/>
      <c r="DE83" s="47"/>
      <c r="DF83" s="47"/>
      <c r="DG83" s="47"/>
      <c r="DH83" s="47"/>
      <c r="DI83" s="47"/>
      <c r="DJ83" s="47"/>
      <c r="DK83" s="47"/>
      <c r="DL83" s="47"/>
      <c r="DM83" s="47"/>
      <c r="DN83" s="47"/>
      <c r="DO83" s="47"/>
      <c r="DP83" s="47"/>
      <c r="DQ83" s="47"/>
      <c r="DR83" s="47"/>
      <c r="DS83" s="47"/>
      <c r="DT83" s="47"/>
      <c r="DU83" s="47"/>
      <c r="DV83" s="47"/>
      <c r="DW83" s="47"/>
      <c r="DX83" s="47"/>
      <c r="DY83" s="47"/>
      <c r="DZ83" s="47"/>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c r="FO83" s="47"/>
      <c r="FP83" s="47"/>
      <c r="FQ83" s="47"/>
      <c r="FR83" s="47"/>
      <c r="FS83" s="47"/>
      <c r="FT83" s="47"/>
      <c r="FU83" s="47"/>
      <c r="FV83" s="47"/>
      <c r="FW83" s="47"/>
      <c r="FX83" s="47"/>
      <c r="FY83" s="47"/>
      <c r="FZ83" s="47"/>
      <c r="GA83" s="47"/>
      <c r="GB83" s="47"/>
      <c r="GC83" s="47"/>
      <c r="GD83" s="47"/>
      <c r="GE83" s="47"/>
      <c r="GF83" s="47"/>
      <c r="GG83" s="47"/>
      <c r="GH83" s="47"/>
      <c r="GI83" s="47"/>
      <c r="GJ83" s="47"/>
      <c r="GK83" s="47"/>
      <c r="GL83" s="47"/>
      <c r="GM83" s="47"/>
      <c r="GN83" s="47"/>
      <c r="GO83" s="47"/>
      <c r="GP83" s="47"/>
      <c r="GQ83" s="47"/>
      <c r="GR83" s="47"/>
      <c r="GS83" s="47"/>
      <c r="GT83" s="47"/>
      <c r="GU83" s="47"/>
      <c r="GV83" s="47"/>
      <c r="GW83" s="47"/>
      <c r="GX83" s="47"/>
      <c r="GY83" s="47"/>
      <c r="GZ83" s="47"/>
      <c r="HA83" s="47"/>
      <c r="HB83" s="47"/>
      <c r="HC83" s="47"/>
      <c r="HD83" s="47"/>
      <c r="HE83" s="47"/>
      <c r="HF83" s="47"/>
      <c r="HG83" s="47"/>
      <c r="HH83" s="47"/>
      <c r="HI83" s="47"/>
      <c r="HJ83" s="47"/>
      <c r="HK83" s="47"/>
      <c r="HL83" s="47"/>
      <c r="HM83" s="47"/>
      <c r="HN83" s="47"/>
      <c r="HO83" s="47"/>
      <c r="HP83" s="47"/>
      <c r="HQ83" s="47"/>
      <c r="HR83" s="47"/>
      <c r="HS83" s="47"/>
      <c r="HT83" s="47"/>
      <c r="HU83" s="47"/>
      <c r="HV83" s="47"/>
      <c r="HW83" s="47"/>
      <c r="HX83" s="47"/>
      <c r="HY83" s="47"/>
      <c r="HZ83" s="47"/>
      <c r="IA83" s="47"/>
      <c r="IB83" s="47"/>
      <c r="IC83" s="47"/>
      <c r="ID83" s="47"/>
      <c r="IE83" s="47"/>
      <c r="IF83" s="47"/>
      <c r="IG83" s="47"/>
      <c r="IH83" s="47"/>
      <c r="II83" s="47"/>
      <c r="IJ83" s="47"/>
      <c r="IK83" s="47"/>
      <c r="IL83" s="47"/>
      <c r="IM83" s="47"/>
      <c r="IN83" s="47"/>
      <c r="IO83" s="47"/>
      <c r="IP83" s="47"/>
      <c r="IQ83" s="47"/>
      <c r="IR83" s="47"/>
      <c r="IS83" s="47"/>
      <c r="IT83" s="47"/>
      <c r="IU83" s="47"/>
      <c r="IV83" s="47"/>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F83" s="63">
        <v>4.8999999999999898E-2</v>
      </c>
      <c r="NG83" s="64">
        <v>47295.308280572957</v>
      </c>
      <c r="NH83" s="13">
        <v>0.41</v>
      </c>
      <c r="NI83" s="1">
        <f>Combine!A85</f>
        <v>48045</v>
      </c>
      <c r="NJ83" s="14">
        <f>Combine!F85</f>
        <v>262800.31000735197</v>
      </c>
    </row>
    <row r="84" spans="1:374" ht="12.75" customHeight="1" x14ac:dyDescent="0.3">
      <c r="A84" s="59"/>
      <c r="D84" s="61"/>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7"/>
      <c r="DB84" s="47"/>
      <c r="DC84" s="47"/>
      <c r="DD84" s="47"/>
      <c r="DE84" s="47"/>
      <c r="DF84" s="47"/>
      <c r="DG84" s="47"/>
      <c r="DH84" s="47"/>
      <c r="DI84" s="47"/>
      <c r="DJ84" s="47"/>
      <c r="DK84" s="47"/>
      <c r="DL84" s="47"/>
      <c r="DM84" s="47"/>
      <c r="DN84" s="47"/>
      <c r="DO84" s="47"/>
      <c r="DP84" s="47"/>
      <c r="DQ84" s="47"/>
      <c r="DR84" s="47"/>
      <c r="DS84" s="47"/>
      <c r="DT84" s="47"/>
      <c r="DU84" s="47"/>
      <c r="DV84" s="47"/>
      <c r="DW84" s="47"/>
      <c r="DX84" s="47"/>
      <c r="DY84" s="47"/>
      <c r="DZ84" s="47"/>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c r="FO84" s="47"/>
      <c r="FP84" s="47"/>
      <c r="FQ84" s="47"/>
      <c r="FR84" s="47"/>
      <c r="FS84" s="47"/>
      <c r="FT84" s="47"/>
      <c r="FU84" s="47"/>
      <c r="FV84" s="47"/>
      <c r="FW84" s="47"/>
      <c r="FX84" s="47"/>
      <c r="FY84" s="47"/>
      <c r="FZ84" s="47"/>
      <c r="GA84" s="47"/>
      <c r="GB84" s="47"/>
      <c r="GC84" s="47"/>
      <c r="GD84" s="47"/>
      <c r="GE84" s="47"/>
      <c r="GF84" s="47"/>
      <c r="GG84" s="47"/>
      <c r="GH84" s="47"/>
      <c r="GI84" s="47"/>
      <c r="GJ84" s="47"/>
      <c r="GK84" s="47"/>
      <c r="GL84" s="47"/>
      <c r="GM84" s="47"/>
      <c r="GN84" s="47"/>
      <c r="GO84" s="47"/>
      <c r="GP84" s="47"/>
      <c r="GQ84" s="47"/>
      <c r="GR84" s="47"/>
      <c r="GS84" s="47"/>
      <c r="GT84" s="47"/>
      <c r="GU84" s="47"/>
      <c r="GV84" s="47"/>
      <c r="GW84" s="47"/>
      <c r="GX84" s="47"/>
      <c r="GY84" s="47"/>
      <c r="GZ84" s="47"/>
      <c r="HA84" s="47"/>
      <c r="HB84" s="47"/>
      <c r="HC84" s="47"/>
      <c r="HD84" s="47"/>
      <c r="HE84" s="47"/>
      <c r="HF84" s="47"/>
      <c r="HG84" s="47"/>
      <c r="HH84" s="47"/>
      <c r="HI84" s="47"/>
      <c r="HJ84" s="47"/>
      <c r="HK84" s="47"/>
      <c r="HL84" s="47"/>
      <c r="HM84" s="47"/>
      <c r="HN84" s="47"/>
      <c r="HO84" s="47"/>
      <c r="HP84" s="47"/>
      <c r="HQ84" s="47"/>
      <c r="HR84" s="47"/>
      <c r="HS84" s="47"/>
      <c r="HT84" s="47"/>
      <c r="HU84" s="47"/>
      <c r="HV84" s="47"/>
      <c r="HW84" s="47"/>
      <c r="HX84" s="47"/>
      <c r="HY84" s="47"/>
      <c r="HZ84" s="47"/>
      <c r="IA84" s="47"/>
      <c r="IB84" s="47"/>
      <c r="IC84" s="47"/>
      <c r="ID84" s="47"/>
      <c r="IE84" s="47"/>
      <c r="IF84" s="47"/>
      <c r="IG84" s="47"/>
      <c r="IH84" s="47"/>
      <c r="II84" s="47"/>
      <c r="IJ84" s="47"/>
      <c r="IK84" s="47"/>
      <c r="IL84" s="47"/>
      <c r="IM84" s="47"/>
      <c r="IN84" s="47"/>
      <c r="IO84" s="47"/>
      <c r="IP84" s="47"/>
      <c r="IQ84" s="47"/>
      <c r="IR84" s="47"/>
      <c r="IS84" s="47"/>
      <c r="IT84" s="47"/>
      <c r="IU84" s="47"/>
      <c r="IV84" s="47"/>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F84" s="63">
        <v>4.9999999999999899E-2</v>
      </c>
      <c r="NG84" s="64">
        <v>43687.456259831612</v>
      </c>
      <c r="NH84" s="13">
        <v>0.41499999999999998</v>
      </c>
      <c r="NI84" s="1">
        <f>Combine!A86</f>
        <v>48141</v>
      </c>
      <c r="NJ84" s="14">
        <f>Combine!F86</f>
        <v>75069.759609815796</v>
      </c>
    </row>
    <row r="85" spans="1:374" ht="12.75" customHeight="1" x14ac:dyDescent="0.3">
      <c r="A85" s="59"/>
      <c r="D85" s="61"/>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c r="FO85" s="47"/>
      <c r="FP85" s="47"/>
      <c r="FQ85" s="47"/>
      <c r="FR85" s="47"/>
      <c r="FS85" s="47"/>
      <c r="FT85" s="47"/>
      <c r="FU85" s="47"/>
      <c r="FV85" s="47"/>
      <c r="FW85" s="47"/>
      <c r="FX85" s="47"/>
      <c r="FY85" s="47"/>
      <c r="FZ85" s="47"/>
      <c r="GA85" s="47"/>
      <c r="GB85" s="47"/>
      <c r="GC85" s="47"/>
      <c r="GD85" s="47"/>
      <c r="GE85" s="47"/>
      <c r="GF85" s="47"/>
      <c r="GG85" s="47"/>
      <c r="GH85" s="47"/>
      <c r="GI85" s="47"/>
      <c r="GJ85" s="47"/>
      <c r="GK85" s="47"/>
      <c r="GL85" s="47"/>
      <c r="GM85" s="47"/>
      <c r="GN85" s="47"/>
      <c r="GO85" s="47"/>
      <c r="GP85" s="47"/>
      <c r="GQ85" s="47"/>
      <c r="GR85" s="47"/>
      <c r="GS85" s="47"/>
      <c r="GT85" s="47"/>
      <c r="GU85" s="47"/>
      <c r="GV85" s="47"/>
      <c r="GW85" s="47"/>
      <c r="GX85" s="47"/>
      <c r="GY85" s="47"/>
      <c r="GZ85" s="47"/>
      <c r="HA85" s="47"/>
      <c r="HB85" s="47"/>
      <c r="HC85" s="47"/>
      <c r="HD85" s="47"/>
      <c r="HE85" s="47"/>
      <c r="HF85" s="47"/>
      <c r="HG85" s="47"/>
      <c r="HH85" s="47"/>
      <c r="HI85" s="47"/>
      <c r="HJ85" s="47"/>
      <c r="HK85" s="47"/>
      <c r="HL85" s="47"/>
      <c r="HM85" s="47"/>
      <c r="HN85" s="47"/>
      <c r="HO85" s="47"/>
      <c r="HP85" s="47"/>
      <c r="HQ85" s="47"/>
      <c r="HR85" s="47"/>
      <c r="HS85" s="47"/>
      <c r="HT85" s="47"/>
      <c r="HU85" s="47"/>
      <c r="HV85" s="47"/>
      <c r="HW85" s="47"/>
      <c r="HX85" s="47"/>
      <c r="HY85" s="47"/>
      <c r="HZ85" s="47"/>
      <c r="IA85" s="47"/>
      <c r="IB85" s="47"/>
      <c r="IC85" s="47"/>
      <c r="ID85" s="47"/>
      <c r="IE85" s="47"/>
      <c r="IF85" s="47"/>
      <c r="IG85" s="47"/>
      <c r="IH85" s="47"/>
      <c r="II85" s="47"/>
      <c r="IJ85" s="47"/>
      <c r="IK85" s="47"/>
      <c r="IL85" s="47"/>
      <c r="IM85" s="47"/>
      <c r="IN85" s="47"/>
      <c r="IO85" s="47"/>
      <c r="IP85" s="47"/>
      <c r="IQ85" s="47"/>
      <c r="IR85" s="47"/>
      <c r="IS85" s="47"/>
      <c r="IT85" s="47"/>
      <c r="IU85" s="47"/>
      <c r="IV85" s="47"/>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F85" s="63">
        <v>5.09999999999999E-2</v>
      </c>
      <c r="NG85" s="64">
        <v>40069.076547682474</v>
      </c>
      <c r="NH85" s="13">
        <v>0.42</v>
      </c>
      <c r="NI85" s="1">
        <f>Combine!A87</f>
        <v>48390</v>
      </c>
      <c r="NJ85" s="14">
        <f>Combine!F87</f>
        <v>302948.456563538</v>
      </c>
    </row>
    <row r="86" spans="1:374" ht="12.75" customHeight="1" x14ac:dyDescent="0.3">
      <c r="A86" s="59"/>
      <c r="D86" s="61"/>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c r="CT86" s="47"/>
      <c r="CU86" s="47"/>
      <c r="CV86" s="47"/>
      <c r="CW86" s="47"/>
      <c r="CX86" s="47"/>
      <c r="CY86" s="47"/>
      <c r="CZ86" s="47"/>
      <c r="DA86" s="47"/>
      <c r="DB86" s="47"/>
      <c r="DC86" s="47"/>
      <c r="DD86" s="47"/>
      <c r="DE86" s="47"/>
      <c r="DF86" s="47"/>
      <c r="DG86" s="47"/>
      <c r="DH86" s="47"/>
      <c r="DI86" s="47"/>
      <c r="DJ86" s="47"/>
      <c r="DK86" s="47"/>
      <c r="DL86" s="47"/>
      <c r="DM86" s="47"/>
      <c r="DN86" s="47"/>
      <c r="DO86" s="47"/>
      <c r="DP86" s="47"/>
      <c r="DQ86" s="47"/>
      <c r="DR86" s="47"/>
      <c r="DS86" s="47"/>
      <c r="DT86" s="47"/>
      <c r="DU86" s="47"/>
      <c r="DV86" s="47"/>
      <c r="DW86" s="47"/>
      <c r="DX86" s="47"/>
      <c r="DY86" s="47"/>
      <c r="DZ86" s="47"/>
      <c r="EA86" s="47"/>
      <c r="EB86" s="47"/>
      <c r="EC86" s="47"/>
      <c r="ED86" s="47"/>
      <c r="EE86" s="47"/>
      <c r="EF86" s="47"/>
      <c r="EG86" s="47"/>
      <c r="EH86" s="47"/>
      <c r="EI86" s="47"/>
      <c r="EJ86" s="47"/>
      <c r="EK86" s="47"/>
      <c r="EL86" s="47"/>
      <c r="EM86" s="47"/>
      <c r="EN86" s="47"/>
      <c r="EO86" s="47"/>
      <c r="EP86" s="47"/>
      <c r="EQ86" s="47"/>
      <c r="ER86" s="47"/>
      <c r="ES86" s="47"/>
      <c r="ET86" s="47"/>
      <c r="EU86" s="47"/>
      <c r="EV86" s="47"/>
      <c r="EW86" s="47"/>
      <c r="EX86" s="47"/>
      <c r="EY86" s="47"/>
      <c r="EZ86" s="47"/>
      <c r="FA86" s="47"/>
      <c r="FB86" s="47"/>
      <c r="FC86" s="47"/>
      <c r="FD86" s="47"/>
      <c r="FE86" s="47"/>
      <c r="FF86" s="47"/>
      <c r="FG86" s="47"/>
      <c r="FH86" s="47"/>
      <c r="FI86" s="47"/>
      <c r="FJ86" s="47"/>
      <c r="FK86" s="47"/>
      <c r="FL86" s="47"/>
      <c r="FM86" s="47"/>
      <c r="FN86" s="47"/>
      <c r="FO86" s="47"/>
      <c r="FP86" s="47"/>
      <c r="FQ86" s="47"/>
      <c r="FR86" s="47"/>
      <c r="FS86" s="47"/>
      <c r="FT86" s="47"/>
      <c r="FU86" s="47"/>
      <c r="FV86" s="47"/>
      <c r="FW86" s="47"/>
      <c r="FX86" s="47"/>
      <c r="FY86" s="47"/>
      <c r="FZ86" s="47"/>
      <c r="GA86" s="47"/>
      <c r="GB86" s="47"/>
      <c r="GC86" s="47"/>
      <c r="GD86" s="47"/>
      <c r="GE86" s="47"/>
      <c r="GF86" s="47"/>
      <c r="GG86" s="47"/>
      <c r="GH86" s="47"/>
      <c r="GI86" s="47"/>
      <c r="GJ86" s="47"/>
      <c r="GK86" s="47"/>
      <c r="GL86" s="47"/>
      <c r="GM86" s="47"/>
      <c r="GN86" s="47"/>
      <c r="GO86" s="47"/>
      <c r="GP86" s="47"/>
      <c r="GQ86" s="47"/>
      <c r="GR86" s="47"/>
      <c r="GS86" s="47"/>
      <c r="GT86" s="47"/>
      <c r="GU86" s="47"/>
      <c r="GV86" s="47"/>
      <c r="GW86" s="47"/>
      <c r="GX86" s="47"/>
      <c r="GY86" s="47"/>
      <c r="GZ86" s="47"/>
      <c r="HA86" s="47"/>
      <c r="HB86" s="47"/>
      <c r="HC86" s="47"/>
      <c r="HD86" s="47"/>
      <c r="HE86" s="47"/>
      <c r="HF86" s="47"/>
      <c r="HG86" s="47"/>
      <c r="HH86" s="47"/>
      <c r="HI86" s="47"/>
      <c r="HJ86" s="47"/>
      <c r="HK86" s="47"/>
      <c r="HL86" s="47"/>
      <c r="HM86" s="47"/>
      <c r="HN86" s="47"/>
      <c r="HO86" s="47"/>
      <c r="HP86" s="47"/>
      <c r="HQ86" s="47"/>
      <c r="HR86" s="47"/>
      <c r="HS86" s="47"/>
      <c r="HT86" s="47"/>
      <c r="HU86" s="47"/>
      <c r="HV86" s="47"/>
      <c r="HW86" s="47"/>
      <c r="HX86" s="47"/>
      <c r="HY86" s="47"/>
      <c r="HZ86" s="47"/>
      <c r="IA86" s="47"/>
      <c r="IB86" s="47"/>
      <c r="IC86" s="47"/>
      <c r="ID86" s="47"/>
      <c r="IE86" s="47"/>
      <c r="IF86" s="47"/>
      <c r="IG86" s="47"/>
      <c r="IH86" s="47"/>
      <c r="II86" s="47"/>
      <c r="IJ86" s="47"/>
      <c r="IK86" s="47"/>
      <c r="IL86" s="47"/>
      <c r="IM86" s="47"/>
      <c r="IN86" s="47"/>
      <c r="IO86" s="47"/>
      <c r="IP86" s="47"/>
      <c r="IQ86" s="47"/>
      <c r="IR86" s="47"/>
      <c r="IS86" s="47"/>
      <c r="IT86" s="47"/>
      <c r="IU86" s="47"/>
      <c r="IV86" s="47"/>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F86" s="63">
        <v>5.19999999999999E-2</v>
      </c>
      <c r="NG86" s="64">
        <v>36440.324110602669</v>
      </c>
      <c r="NH86" s="13">
        <v>0.42499999999999999</v>
      </c>
      <c r="NI86" s="1">
        <f>Combine!A88</f>
        <v>48067</v>
      </c>
      <c r="NJ86" s="14">
        <f>Combine!F88</f>
        <v>293897.57733795798</v>
      </c>
    </row>
    <row r="87" spans="1:374" ht="12.75" customHeight="1" x14ac:dyDescent="0.3">
      <c r="A87" s="59"/>
      <c r="D87" s="61"/>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7"/>
      <c r="DF87" s="47"/>
      <c r="DG87" s="47"/>
      <c r="DH87" s="47"/>
      <c r="DI87" s="47"/>
      <c r="DJ87" s="47"/>
      <c r="DK87" s="47"/>
      <c r="DL87" s="47"/>
      <c r="DM87" s="47"/>
      <c r="DN87" s="47"/>
      <c r="DO87" s="47"/>
      <c r="DP87" s="47"/>
      <c r="DQ87" s="47"/>
      <c r="DR87" s="47"/>
      <c r="DS87" s="47"/>
      <c r="DT87" s="47"/>
      <c r="DU87" s="47"/>
      <c r="DV87" s="47"/>
      <c r="DW87" s="47"/>
      <c r="DX87" s="47"/>
      <c r="DY87" s="47"/>
      <c r="DZ87" s="47"/>
      <c r="EA87" s="47"/>
      <c r="EB87" s="47"/>
      <c r="EC87" s="47"/>
      <c r="ED87" s="47"/>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c r="FO87" s="47"/>
      <c r="FP87" s="47"/>
      <c r="FQ87" s="47"/>
      <c r="FR87" s="47"/>
      <c r="FS87" s="47"/>
      <c r="FT87" s="47"/>
      <c r="FU87" s="47"/>
      <c r="FV87" s="47"/>
      <c r="FW87" s="47"/>
      <c r="FX87" s="47"/>
      <c r="FY87" s="47"/>
      <c r="FZ87" s="47"/>
      <c r="GA87" s="47"/>
      <c r="GB87" s="47"/>
      <c r="GC87" s="47"/>
      <c r="GD87" s="47"/>
      <c r="GE87" s="47"/>
      <c r="GF87" s="47"/>
      <c r="GG87" s="47"/>
      <c r="GH87" s="47"/>
      <c r="GI87" s="47"/>
      <c r="GJ87" s="47"/>
      <c r="GK87" s="47"/>
      <c r="GL87" s="47"/>
      <c r="GM87" s="47"/>
      <c r="GN87" s="47"/>
      <c r="GO87" s="47"/>
      <c r="GP87" s="47"/>
      <c r="GQ87" s="47"/>
      <c r="GR87" s="47"/>
      <c r="GS87" s="47"/>
      <c r="GT87" s="47"/>
      <c r="GU87" s="47"/>
      <c r="GV87" s="47"/>
      <c r="GW87" s="47"/>
      <c r="GX87" s="47"/>
      <c r="GY87" s="47"/>
      <c r="GZ87" s="47"/>
      <c r="HA87" s="47"/>
      <c r="HB87" s="47"/>
      <c r="HC87" s="47"/>
      <c r="HD87" s="47"/>
      <c r="HE87" s="47"/>
      <c r="HF87" s="47"/>
      <c r="HG87" s="47"/>
      <c r="HH87" s="47"/>
      <c r="HI87" s="47"/>
      <c r="HJ87" s="47"/>
      <c r="HK87" s="47"/>
      <c r="HL87" s="47"/>
      <c r="HM87" s="47"/>
      <c r="HN87" s="47"/>
      <c r="HO87" s="47"/>
      <c r="HP87" s="47"/>
      <c r="HQ87" s="47"/>
      <c r="HR87" s="47"/>
      <c r="HS87" s="47"/>
      <c r="HT87" s="47"/>
      <c r="HU87" s="47"/>
      <c r="HV87" s="47"/>
      <c r="HW87" s="47"/>
      <c r="HX87" s="47"/>
      <c r="HY87" s="47"/>
      <c r="HZ87" s="47"/>
      <c r="IA87" s="47"/>
      <c r="IB87" s="47"/>
      <c r="IC87" s="47"/>
      <c r="ID87" s="47"/>
      <c r="IE87" s="47"/>
      <c r="IF87" s="47"/>
      <c r="IG87" s="47"/>
      <c r="IH87" s="47"/>
      <c r="II87" s="47"/>
      <c r="IJ87" s="47"/>
      <c r="IK87" s="47"/>
      <c r="IL87" s="47"/>
      <c r="IM87" s="47"/>
      <c r="IN87" s="47"/>
      <c r="IO87" s="47"/>
      <c r="IP87" s="47"/>
      <c r="IQ87" s="47"/>
      <c r="IR87" s="47"/>
      <c r="IS87" s="47"/>
      <c r="IT87" s="47"/>
      <c r="IU87" s="47"/>
      <c r="IV87" s="47"/>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F87" s="63">
        <v>5.2999999999999901E-2</v>
      </c>
      <c r="NG87" s="64">
        <v>32801.353621211252</v>
      </c>
      <c r="NH87" s="13">
        <v>0.43</v>
      </c>
      <c r="NI87" s="1">
        <f>Combine!A89</f>
        <v>48204</v>
      </c>
      <c r="NJ87" s="14">
        <f>Combine!F89</f>
        <v>41610.708178330802</v>
      </c>
    </row>
    <row r="88" spans="1:374" ht="12.75" customHeight="1" x14ac:dyDescent="0.3">
      <c r="A88" s="59"/>
      <c r="D88" s="61"/>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c r="FO88" s="47"/>
      <c r="FP88" s="47"/>
      <c r="FQ88" s="47"/>
      <c r="FR88" s="47"/>
      <c r="FS88" s="47"/>
      <c r="FT88" s="47"/>
      <c r="FU88" s="47"/>
      <c r="FV88" s="47"/>
      <c r="FW88" s="47"/>
      <c r="FX88" s="47"/>
      <c r="FY88" s="47"/>
      <c r="FZ88" s="47"/>
      <c r="GA88" s="47"/>
      <c r="GB88" s="47"/>
      <c r="GC88" s="47"/>
      <c r="GD88" s="47"/>
      <c r="GE88" s="47"/>
      <c r="GF88" s="47"/>
      <c r="GG88" s="47"/>
      <c r="GH88" s="47"/>
      <c r="GI88" s="47"/>
      <c r="GJ88" s="47"/>
      <c r="GK88" s="47"/>
      <c r="GL88" s="47"/>
      <c r="GM88" s="47"/>
      <c r="GN88" s="47"/>
      <c r="GO88" s="47"/>
      <c r="GP88" s="47"/>
      <c r="GQ88" s="47"/>
      <c r="GR88" s="47"/>
      <c r="GS88" s="47"/>
      <c r="GT88" s="47"/>
      <c r="GU88" s="47"/>
      <c r="GV88" s="47"/>
      <c r="GW88" s="47"/>
      <c r="GX88" s="47"/>
      <c r="GY88" s="47"/>
      <c r="GZ88" s="47"/>
      <c r="HA88" s="47"/>
      <c r="HB88" s="47"/>
      <c r="HC88" s="47"/>
      <c r="HD88" s="47"/>
      <c r="HE88" s="47"/>
      <c r="HF88" s="47"/>
      <c r="HG88" s="47"/>
      <c r="HH88" s="47"/>
      <c r="HI88" s="47"/>
      <c r="HJ88" s="47"/>
      <c r="HK88" s="47"/>
      <c r="HL88" s="47"/>
      <c r="HM88" s="47"/>
      <c r="HN88" s="47"/>
      <c r="HO88" s="47"/>
      <c r="HP88" s="47"/>
      <c r="HQ88" s="47"/>
      <c r="HR88" s="47"/>
      <c r="HS88" s="47"/>
      <c r="HT88" s="47"/>
      <c r="HU88" s="47"/>
      <c r="HV88" s="47"/>
      <c r="HW88" s="47"/>
      <c r="HX88" s="47"/>
      <c r="HY88" s="47"/>
      <c r="HZ88" s="47"/>
      <c r="IA88" s="47"/>
      <c r="IB88" s="47"/>
      <c r="IC88" s="47"/>
      <c r="ID88" s="47"/>
      <c r="IE88" s="47"/>
      <c r="IF88" s="47"/>
      <c r="IG88" s="47"/>
      <c r="IH88" s="47"/>
      <c r="II88" s="47"/>
      <c r="IJ88" s="47"/>
      <c r="IK88" s="47"/>
      <c r="IL88" s="47"/>
      <c r="IM88" s="47"/>
      <c r="IN88" s="47"/>
      <c r="IO88" s="47"/>
      <c r="IP88" s="47"/>
      <c r="IQ88" s="47"/>
      <c r="IR88" s="47"/>
      <c r="IS88" s="47"/>
      <c r="IT88" s="47"/>
      <c r="IU88" s="47"/>
      <c r="IV88" s="47"/>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F88" s="63">
        <v>5.3999999999999902E-2</v>
      </c>
      <c r="NG88" s="64">
        <v>29152.319404290982</v>
      </c>
      <c r="NH88" s="13">
        <v>0.435</v>
      </c>
      <c r="NI88" s="1">
        <f>Combine!A90</f>
        <v>48335</v>
      </c>
      <c r="NJ88" s="14">
        <f>Combine!F90</f>
        <v>388811.01839375898</v>
      </c>
    </row>
    <row r="89" spans="1:374" ht="12.75" customHeight="1" x14ac:dyDescent="0.3">
      <c r="A89" s="59"/>
      <c r="D89" s="61"/>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7"/>
      <c r="DF89" s="47"/>
      <c r="DG89" s="47"/>
      <c r="DH89" s="47"/>
      <c r="DI89" s="47"/>
      <c r="DJ89" s="47"/>
      <c r="DK89" s="47"/>
      <c r="DL89" s="47"/>
      <c r="DM89" s="47"/>
      <c r="DN89" s="47"/>
      <c r="DO89" s="47"/>
      <c r="DP89" s="47"/>
      <c r="DQ89" s="47"/>
      <c r="DR89" s="47"/>
      <c r="DS89" s="47"/>
      <c r="DT89" s="47"/>
      <c r="DU89" s="47"/>
      <c r="DV89" s="47"/>
      <c r="DW89" s="47"/>
      <c r="DX89" s="47"/>
      <c r="DY89" s="47"/>
      <c r="DZ89" s="47"/>
      <c r="EA89" s="47"/>
      <c r="EB89" s="47"/>
      <c r="EC89" s="47"/>
      <c r="ED89" s="47"/>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c r="FO89" s="47"/>
      <c r="FP89" s="47"/>
      <c r="FQ89" s="47"/>
      <c r="FR89" s="47"/>
      <c r="FS89" s="47"/>
      <c r="FT89" s="47"/>
      <c r="FU89" s="47"/>
      <c r="FV89" s="47"/>
      <c r="FW89" s="47"/>
      <c r="FX89" s="47"/>
      <c r="FY89" s="47"/>
      <c r="FZ89" s="47"/>
      <c r="GA89" s="47"/>
      <c r="GB89" s="47"/>
      <c r="GC89" s="47"/>
      <c r="GD89" s="47"/>
      <c r="GE89" s="47"/>
      <c r="GF89" s="47"/>
      <c r="GG89" s="47"/>
      <c r="GH89" s="47"/>
      <c r="GI89" s="47"/>
      <c r="GJ89" s="47"/>
      <c r="GK89" s="47"/>
      <c r="GL89" s="47"/>
      <c r="GM89" s="47"/>
      <c r="GN89" s="47"/>
      <c r="GO89" s="47"/>
      <c r="GP89" s="47"/>
      <c r="GQ89" s="47"/>
      <c r="GR89" s="47"/>
      <c r="GS89" s="47"/>
      <c r="GT89" s="47"/>
      <c r="GU89" s="47"/>
      <c r="GV89" s="47"/>
      <c r="GW89" s="47"/>
      <c r="GX89" s="47"/>
      <c r="GY89" s="47"/>
      <c r="GZ89" s="47"/>
      <c r="HA89" s="47"/>
      <c r="HB89" s="47"/>
      <c r="HC89" s="47"/>
      <c r="HD89" s="47"/>
      <c r="HE89" s="47"/>
      <c r="HF89" s="47"/>
      <c r="HG89" s="47"/>
      <c r="HH89" s="47"/>
      <c r="HI89" s="47"/>
      <c r="HJ89" s="47"/>
      <c r="HK89" s="47"/>
      <c r="HL89" s="47"/>
      <c r="HM89" s="47"/>
      <c r="HN89" s="47"/>
      <c r="HO89" s="47"/>
      <c r="HP89" s="47"/>
      <c r="HQ89" s="47"/>
      <c r="HR89" s="47"/>
      <c r="HS89" s="47"/>
      <c r="HT89" s="47"/>
      <c r="HU89" s="47"/>
      <c r="HV89" s="47"/>
      <c r="HW89" s="47"/>
      <c r="HX89" s="47"/>
      <c r="HY89" s="47"/>
      <c r="HZ89" s="47"/>
      <c r="IA89" s="47"/>
      <c r="IB89" s="47"/>
      <c r="IC89" s="47"/>
      <c r="ID89" s="47"/>
      <c r="IE89" s="47"/>
      <c r="IF89" s="47"/>
      <c r="IG89" s="47"/>
      <c r="IH89" s="47"/>
      <c r="II89" s="47"/>
      <c r="IJ89" s="47"/>
      <c r="IK89" s="47"/>
      <c r="IL89" s="47"/>
      <c r="IM89" s="47"/>
      <c r="IN89" s="47"/>
      <c r="IO89" s="47"/>
      <c r="IP89" s="47"/>
      <c r="IQ89" s="47"/>
      <c r="IR89" s="47"/>
      <c r="IS89" s="47"/>
      <c r="IT89" s="47"/>
      <c r="IU89" s="47"/>
      <c r="IV89" s="47"/>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F89" s="63">
        <v>5.4999999999999903E-2</v>
      </c>
      <c r="NG89" s="64">
        <v>25493.375383854989</v>
      </c>
      <c r="NH89" s="13">
        <v>0.44</v>
      </c>
      <c r="NI89" s="1">
        <f>Combine!A91</f>
        <v>48167</v>
      </c>
      <c r="NJ89" s="14">
        <f>Combine!F91</f>
        <v>486499.458049462</v>
      </c>
    </row>
    <row r="90" spans="1:374" ht="12.75" customHeight="1" x14ac:dyDescent="0.3">
      <c r="A90" s="59"/>
      <c r="D90" s="61"/>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c r="CT90" s="47"/>
      <c r="CU90" s="47"/>
      <c r="CV90" s="47"/>
      <c r="CW90" s="47"/>
      <c r="CX90" s="47"/>
      <c r="CY90" s="47"/>
      <c r="CZ90" s="47"/>
      <c r="DA90" s="47"/>
      <c r="DB90" s="47"/>
      <c r="DC90" s="47"/>
      <c r="DD90" s="47"/>
      <c r="DE90" s="47"/>
      <c r="DF90" s="47"/>
      <c r="DG90" s="47"/>
      <c r="DH90" s="47"/>
      <c r="DI90" s="47"/>
      <c r="DJ90" s="47"/>
      <c r="DK90" s="47"/>
      <c r="DL90" s="47"/>
      <c r="DM90" s="47"/>
      <c r="DN90" s="47"/>
      <c r="DO90" s="47"/>
      <c r="DP90" s="47"/>
      <c r="DQ90" s="47"/>
      <c r="DR90" s="47"/>
      <c r="DS90" s="47"/>
      <c r="DT90" s="47"/>
      <c r="DU90" s="47"/>
      <c r="DV90" s="47"/>
      <c r="DW90" s="47"/>
      <c r="DX90" s="47"/>
      <c r="DY90" s="47"/>
      <c r="DZ90" s="47"/>
      <c r="EA90" s="47"/>
      <c r="EB90" s="47"/>
      <c r="EC90" s="47"/>
      <c r="ED90" s="47"/>
      <c r="EE90" s="47"/>
      <c r="EF90" s="47"/>
      <c r="EG90" s="47"/>
      <c r="EH90" s="47"/>
      <c r="EI90" s="47"/>
      <c r="EJ90" s="47"/>
      <c r="EK90" s="47"/>
      <c r="EL90" s="47"/>
      <c r="EM90" s="47"/>
      <c r="EN90" s="47"/>
      <c r="EO90" s="47"/>
      <c r="EP90" s="47"/>
      <c r="EQ90" s="47"/>
      <c r="ER90" s="47"/>
      <c r="ES90" s="47"/>
      <c r="ET90" s="47"/>
      <c r="EU90" s="47"/>
      <c r="EV90" s="47"/>
      <c r="EW90" s="47"/>
      <c r="EX90" s="47"/>
      <c r="EY90" s="47"/>
      <c r="EZ90" s="47"/>
      <c r="FA90" s="47"/>
      <c r="FB90" s="47"/>
      <c r="FC90" s="47"/>
      <c r="FD90" s="47"/>
      <c r="FE90" s="47"/>
      <c r="FF90" s="47"/>
      <c r="FG90" s="47"/>
      <c r="FH90" s="47"/>
      <c r="FI90" s="47"/>
      <c r="FJ90" s="47"/>
      <c r="FK90" s="47"/>
      <c r="FL90" s="47"/>
      <c r="FM90" s="47"/>
      <c r="FN90" s="47"/>
      <c r="FO90" s="47"/>
      <c r="FP90" s="47"/>
      <c r="FQ90" s="47"/>
      <c r="FR90" s="47"/>
      <c r="FS90" s="47"/>
      <c r="FT90" s="47"/>
      <c r="FU90" s="47"/>
      <c r="FV90" s="47"/>
      <c r="FW90" s="47"/>
      <c r="FX90" s="47"/>
      <c r="FY90" s="47"/>
      <c r="FZ90" s="47"/>
      <c r="GA90" s="47"/>
      <c r="GB90" s="47"/>
      <c r="GC90" s="47"/>
      <c r="GD90" s="47"/>
      <c r="GE90" s="47"/>
      <c r="GF90" s="47"/>
      <c r="GG90" s="47"/>
      <c r="GH90" s="47"/>
      <c r="GI90" s="47"/>
      <c r="GJ90" s="47"/>
      <c r="GK90" s="47"/>
      <c r="GL90" s="47"/>
      <c r="GM90" s="47"/>
      <c r="GN90" s="47"/>
      <c r="GO90" s="47"/>
      <c r="GP90" s="47"/>
      <c r="GQ90" s="47"/>
      <c r="GR90" s="47"/>
      <c r="GS90" s="47"/>
      <c r="GT90" s="47"/>
      <c r="GU90" s="47"/>
      <c r="GV90" s="47"/>
      <c r="GW90" s="47"/>
      <c r="GX90" s="47"/>
      <c r="GY90" s="47"/>
      <c r="GZ90" s="47"/>
      <c r="HA90" s="47"/>
      <c r="HB90" s="47"/>
      <c r="HC90" s="47"/>
      <c r="HD90" s="47"/>
      <c r="HE90" s="47"/>
      <c r="HF90" s="47"/>
      <c r="HG90" s="47"/>
      <c r="HH90" s="47"/>
      <c r="HI90" s="47"/>
      <c r="HJ90" s="47"/>
      <c r="HK90" s="47"/>
      <c r="HL90" s="47"/>
      <c r="HM90" s="47"/>
      <c r="HN90" s="47"/>
      <c r="HO90" s="47"/>
      <c r="HP90" s="47"/>
      <c r="HQ90" s="47"/>
      <c r="HR90" s="47"/>
      <c r="HS90" s="47"/>
      <c r="HT90" s="47"/>
      <c r="HU90" s="47"/>
      <c r="HV90" s="47"/>
      <c r="HW90" s="47"/>
      <c r="HX90" s="47"/>
      <c r="HY90" s="47"/>
      <c r="HZ90" s="47"/>
      <c r="IA90" s="47"/>
      <c r="IB90" s="47"/>
      <c r="IC90" s="47"/>
      <c r="ID90" s="47"/>
      <c r="IE90" s="47"/>
      <c r="IF90" s="47"/>
      <c r="IG90" s="47"/>
      <c r="IH90" s="47"/>
      <c r="II90" s="47"/>
      <c r="IJ90" s="47"/>
      <c r="IK90" s="47"/>
      <c r="IL90" s="47"/>
      <c r="IM90" s="47"/>
      <c r="IN90" s="47"/>
      <c r="IO90" s="47"/>
      <c r="IP90" s="47"/>
      <c r="IQ90" s="47"/>
      <c r="IR90" s="47"/>
      <c r="IS90" s="47"/>
      <c r="IT90" s="47"/>
      <c r="IU90" s="47"/>
      <c r="IV90" s="47"/>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F90" s="63">
        <v>5.5999999999999897E-2</v>
      </c>
      <c r="NG90" s="64">
        <v>21824.675031284143</v>
      </c>
      <c r="NH90" s="13">
        <v>0.44500000000000001</v>
      </c>
      <c r="NI90" s="1">
        <f>Combine!A92</f>
        <v>48346</v>
      </c>
      <c r="NJ90" s="14">
        <f>Combine!F92</f>
        <v>307776.68297754898</v>
      </c>
    </row>
    <row r="91" spans="1:374" ht="12.75" customHeight="1" x14ac:dyDescent="0.3">
      <c r="A91" s="59"/>
      <c r="D91" s="61"/>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c r="CT91" s="47"/>
      <c r="CU91" s="47"/>
      <c r="CV91" s="47"/>
      <c r="CW91" s="47"/>
      <c r="CX91" s="47"/>
      <c r="CY91" s="47"/>
      <c r="CZ91" s="47"/>
      <c r="DA91" s="47"/>
      <c r="DB91" s="47"/>
      <c r="DC91" s="47"/>
      <c r="DD91" s="47"/>
      <c r="DE91" s="47"/>
      <c r="DF91" s="47"/>
      <c r="DG91" s="47"/>
      <c r="DH91" s="47"/>
      <c r="DI91" s="47"/>
      <c r="DJ91" s="47"/>
      <c r="DK91" s="47"/>
      <c r="DL91" s="47"/>
      <c r="DM91" s="47"/>
      <c r="DN91" s="47"/>
      <c r="DO91" s="47"/>
      <c r="DP91" s="47"/>
      <c r="DQ91" s="47"/>
      <c r="DR91" s="47"/>
      <c r="DS91" s="47"/>
      <c r="DT91" s="47"/>
      <c r="DU91" s="47"/>
      <c r="DV91" s="47"/>
      <c r="DW91" s="47"/>
      <c r="DX91" s="47"/>
      <c r="DY91" s="47"/>
      <c r="DZ91" s="47"/>
      <c r="EA91" s="47"/>
      <c r="EB91" s="47"/>
      <c r="EC91" s="47"/>
      <c r="ED91" s="47"/>
      <c r="EE91" s="47"/>
      <c r="EF91" s="47"/>
      <c r="EG91" s="47"/>
      <c r="EH91" s="47"/>
      <c r="EI91" s="47"/>
      <c r="EJ91" s="47"/>
      <c r="EK91" s="47"/>
      <c r="EL91" s="47"/>
      <c r="EM91" s="47"/>
      <c r="EN91" s="47"/>
      <c r="EO91" s="47"/>
      <c r="EP91" s="47"/>
      <c r="EQ91" s="47"/>
      <c r="ER91" s="47"/>
      <c r="ES91" s="47"/>
      <c r="ET91" s="47"/>
      <c r="EU91" s="47"/>
      <c r="EV91" s="47"/>
      <c r="EW91" s="47"/>
      <c r="EX91" s="47"/>
      <c r="EY91" s="47"/>
      <c r="EZ91" s="47"/>
      <c r="FA91" s="47"/>
      <c r="FB91" s="47"/>
      <c r="FC91" s="47"/>
      <c r="FD91" s="47"/>
      <c r="FE91" s="47"/>
      <c r="FF91" s="47"/>
      <c r="FG91" s="47"/>
      <c r="FH91" s="47"/>
      <c r="FI91" s="47"/>
      <c r="FJ91" s="47"/>
      <c r="FK91" s="47"/>
      <c r="FL91" s="47"/>
      <c r="FM91" s="47"/>
      <c r="FN91" s="47"/>
      <c r="FO91" s="47"/>
      <c r="FP91" s="47"/>
      <c r="FQ91" s="47"/>
      <c r="FR91" s="47"/>
      <c r="FS91" s="47"/>
      <c r="FT91" s="47"/>
      <c r="FU91" s="47"/>
      <c r="FV91" s="47"/>
      <c r="FW91" s="47"/>
      <c r="FX91" s="47"/>
      <c r="FY91" s="47"/>
      <c r="FZ91" s="47"/>
      <c r="GA91" s="47"/>
      <c r="GB91" s="47"/>
      <c r="GC91" s="47"/>
      <c r="GD91" s="47"/>
      <c r="GE91" s="47"/>
      <c r="GF91" s="47"/>
      <c r="GG91" s="47"/>
      <c r="GH91" s="47"/>
      <c r="GI91" s="47"/>
      <c r="GJ91" s="47"/>
      <c r="GK91" s="47"/>
      <c r="GL91" s="47"/>
      <c r="GM91" s="47"/>
      <c r="GN91" s="47"/>
      <c r="GO91" s="47"/>
      <c r="GP91" s="47"/>
      <c r="GQ91" s="47"/>
      <c r="GR91" s="47"/>
      <c r="GS91" s="47"/>
      <c r="GT91" s="47"/>
      <c r="GU91" s="47"/>
      <c r="GV91" s="47"/>
      <c r="GW91" s="47"/>
      <c r="GX91" s="47"/>
      <c r="GY91" s="47"/>
      <c r="GZ91" s="47"/>
      <c r="HA91" s="47"/>
      <c r="HB91" s="47"/>
      <c r="HC91" s="47"/>
      <c r="HD91" s="47"/>
      <c r="HE91" s="47"/>
      <c r="HF91" s="47"/>
      <c r="HG91" s="47"/>
      <c r="HH91" s="47"/>
      <c r="HI91" s="47"/>
      <c r="HJ91" s="47"/>
      <c r="HK91" s="47"/>
      <c r="HL91" s="47"/>
      <c r="HM91" s="47"/>
      <c r="HN91" s="47"/>
      <c r="HO91" s="47"/>
      <c r="HP91" s="47"/>
      <c r="HQ91" s="47"/>
      <c r="HR91" s="47"/>
      <c r="HS91" s="47"/>
      <c r="HT91" s="47"/>
      <c r="HU91" s="47"/>
      <c r="HV91" s="47"/>
      <c r="HW91" s="47"/>
      <c r="HX91" s="47"/>
      <c r="HY91" s="47"/>
      <c r="HZ91" s="47"/>
      <c r="IA91" s="47"/>
      <c r="IB91" s="47"/>
      <c r="IC91" s="47"/>
      <c r="ID91" s="47"/>
      <c r="IE91" s="47"/>
      <c r="IF91" s="47"/>
      <c r="IG91" s="47"/>
      <c r="IH91" s="47"/>
      <c r="II91" s="47"/>
      <c r="IJ91" s="47"/>
      <c r="IK91" s="47"/>
      <c r="IL91" s="47"/>
      <c r="IM91" s="47"/>
      <c r="IN91" s="47"/>
      <c r="IO91" s="47"/>
      <c r="IP91" s="47"/>
      <c r="IQ91" s="47"/>
      <c r="IR91" s="47"/>
      <c r="IS91" s="47"/>
      <c r="IT91" s="47"/>
      <c r="IU91" s="47"/>
      <c r="IV91" s="47"/>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F91" s="63">
        <v>5.6999999999999898E-2</v>
      </c>
      <c r="NG91" s="64">
        <v>18146.371314560398</v>
      </c>
      <c r="NH91" s="13">
        <v>0.45</v>
      </c>
      <c r="NI91" s="1">
        <f>Combine!A93</f>
        <v>48326</v>
      </c>
      <c r="NJ91" s="14">
        <f>Combine!F93</f>
        <v>234600.73221117401</v>
      </c>
    </row>
    <row r="92" spans="1:374" ht="12.75" customHeight="1" x14ac:dyDescent="0.3">
      <c r="A92" s="59"/>
      <c r="D92" s="61"/>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c r="CT92" s="47"/>
      <c r="CU92" s="47"/>
      <c r="CV92" s="47"/>
      <c r="CW92" s="47"/>
      <c r="CX92" s="47"/>
      <c r="CY92" s="47"/>
      <c r="CZ92" s="47"/>
      <c r="DA92" s="47"/>
      <c r="DB92" s="47"/>
      <c r="DC92" s="47"/>
      <c r="DD92" s="47"/>
      <c r="DE92" s="47"/>
      <c r="DF92" s="47"/>
      <c r="DG92" s="47"/>
      <c r="DH92" s="47"/>
      <c r="DI92" s="47"/>
      <c r="DJ92" s="47"/>
      <c r="DK92" s="47"/>
      <c r="DL92" s="47"/>
      <c r="DM92" s="47"/>
      <c r="DN92" s="47"/>
      <c r="DO92" s="47"/>
      <c r="DP92" s="47"/>
      <c r="DQ92" s="47"/>
      <c r="DR92" s="47"/>
      <c r="DS92" s="47"/>
      <c r="DT92" s="47"/>
      <c r="DU92" s="47"/>
      <c r="DV92" s="47"/>
      <c r="DW92" s="47"/>
      <c r="DX92" s="47"/>
      <c r="DY92" s="47"/>
      <c r="DZ92" s="47"/>
      <c r="EA92" s="47"/>
      <c r="EB92" s="47"/>
      <c r="EC92" s="47"/>
      <c r="ED92" s="47"/>
      <c r="EE92" s="47"/>
      <c r="EF92" s="47"/>
      <c r="EG92" s="47"/>
      <c r="EH92" s="47"/>
      <c r="EI92" s="47"/>
      <c r="EJ92" s="47"/>
      <c r="EK92" s="47"/>
      <c r="EL92" s="47"/>
      <c r="EM92" s="47"/>
      <c r="EN92" s="47"/>
      <c r="EO92" s="47"/>
      <c r="EP92" s="47"/>
      <c r="EQ92" s="47"/>
      <c r="ER92" s="47"/>
      <c r="ES92" s="47"/>
      <c r="ET92" s="47"/>
      <c r="EU92" s="47"/>
      <c r="EV92" s="47"/>
      <c r="EW92" s="47"/>
      <c r="EX92" s="47"/>
      <c r="EY92" s="47"/>
      <c r="EZ92" s="47"/>
      <c r="FA92" s="47"/>
      <c r="FB92" s="47"/>
      <c r="FC92" s="47"/>
      <c r="FD92" s="47"/>
      <c r="FE92" s="47"/>
      <c r="FF92" s="47"/>
      <c r="FG92" s="47"/>
      <c r="FH92" s="47"/>
      <c r="FI92" s="47"/>
      <c r="FJ92" s="47"/>
      <c r="FK92" s="47"/>
      <c r="FL92" s="47"/>
      <c r="FM92" s="47"/>
      <c r="FN92" s="47"/>
      <c r="FO92" s="47"/>
      <c r="FP92" s="47"/>
      <c r="FQ92" s="47"/>
      <c r="FR92" s="47"/>
      <c r="FS92" s="47"/>
      <c r="FT92" s="47"/>
      <c r="FU92" s="47"/>
      <c r="FV92" s="47"/>
      <c r="FW92" s="47"/>
      <c r="FX92" s="47"/>
      <c r="FY92" s="47"/>
      <c r="FZ92" s="47"/>
      <c r="GA92" s="47"/>
      <c r="GB92" s="47"/>
      <c r="GC92" s="47"/>
      <c r="GD92" s="47"/>
      <c r="GE92" s="47"/>
      <c r="GF92" s="47"/>
      <c r="GG92" s="47"/>
      <c r="GH92" s="47"/>
      <c r="GI92" s="47"/>
      <c r="GJ92" s="47"/>
      <c r="GK92" s="47"/>
      <c r="GL92" s="47"/>
      <c r="GM92" s="47"/>
      <c r="GN92" s="47"/>
      <c r="GO92" s="47"/>
      <c r="GP92" s="47"/>
      <c r="GQ92" s="47"/>
      <c r="GR92" s="47"/>
      <c r="GS92" s="47"/>
      <c r="GT92" s="47"/>
      <c r="GU92" s="47"/>
      <c r="GV92" s="47"/>
      <c r="GW92" s="47"/>
      <c r="GX92" s="47"/>
      <c r="GY92" s="47"/>
      <c r="GZ92" s="47"/>
      <c r="HA92" s="47"/>
      <c r="HB92" s="47"/>
      <c r="HC92" s="47"/>
      <c r="HD92" s="47"/>
      <c r="HE92" s="47"/>
      <c r="HF92" s="47"/>
      <c r="HG92" s="47"/>
      <c r="HH92" s="47"/>
      <c r="HI92" s="47"/>
      <c r="HJ92" s="47"/>
      <c r="HK92" s="47"/>
      <c r="HL92" s="47"/>
      <c r="HM92" s="47"/>
      <c r="HN92" s="47"/>
      <c r="HO92" s="47"/>
      <c r="HP92" s="47"/>
      <c r="HQ92" s="47"/>
      <c r="HR92" s="47"/>
      <c r="HS92" s="47"/>
      <c r="HT92" s="47"/>
      <c r="HU92" s="47"/>
      <c r="HV92" s="47"/>
      <c r="HW92" s="47"/>
      <c r="HX92" s="47"/>
      <c r="HY92" s="47"/>
      <c r="HZ92" s="47"/>
      <c r="IA92" s="47"/>
      <c r="IB92" s="47"/>
      <c r="IC92" s="47"/>
      <c r="ID92" s="47"/>
      <c r="IE92" s="47"/>
      <c r="IF92" s="47"/>
      <c r="IG92" s="47"/>
      <c r="IH92" s="47"/>
      <c r="II92" s="47"/>
      <c r="IJ92" s="47"/>
      <c r="IK92" s="47"/>
      <c r="IL92" s="47"/>
      <c r="IM92" s="47"/>
      <c r="IN92" s="47"/>
      <c r="IO92" s="47"/>
      <c r="IP92" s="47"/>
      <c r="IQ92" s="47"/>
      <c r="IR92" s="47"/>
      <c r="IS92" s="47"/>
      <c r="IT92" s="47"/>
      <c r="IU92" s="47"/>
      <c r="IV92" s="47"/>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F92" s="63">
        <v>5.7999999999999899E-2</v>
      </c>
      <c r="NG92" s="64">
        <v>14458.616648625004</v>
      </c>
      <c r="NH92" s="13">
        <v>0.45500000000000002</v>
      </c>
      <c r="NI92" s="1">
        <f>Combine!A94</f>
        <v>49085</v>
      </c>
      <c r="NJ92" s="14">
        <f>Combine!F94</f>
        <v>283947.47968695499</v>
      </c>
    </row>
    <row r="93" spans="1:374" ht="12.75" customHeight="1" x14ac:dyDescent="0.3">
      <c r="A93" s="59"/>
      <c r="D93" s="61"/>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c r="CT93" s="47"/>
      <c r="CU93" s="47"/>
      <c r="CV93" s="47"/>
      <c r="CW93" s="47"/>
      <c r="CX93" s="47"/>
      <c r="CY93" s="47"/>
      <c r="CZ93" s="47"/>
      <c r="DA93" s="47"/>
      <c r="DB93" s="47"/>
      <c r="DC93" s="47"/>
      <c r="DD93" s="47"/>
      <c r="DE93" s="47"/>
      <c r="DF93" s="47"/>
      <c r="DG93" s="47"/>
      <c r="DH93" s="47"/>
      <c r="DI93" s="47"/>
      <c r="DJ93" s="47"/>
      <c r="DK93" s="47"/>
      <c r="DL93" s="47"/>
      <c r="DM93" s="47"/>
      <c r="DN93" s="47"/>
      <c r="DO93" s="47"/>
      <c r="DP93" s="47"/>
      <c r="DQ93" s="47"/>
      <c r="DR93" s="47"/>
      <c r="DS93" s="47"/>
      <c r="DT93" s="47"/>
      <c r="DU93" s="47"/>
      <c r="DV93" s="47"/>
      <c r="DW93" s="47"/>
      <c r="DX93" s="47"/>
      <c r="DY93" s="47"/>
      <c r="DZ93" s="47"/>
      <c r="EA93" s="47"/>
      <c r="EB93" s="47"/>
      <c r="EC93" s="47"/>
      <c r="ED93" s="47"/>
      <c r="EE93" s="47"/>
      <c r="EF93" s="47"/>
      <c r="EG93" s="47"/>
      <c r="EH93" s="47"/>
      <c r="EI93" s="47"/>
      <c r="EJ93" s="47"/>
      <c r="EK93" s="47"/>
      <c r="EL93" s="47"/>
      <c r="EM93" s="47"/>
      <c r="EN93" s="47"/>
      <c r="EO93" s="47"/>
      <c r="EP93" s="47"/>
      <c r="EQ93" s="47"/>
      <c r="ER93" s="47"/>
      <c r="ES93" s="47"/>
      <c r="ET93" s="47"/>
      <c r="EU93" s="47"/>
      <c r="EV93" s="47"/>
      <c r="EW93" s="47"/>
      <c r="EX93" s="47"/>
      <c r="EY93" s="47"/>
      <c r="EZ93" s="47"/>
      <c r="FA93" s="47"/>
      <c r="FB93" s="47"/>
      <c r="FC93" s="47"/>
      <c r="FD93" s="47"/>
      <c r="FE93" s="47"/>
      <c r="FF93" s="47"/>
      <c r="FG93" s="47"/>
      <c r="FH93" s="47"/>
      <c r="FI93" s="47"/>
      <c r="FJ93" s="47"/>
      <c r="FK93" s="47"/>
      <c r="FL93" s="47"/>
      <c r="FM93" s="47"/>
      <c r="FN93" s="47"/>
      <c r="FO93" s="47"/>
      <c r="FP93" s="47"/>
      <c r="FQ93" s="47"/>
      <c r="FR93" s="47"/>
      <c r="FS93" s="47"/>
      <c r="FT93" s="47"/>
      <c r="FU93" s="47"/>
      <c r="FV93" s="47"/>
      <c r="FW93" s="47"/>
      <c r="FX93" s="47"/>
      <c r="FY93" s="47"/>
      <c r="FZ93" s="47"/>
      <c r="GA93" s="47"/>
      <c r="GB93" s="47"/>
      <c r="GC93" s="47"/>
      <c r="GD93" s="47"/>
      <c r="GE93" s="47"/>
      <c r="GF93" s="47"/>
      <c r="GG93" s="47"/>
      <c r="GH93" s="47"/>
      <c r="GI93" s="47"/>
      <c r="GJ93" s="47"/>
      <c r="GK93" s="47"/>
      <c r="GL93" s="47"/>
      <c r="GM93" s="47"/>
      <c r="GN93" s="47"/>
      <c r="GO93" s="47"/>
      <c r="GP93" s="47"/>
      <c r="GQ93" s="47"/>
      <c r="GR93" s="47"/>
      <c r="GS93" s="47"/>
      <c r="GT93" s="47"/>
      <c r="GU93" s="47"/>
      <c r="GV93" s="47"/>
      <c r="GW93" s="47"/>
      <c r="GX93" s="47"/>
      <c r="GY93" s="47"/>
      <c r="GZ93" s="47"/>
      <c r="HA93" s="47"/>
      <c r="HB93" s="47"/>
      <c r="HC93" s="47"/>
      <c r="HD93" s="47"/>
      <c r="HE93" s="47"/>
      <c r="HF93" s="47"/>
      <c r="HG93" s="47"/>
      <c r="HH93" s="47"/>
      <c r="HI93" s="47"/>
      <c r="HJ93" s="47"/>
      <c r="HK93" s="47"/>
      <c r="HL93" s="47"/>
      <c r="HM93" s="47"/>
      <c r="HN93" s="47"/>
      <c r="HO93" s="47"/>
      <c r="HP93" s="47"/>
      <c r="HQ93" s="47"/>
      <c r="HR93" s="47"/>
      <c r="HS93" s="47"/>
      <c r="HT93" s="47"/>
      <c r="HU93" s="47"/>
      <c r="HV93" s="47"/>
      <c r="HW93" s="47"/>
      <c r="HX93" s="47"/>
      <c r="HY93" s="47"/>
      <c r="HZ93" s="47"/>
      <c r="IA93" s="47"/>
      <c r="IB93" s="47"/>
      <c r="IC93" s="47"/>
      <c r="ID93" s="47"/>
      <c r="IE93" s="47"/>
      <c r="IF93" s="47"/>
      <c r="IG93" s="47"/>
      <c r="IH93" s="47"/>
      <c r="II93" s="47"/>
      <c r="IJ93" s="47"/>
      <c r="IK93" s="47"/>
      <c r="IL93" s="47"/>
      <c r="IM93" s="47"/>
      <c r="IN93" s="47"/>
      <c r="IO93" s="47"/>
      <c r="IP93" s="47"/>
      <c r="IQ93" s="47"/>
      <c r="IR93" s="47"/>
      <c r="IS93" s="47"/>
      <c r="IT93" s="47"/>
      <c r="IU93" s="47"/>
      <c r="IV93" s="47"/>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F93" s="63">
        <v>5.89999999999999E-2</v>
      </c>
      <c r="NG93" s="64">
        <v>10761.562846871908</v>
      </c>
      <c r="NH93" s="13">
        <v>0.46</v>
      </c>
      <c r="NI93" s="1">
        <f>Combine!A95</f>
        <v>48220</v>
      </c>
      <c r="NJ93" s="14">
        <f>Combine!F95</f>
        <v>219801.539191919</v>
      </c>
    </row>
    <row r="94" spans="1:374" ht="12.75" customHeight="1" x14ac:dyDescent="0.3">
      <c r="A94" s="59"/>
      <c r="D94" s="61"/>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c r="CT94" s="47"/>
      <c r="CU94" s="47"/>
      <c r="CV94" s="47"/>
      <c r="CW94" s="47"/>
      <c r="CX94" s="47"/>
      <c r="CY94" s="47"/>
      <c r="CZ94" s="47"/>
      <c r="DA94" s="47"/>
      <c r="DB94" s="47"/>
      <c r="DC94" s="47"/>
      <c r="DD94" s="47"/>
      <c r="DE94" s="47"/>
      <c r="DF94" s="47"/>
      <c r="DG94" s="47"/>
      <c r="DH94" s="47"/>
      <c r="DI94" s="47"/>
      <c r="DJ94" s="47"/>
      <c r="DK94" s="47"/>
      <c r="DL94" s="47"/>
      <c r="DM94" s="47"/>
      <c r="DN94" s="47"/>
      <c r="DO94" s="47"/>
      <c r="DP94" s="47"/>
      <c r="DQ94" s="47"/>
      <c r="DR94" s="47"/>
      <c r="DS94" s="47"/>
      <c r="DT94" s="47"/>
      <c r="DU94" s="47"/>
      <c r="DV94" s="47"/>
      <c r="DW94" s="47"/>
      <c r="DX94" s="47"/>
      <c r="DY94" s="47"/>
      <c r="DZ94" s="47"/>
      <c r="EA94" s="47"/>
      <c r="EB94" s="47"/>
      <c r="EC94" s="47"/>
      <c r="ED94" s="47"/>
      <c r="EE94" s="47"/>
      <c r="EF94" s="47"/>
      <c r="EG94" s="47"/>
      <c r="EH94" s="47"/>
      <c r="EI94" s="47"/>
      <c r="EJ94" s="47"/>
      <c r="EK94" s="47"/>
      <c r="EL94" s="47"/>
      <c r="EM94" s="47"/>
      <c r="EN94" s="47"/>
      <c r="EO94" s="47"/>
      <c r="EP94" s="47"/>
      <c r="EQ94" s="47"/>
      <c r="ER94" s="47"/>
      <c r="ES94" s="47"/>
      <c r="ET94" s="47"/>
      <c r="EU94" s="47"/>
      <c r="EV94" s="47"/>
      <c r="EW94" s="47"/>
      <c r="EX94" s="47"/>
      <c r="EY94" s="47"/>
      <c r="EZ94" s="47"/>
      <c r="FA94" s="47"/>
      <c r="FB94" s="47"/>
      <c r="FC94" s="47"/>
      <c r="FD94" s="47"/>
      <c r="FE94" s="47"/>
      <c r="FF94" s="47"/>
      <c r="FG94" s="47"/>
      <c r="FH94" s="47"/>
      <c r="FI94" s="47"/>
      <c r="FJ94" s="47"/>
      <c r="FK94" s="47"/>
      <c r="FL94" s="47"/>
      <c r="FM94" s="47"/>
      <c r="FN94" s="47"/>
      <c r="FO94" s="47"/>
      <c r="FP94" s="47"/>
      <c r="FQ94" s="47"/>
      <c r="FR94" s="47"/>
      <c r="FS94" s="47"/>
      <c r="FT94" s="47"/>
      <c r="FU94" s="47"/>
      <c r="FV94" s="47"/>
      <c r="FW94" s="47"/>
      <c r="FX94" s="47"/>
      <c r="FY94" s="47"/>
      <c r="FZ94" s="47"/>
      <c r="GA94" s="47"/>
      <c r="GB94" s="47"/>
      <c r="GC94" s="47"/>
      <c r="GD94" s="47"/>
      <c r="GE94" s="47"/>
      <c r="GF94" s="47"/>
      <c r="GG94" s="47"/>
      <c r="GH94" s="47"/>
      <c r="GI94" s="47"/>
      <c r="GJ94" s="47"/>
      <c r="GK94" s="47"/>
      <c r="GL94" s="47"/>
      <c r="GM94" s="47"/>
      <c r="GN94" s="47"/>
      <c r="GO94" s="47"/>
      <c r="GP94" s="47"/>
      <c r="GQ94" s="47"/>
      <c r="GR94" s="47"/>
      <c r="GS94" s="47"/>
      <c r="GT94" s="47"/>
      <c r="GU94" s="47"/>
      <c r="GV94" s="47"/>
      <c r="GW94" s="47"/>
      <c r="GX94" s="47"/>
      <c r="GY94" s="47"/>
      <c r="GZ94" s="47"/>
      <c r="HA94" s="47"/>
      <c r="HB94" s="47"/>
      <c r="HC94" s="47"/>
      <c r="HD94" s="47"/>
      <c r="HE94" s="47"/>
      <c r="HF94" s="47"/>
      <c r="HG94" s="47"/>
      <c r="HH94" s="47"/>
      <c r="HI94" s="47"/>
      <c r="HJ94" s="47"/>
      <c r="HK94" s="47"/>
      <c r="HL94" s="47"/>
      <c r="HM94" s="47"/>
      <c r="HN94" s="47"/>
      <c r="HO94" s="47"/>
      <c r="HP94" s="47"/>
      <c r="HQ94" s="47"/>
      <c r="HR94" s="47"/>
      <c r="HS94" s="47"/>
      <c r="HT94" s="47"/>
      <c r="HU94" s="47"/>
      <c r="HV94" s="47"/>
      <c r="HW94" s="47"/>
      <c r="HX94" s="47"/>
      <c r="HY94" s="47"/>
      <c r="HZ94" s="47"/>
      <c r="IA94" s="47"/>
      <c r="IB94" s="47"/>
      <c r="IC94" s="47"/>
      <c r="ID94" s="47"/>
      <c r="IE94" s="47"/>
      <c r="IF94" s="47"/>
      <c r="IG94" s="47"/>
      <c r="IH94" s="47"/>
      <c r="II94" s="47"/>
      <c r="IJ94" s="47"/>
      <c r="IK94" s="47"/>
      <c r="IL94" s="47"/>
      <c r="IM94" s="47"/>
      <c r="IN94" s="47"/>
      <c r="IO94" s="47"/>
      <c r="IP94" s="47"/>
      <c r="IQ94" s="47"/>
      <c r="IR94" s="47"/>
      <c r="IS94" s="47"/>
      <c r="IT94" s="47"/>
      <c r="IU94" s="47"/>
      <c r="IV94" s="47"/>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F94" s="63">
        <v>5.9999999999999901E-2</v>
      </c>
      <c r="NG94" s="64">
        <v>7055.3610738210373</v>
      </c>
      <c r="NH94" s="13">
        <v>0.46500000000000002</v>
      </c>
      <c r="NI94" s="1">
        <f>Combine!A96</f>
        <v>48375</v>
      </c>
      <c r="NJ94" s="14">
        <f>Combine!F96</f>
        <v>395862.68001912697</v>
      </c>
    </row>
    <row r="95" spans="1:374" ht="12.75" customHeight="1" x14ac:dyDescent="0.3">
      <c r="A95" s="59"/>
      <c r="D95" s="61"/>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c r="CT95" s="47"/>
      <c r="CU95" s="47"/>
      <c r="CV95" s="47"/>
      <c r="CW95" s="47"/>
      <c r="CX95" s="47"/>
      <c r="CY95" s="47"/>
      <c r="CZ95" s="47"/>
      <c r="DA95" s="47"/>
      <c r="DB95" s="47"/>
      <c r="DC95" s="47"/>
      <c r="DD95" s="47"/>
      <c r="DE95" s="47"/>
      <c r="DF95" s="47"/>
      <c r="DG95" s="47"/>
      <c r="DH95" s="47"/>
      <c r="DI95" s="47"/>
      <c r="DJ95" s="47"/>
      <c r="DK95" s="47"/>
      <c r="DL95" s="47"/>
      <c r="DM95" s="47"/>
      <c r="DN95" s="47"/>
      <c r="DO95" s="47"/>
      <c r="DP95" s="47"/>
      <c r="DQ95" s="47"/>
      <c r="DR95" s="47"/>
      <c r="DS95" s="47"/>
      <c r="DT95" s="47"/>
      <c r="DU95" s="47"/>
      <c r="DV95" s="47"/>
      <c r="DW95" s="47"/>
      <c r="DX95" s="47"/>
      <c r="DY95" s="47"/>
      <c r="DZ95" s="47"/>
      <c r="EA95" s="47"/>
      <c r="EB95" s="47"/>
      <c r="EC95" s="47"/>
      <c r="ED95" s="47"/>
      <c r="EE95" s="47"/>
      <c r="EF95" s="47"/>
      <c r="EG95" s="47"/>
      <c r="EH95" s="47"/>
      <c r="EI95" s="47"/>
      <c r="EJ95" s="47"/>
      <c r="EK95" s="47"/>
      <c r="EL95" s="47"/>
      <c r="EM95" s="47"/>
      <c r="EN95" s="47"/>
      <c r="EO95" s="47"/>
      <c r="EP95" s="47"/>
      <c r="EQ95" s="47"/>
      <c r="ER95" s="47"/>
      <c r="ES95" s="47"/>
      <c r="ET95" s="47"/>
      <c r="EU95" s="47"/>
      <c r="EV95" s="47"/>
      <c r="EW95" s="47"/>
      <c r="EX95" s="47"/>
      <c r="EY95" s="47"/>
      <c r="EZ95" s="47"/>
      <c r="FA95" s="47"/>
      <c r="FB95" s="47"/>
      <c r="FC95" s="47"/>
      <c r="FD95" s="47"/>
      <c r="FE95" s="47"/>
      <c r="FF95" s="47"/>
      <c r="FG95" s="47"/>
      <c r="FH95" s="47"/>
      <c r="FI95" s="47"/>
      <c r="FJ95" s="47"/>
      <c r="FK95" s="47"/>
      <c r="FL95" s="47"/>
      <c r="FM95" s="47"/>
      <c r="FN95" s="47"/>
      <c r="FO95" s="47"/>
      <c r="FP95" s="47"/>
      <c r="FQ95" s="47"/>
      <c r="FR95" s="47"/>
      <c r="FS95" s="47"/>
      <c r="FT95" s="47"/>
      <c r="FU95" s="47"/>
      <c r="FV95" s="47"/>
      <c r="FW95" s="47"/>
      <c r="FX95" s="47"/>
      <c r="FY95" s="47"/>
      <c r="FZ95" s="47"/>
      <c r="GA95" s="47"/>
      <c r="GB95" s="47"/>
      <c r="GC95" s="47"/>
      <c r="GD95" s="47"/>
      <c r="GE95" s="47"/>
      <c r="GF95" s="47"/>
      <c r="GG95" s="47"/>
      <c r="GH95" s="47"/>
      <c r="GI95" s="47"/>
      <c r="GJ95" s="47"/>
      <c r="GK95" s="47"/>
      <c r="GL95" s="47"/>
      <c r="GM95" s="47"/>
      <c r="GN95" s="47"/>
      <c r="GO95" s="47"/>
      <c r="GP95" s="47"/>
      <c r="GQ95" s="47"/>
      <c r="GR95" s="47"/>
      <c r="GS95" s="47"/>
      <c r="GT95" s="47"/>
      <c r="GU95" s="47"/>
      <c r="GV95" s="47"/>
      <c r="GW95" s="47"/>
      <c r="GX95" s="47"/>
      <c r="GY95" s="47"/>
      <c r="GZ95" s="47"/>
      <c r="HA95" s="47"/>
      <c r="HB95" s="47"/>
      <c r="HC95" s="47"/>
      <c r="HD95" s="47"/>
      <c r="HE95" s="47"/>
      <c r="HF95" s="47"/>
      <c r="HG95" s="47"/>
      <c r="HH95" s="47"/>
      <c r="HI95" s="47"/>
      <c r="HJ95" s="47"/>
      <c r="HK95" s="47"/>
      <c r="HL95" s="47"/>
      <c r="HM95" s="47"/>
      <c r="HN95" s="47"/>
      <c r="HO95" s="47"/>
      <c r="HP95" s="47"/>
      <c r="HQ95" s="47"/>
      <c r="HR95" s="47"/>
      <c r="HS95" s="47"/>
      <c r="HT95" s="47"/>
      <c r="HU95" s="47"/>
      <c r="HV95" s="47"/>
      <c r="HW95" s="47"/>
      <c r="HX95" s="47"/>
      <c r="HY95" s="47"/>
      <c r="HZ95" s="47"/>
      <c r="IA95" s="47"/>
      <c r="IB95" s="47"/>
      <c r="IC95" s="47"/>
      <c r="ID95" s="47"/>
      <c r="IE95" s="47"/>
      <c r="IF95" s="47"/>
      <c r="IG95" s="47"/>
      <c r="IH95" s="47"/>
      <c r="II95" s="47"/>
      <c r="IJ95" s="47"/>
      <c r="IK95" s="47"/>
      <c r="IL95" s="47"/>
      <c r="IM95" s="47"/>
      <c r="IN95" s="47"/>
      <c r="IO95" s="47"/>
      <c r="IP95" s="47"/>
      <c r="IQ95" s="47"/>
      <c r="IR95" s="47"/>
      <c r="IS95" s="47"/>
      <c r="IT95" s="47"/>
      <c r="IU95" s="47"/>
      <c r="IV95" s="47"/>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F95" s="63">
        <v>6.0999999999999902E-2</v>
      </c>
      <c r="NG95" s="64">
        <v>3340.1617989663669</v>
      </c>
      <c r="NH95" s="13">
        <v>0.47</v>
      </c>
      <c r="NI95" s="1">
        <f>Combine!A97</f>
        <v>48083</v>
      </c>
      <c r="NJ95" s="14">
        <f>Combine!F97</f>
        <v>305891.59250394598</v>
      </c>
    </row>
    <row r="96" spans="1:374" ht="12.75" customHeight="1" x14ac:dyDescent="0.3">
      <c r="A96" s="59"/>
      <c r="D96" s="61"/>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c r="CT96" s="47"/>
      <c r="CU96" s="47"/>
      <c r="CV96" s="47"/>
      <c r="CW96" s="47"/>
      <c r="CX96" s="47"/>
      <c r="CY96" s="47"/>
      <c r="CZ96" s="47"/>
      <c r="DA96" s="47"/>
      <c r="DB96" s="47"/>
      <c r="DC96" s="47"/>
      <c r="DD96" s="47"/>
      <c r="DE96" s="47"/>
      <c r="DF96" s="47"/>
      <c r="DG96" s="47"/>
      <c r="DH96" s="47"/>
      <c r="DI96" s="47"/>
      <c r="DJ96" s="47"/>
      <c r="DK96" s="47"/>
      <c r="DL96" s="47"/>
      <c r="DM96" s="47"/>
      <c r="DN96" s="47"/>
      <c r="DO96" s="47"/>
      <c r="DP96" s="47"/>
      <c r="DQ96" s="47"/>
      <c r="DR96" s="47"/>
      <c r="DS96" s="47"/>
      <c r="DT96" s="47"/>
      <c r="DU96" s="47"/>
      <c r="DV96" s="47"/>
      <c r="DW96" s="47"/>
      <c r="DX96" s="47"/>
      <c r="DY96" s="47"/>
      <c r="DZ96" s="47"/>
      <c r="EA96" s="47"/>
      <c r="EB96" s="47"/>
      <c r="EC96" s="47"/>
      <c r="ED96" s="47"/>
      <c r="EE96" s="47"/>
      <c r="EF96" s="47"/>
      <c r="EG96" s="47"/>
      <c r="EH96" s="47"/>
      <c r="EI96" s="47"/>
      <c r="EJ96" s="47"/>
      <c r="EK96" s="47"/>
      <c r="EL96" s="47"/>
      <c r="EM96" s="47"/>
      <c r="EN96" s="47"/>
      <c r="EO96" s="47"/>
      <c r="EP96" s="47"/>
      <c r="EQ96" s="47"/>
      <c r="ER96" s="47"/>
      <c r="ES96" s="47"/>
      <c r="ET96" s="47"/>
      <c r="EU96" s="47"/>
      <c r="EV96" s="47"/>
      <c r="EW96" s="47"/>
      <c r="EX96" s="47"/>
      <c r="EY96" s="47"/>
      <c r="EZ96" s="47"/>
      <c r="FA96" s="47"/>
      <c r="FB96" s="47"/>
      <c r="FC96" s="47"/>
      <c r="FD96" s="47"/>
      <c r="FE96" s="47"/>
      <c r="FF96" s="47"/>
      <c r="FG96" s="47"/>
      <c r="FH96" s="47"/>
      <c r="FI96" s="47"/>
      <c r="FJ96" s="47"/>
      <c r="FK96" s="47"/>
      <c r="FL96" s="47"/>
      <c r="FM96" s="47"/>
      <c r="FN96" s="47"/>
      <c r="FO96" s="47"/>
      <c r="FP96" s="47"/>
      <c r="FQ96" s="47"/>
      <c r="FR96" s="47"/>
      <c r="FS96" s="47"/>
      <c r="FT96" s="47"/>
      <c r="FU96" s="47"/>
      <c r="FV96" s="47"/>
      <c r="FW96" s="47"/>
      <c r="FX96" s="47"/>
      <c r="FY96" s="47"/>
      <c r="FZ96" s="47"/>
      <c r="GA96" s="47"/>
      <c r="GB96" s="47"/>
      <c r="GC96" s="47"/>
      <c r="GD96" s="47"/>
      <c r="GE96" s="47"/>
      <c r="GF96" s="47"/>
      <c r="GG96" s="47"/>
      <c r="GH96" s="47"/>
      <c r="GI96" s="47"/>
      <c r="GJ96" s="47"/>
      <c r="GK96" s="47"/>
      <c r="GL96" s="47"/>
      <c r="GM96" s="47"/>
      <c r="GN96" s="47"/>
      <c r="GO96" s="47"/>
      <c r="GP96" s="47"/>
      <c r="GQ96" s="47"/>
      <c r="GR96" s="47"/>
      <c r="GS96" s="47"/>
      <c r="GT96" s="47"/>
      <c r="GU96" s="47"/>
      <c r="GV96" s="47"/>
      <c r="GW96" s="47"/>
      <c r="GX96" s="47"/>
      <c r="GY96" s="47"/>
      <c r="GZ96" s="47"/>
      <c r="HA96" s="47"/>
      <c r="HB96" s="47"/>
      <c r="HC96" s="47"/>
      <c r="HD96" s="47"/>
      <c r="HE96" s="47"/>
      <c r="HF96" s="47"/>
      <c r="HG96" s="47"/>
      <c r="HH96" s="47"/>
      <c r="HI96" s="47"/>
      <c r="HJ96" s="47"/>
      <c r="HK96" s="47"/>
      <c r="HL96" s="47"/>
      <c r="HM96" s="47"/>
      <c r="HN96" s="47"/>
      <c r="HO96" s="47"/>
      <c r="HP96" s="47"/>
      <c r="HQ96" s="47"/>
      <c r="HR96" s="47"/>
      <c r="HS96" s="47"/>
      <c r="HT96" s="47"/>
      <c r="HU96" s="47"/>
      <c r="HV96" s="47"/>
      <c r="HW96" s="47"/>
      <c r="HX96" s="47"/>
      <c r="HY96" s="47"/>
      <c r="HZ96" s="47"/>
      <c r="IA96" s="47"/>
      <c r="IB96" s="47"/>
      <c r="IC96" s="47"/>
      <c r="ID96" s="47"/>
      <c r="IE96" s="47"/>
      <c r="IF96" s="47"/>
      <c r="IG96" s="47"/>
      <c r="IH96" s="47"/>
      <c r="II96" s="47"/>
      <c r="IJ96" s="47"/>
      <c r="IK96" s="47"/>
      <c r="IL96" s="47"/>
      <c r="IM96" s="47"/>
      <c r="IN96" s="47"/>
      <c r="IO96" s="47"/>
      <c r="IP96" s="47"/>
      <c r="IQ96" s="47"/>
      <c r="IR96" s="47"/>
      <c r="IS96" s="47"/>
      <c r="IT96" s="47"/>
      <c r="IU96" s="47"/>
      <c r="IV96" s="47"/>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F96" s="63">
        <v>6.1999999999999902E-2</v>
      </c>
      <c r="NG96" s="64">
        <v>-383.88524816799946</v>
      </c>
      <c r="NH96" s="13">
        <v>0.47499999999999998</v>
      </c>
      <c r="NI96" s="1">
        <f>Combine!A98</f>
        <v>48214</v>
      </c>
      <c r="NJ96" s="14">
        <f>Combine!F98</f>
        <v>59504.007791886099</v>
      </c>
    </row>
    <row r="97" spans="1:374" ht="12.75" customHeight="1" x14ac:dyDescent="0.3">
      <c r="A97" s="59"/>
      <c r="D97" s="61"/>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c r="CT97" s="47"/>
      <c r="CU97" s="47"/>
      <c r="CV97" s="47"/>
      <c r="CW97" s="47"/>
      <c r="CX97" s="47"/>
      <c r="CY97" s="47"/>
      <c r="CZ97" s="47"/>
      <c r="DA97" s="47"/>
      <c r="DB97" s="47"/>
      <c r="DC97" s="47"/>
      <c r="DD97" s="47"/>
      <c r="DE97" s="47"/>
      <c r="DF97" s="47"/>
      <c r="DG97" s="47"/>
      <c r="DH97" s="47"/>
      <c r="DI97" s="47"/>
      <c r="DJ97" s="47"/>
      <c r="DK97" s="47"/>
      <c r="DL97" s="47"/>
      <c r="DM97" s="47"/>
      <c r="DN97" s="47"/>
      <c r="DO97" s="47"/>
      <c r="DP97" s="47"/>
      <c r="DQ97" s="47"/>
      <c r="DR97" s="47"/>
      <c r="DS97" s="47"/>
      <c r="DT97" s="47"/>
      <c r="DU97" s="47"/>
      <c r="DV97" s="47"/>
      <c r="DW97" s="47"/>
      <c r="DX97" s="47"/>
      <c r="DY97" s="47"/>
      <c r="DZ97" s="47"/>
      <c r="EA97" s="47"/>
      <c r="EB97" s="47"/>
      <c r="EC97" s="47"/>
      <c r="ED97" s="47"/>
      <c r="EE97" s="47"/>
      <c r="EF97" s="47"/>
      <c r="EG97" s="47"/>
      <c r="EH97" s="47"/>
      <c r="EI97" s="47"/>
      <c r="EJ97" s="47"/>
      <c r="EK97" s="47"/>
      <c r="EL97" s="47"/>
      <c r="EM97" s="47"/>
      <c r="EN97" s="47"/>
      <c r="EO97" s="47"/>
      <c r="EP97" s="47"/>
      <c r="EQ97" s="47"/>
      <c r="ER97" s="47"/>
      <c r="ES97" s="47"/>
      <c r="ET97" s="47"/>
      <c r="EU97" s="47"/>
      <c r="EV97" s="47"/>
      <c r="EW97" s="47"/>
      <c r="EX97" s="47"/>
      <c r="EY97" s="47"/>
      <c r="EZ97" s="47"/>
      <c r="FA97" s="47"/>
      <c r="FB97" s="47"/>
      <c r="FC97" s="47"/>
      <c r="FD97" s="47"/>
      <c r="FE97" s="47"/>
      <c r="FF97" s="47"/>
      <c r="FG97" s="47"/>
      <c r="FH97" s="47"/>
      <c r="FI97" s="47"/>
      <c r="FJ97" s="47"/>
      <c r="FK97" s="47"/>
      <c r="FL97" s="47"/>
      <c r="FM97" s="47"/>
      <c r="FN97" s="47"/>
      <c r="FO97" s="47"/>
      <c r="FP97" s="47"/>
      <c r="FQ97" s="47"/>
      <c r="FR97" s="47"/>
      <c r="FS97" s="47"/>
      <c r="FT97" s="47"/>
      <c r="FU97" s="47"/>
      <c r="FV97" s="47"/>
      <c r="FW97" s="47"/>
      <c r="FX97" s="47"/>
      <c r="FY97" s="47"/>
      <c r="FZ97" s="47"/>
      <c r="GA97" s="47"/>
      <c r="GB97" s="47"/>
      <c r="GC97" s="47"/>
      <c r="GD97" s="47"/>
      <c r="GE97" s="47"/>
      <c r="GF97" s="47"/>
      <c r="GG97" s="47"/>
      <c r="GH97" s="47"/>
      <c r="GI97" s="47"/>
      <c r="GJ97" s="47"/>
      <c r="GK97" s="47"/>
      <c r="GL97" s="47"/>
      <c r="GM97" s="47"/>
      <c r="GN97" s="47"/>
      <c r="GO97" s="47"/>
      <c r="GP97" s="47"/>
      <c r="GQ97" s="47"/>
      <c r="GR97" s="47"/>
      <c r="GS97" s="47"/>
      <c r="GT97" s="47"/>
      <c r="GU97" s="47"/>
      <c r="GV97" s="47"/>
      <c r="GW97" s="47"/>
      <c r="GX97" s="47"/>
      <c r="GY97" s="47"/>
      <c r="GZ97" s="47"/>
      <c r="HA97" s="47"/>
      <c r="HB97" s="47"/>
      <c r="HC97" s="47"/>
      <c r="HD97" s="47"/>
      <c r="HE97" s="47"/>
      <c r="HF97" s="47"/>
      <c r="HG97" s="47"/>
      <c r="HH97" s="47"/>
      <c r="HI97" s="47"/>
      <c r="HJ97" s="47"/>
      <c r="HK97" s="47"/>
      <c r="HL97" s="47"/>
      <c r="HM97" s="47"/>
      <c r="HN97" s="47"/>
      <c r="HO97" s="47"/>
      <c r="HP97" s="47"/>
      <c r="HQ97" s="47"/>
      <c r="HR97" s="47"/>
      <c r="HS97" s="47"/>
      <c r="HT97" s="47"/>
      <c r="HU97" s="47"/>
      <c r="HV97" s="47"/>
      <c r="HW97" s="47"/>
      <c r="HX97" s="47"/>
      <c r="HY97" s="47"/>
      <c r="HZ97" s="47"/>
      <c r="IA97" s="47"/>
      <c r="IB97" s="47"/>
      <c r="IC97" s="47"/>
      <c r="ID97" s="47"/>
      <c r="IE97" s="47"/>
      <c r="IF97" s="47"/>
      <c r="IG97" s="47"/>
      <c r="IH97" s="47"/>
      <c r="II97" s="47"/>
      <c r="IJ97" s="47"/>
      <c r="IK97" s="47"/>
      <c r="IL97" s="47"/>
      <c r="IM97" s="47"/>
      <c r="IN97" s="47"/>
      <c r="IO97" s="47"/>
      <c r="IP97" s="47"/>
      <c r="IQ97" s="47"/>
      <c r="IR97" s="47"/>
      <c r="IS97" s="47"/>
      <c r="IT97" s="47"/>
      <c r="IU97" s="47"/>
      <c r="IV97" s="47"/>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F97" s="63">
        <v>6.2999999999999903E-2</v>
      </c>
      <c r="NG97" s="64">
        <v>-4116.6311217601833</v>
      </c>
      <c r="NH97" s="13">
        <v>0.48</v>
      </c>
      <c r="NI97" s="1">
        <f>Combine!A99</f>
        <v>48331</v>
      </c>
      <c r="NJ97" s="14">
        <f>Combine!F99</f>
        <v>413023.466462554</v>
      </c>
    </row>
    <row r="98" spans="1:374" ht="12.75" customHeight="1" x14ac:dyDescent="0.3">
      <c r="A98" s="59"/>
      <c r="D98" s="61"/>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c r="CT98" s="47"/>
      <c r="CU98" s="47"/>
      <c r="CV98" s="47"/>
      <c r="CW98" s="47"/>
      <c r="CX98" s="47"/>
      <c r="CY98" s="47"/>
      <c r="CZ98" s="47"/>
      <c r="DA98" s="47"/>
      <c r="DB98" s="47"/>
      <c r="DC98" s="47"/>
      <c r="DD98" s="47"/>
      <c r="DE98" s="47"/>
      <c r="DF98" s="47"/>
      <c r="DG98" s="47"/>
      <c r="DH98" s="47"/>
      <c r="DI98" s="47"/>
      <c r="DJ98" s="47"/>
      <c r="DK98" s="47"/>
      <c r="DL98" s="47"/>
      <c r="DM98" s="47"/>
      <c r="DN98" s="47"/>
      <c r="DO98" s="47"/>
      <c r="DP98" s="47"/>
      <c r="DQ98" s="47"/>
      <c r="DR98" s="47"/>
      <c r="DS98" s="47"/>
      <c r="DT98" s="47"/>
      <c r="DU98" s="47"/>
      <c r="DV98" s="47"/>
      <c r="DW98" s="47"/>
      <c r="DX98" s="47"/>
      <c r="DY98" s="47"/>
      <c r="DZ98" s="47"/>
      <c r="EA98" s="47"/>
      <c r="EB98" s="47"/>
      <c r="EC98" s="47"/>
      <c r="ED98" s="47"/>
      <c r="EE98" s="47"/>
      <c r="EF98" s="47"/>
      <c r="EG98" s="47"/>
      <c r="EH98" s="47"/>
      <c r="EI98" s="47"/>
      <c r="EJ98" s="47"/>
      <c r="EK98" s="47"/>
      <c r="EL98" s="47"/>
      <c r="EM98" s="47"/>
      <c r="EN98" s="47"/>
      <c r="EO98" s="47"/>
      <c r="EP98" s="47"/>
      <c r="EQ98" s="47"/>
      <c r="ER98" s="47"/>
      <c r="ES98" s="47"/>
      <c r="ET98" s="47"/>
      <c r="EU98" s="47"/>
      <c r="EV98" s="47"/>
      <c r="EW98" s="47"/>
      <c r="EX98" s="47"/>
      <c r="EY98" s="47"/>
      <c r="EZ98" s="47"/>
      <c r="FA98" s="47"/>
      <c r="FB98" s="47"/>
      <c r="FC98" s="47"/>
      <c r="FD98" s="47"/>
      <c r="FE98" s="47"/>
      <c r="FF98" s="47"/>
      <c r="FG98" s="47"/>
      <c r="FH98" s="47"/>
      <c r="FI98" s="47"/>
      <c r="FJ98" s="47"/>
      <c r="FK98" s="47"/>
      <c r="FL98" s="47"/>
      <c r="FM98" s="47"/>
      <c r="FN98" s="47"/>
      <c r="FO98" s="47"/>
      <c r="FP98" s="47"/>
      <c r="FQ98" s="47"/>
      <c r="FR98" s="47"/>
      <c r="FS98" s="47"/>
      <c r="FT98" s="47"/>
      <c r="FU98" s="47"/>
      <c r="FV98" s="47"/>
      <c r="FW98" s="47"/>
      <c r="FX98" s="47"/>
      <c r="FY98" s="47"/>
      <c r="FZ98" s="47"/>
      <c r="GA98" s="47"/>
      <c r="GB98" s="47"/>
      <c r="GC98" s="47"/>
      <c r="GD98" s="47"/>
      <c r="GE98" s="47"/>
      <c r="GF98" s="47"/>
      <c r="GG98" s="47"/>
      <c r="GH98" s="47"/>
      <c r="GI98" s="47"/>
      <c r="GJ98" s="47"/>
      <c r="GK98" s="47"/>
      <c r="GL98" s="47"/>
      <c r="GM98" s="47"/>
      <c r="GN98" s="47"/>
      <c r="GO98" s="47"/>
      <c r="GP98" s="47"/>
      <c r="GQ98" s="47"/>
      <c r="GR98" s="47"/>
      <c r="GS98" s="47"/>
      <c r="GT98" s="47"/>
      <c r="GU98" s="47"/>
      <c r="GV98" s="47"/>
      <c r="GW98" s="47"/>
      <c r="GX98" s="47"/>
      <c r="GY98" s="47"/>
      <c r="GZ98" s="47"/>
      <c r="HA98" s="47"/>
      <c r="HB98" s="47"/>
      <c r="HC98" s="47"/>
      <c r="HD98" s="47"/>
      <c r="HE98" s="47"/>
      <c r="HF98" s="47"/>
      <c r="HG98" s="47"/>
      <c r="HH98" s="47"/>
      <c r="HI98" s="47"/>
      <c r="HJ98" s="47"/>
      <c r="HK98" s="47"/>
      <c r="HL98" s="47"/>
      <c r="HM98" s="47"/>
      <c r="HN98" s="47"/>
      <c r="HO98" s="47"/>
      <c r="HP98" s="47"/>
      <c r="HQ98" s="47"/>
      <c r="HR98" s="47"/>
      <c r="HS98" s="47"/>
      <c r="HT98" s="47"/>
      <c r="HU98" s="47"/>
      <c r="HV98" s="47"/>
      <c r="HW98" s="47"/>
      <c r="HX98" s="47"/>
      <c r="HY98" s="47"/>
      <c r="HZ98" s="47"/>
      <c r="IA98" s="47"/>
      <c r="IB98" s="47"/>
      <c r="IC98" s="47"/>
      <c r="ID98" s="47"/>
      <c r="IE98" s="47"/>
      <c r="IF98" s="47"/>
      <c r="IG98" s="47"/>
      <c r="IH98" s="47"/>
      <c r="II98" s="47"/>
      <c r="IJ98" s="47"/>
      <c r="IK98" s="47"/>
      <c r="IL98" s="47"/>
      <c r="IM98" s="47"/>
      <c r="IN98" s="47"/>
      <c r="IO98" s="47"/>
      <c r="IP98" s="47"/>
      <c r="IQ98" s="47"/>
      <c r="IR98" s="47"/>
      <c r="IS98" s="47"/>
      <c r="IT98" s="47"/>
      <c r="IU98" s="47"/>
      <c r="IV98" s="47"/>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F98" s="63">
        <v>6.3999999999999904E-2</v>
      </c>
      <c r="NG98" s="64">
        <v>-7857.9277021751923</v>
      </c>
      <c r="NH98" s="13">
        <v>0.48499999999999999</v>
      </c>
      <c r="NI98" s="1">
        <f>Combine!A100</f>
        <v>48081</v>
      </c>
      <c r="NJ98" s="14">
        <f>Combine!F100</f>
        <v>206290.8513791</v>
      </c>
    </row>
    <row r="99" spans="1:374" ht="12.75" customHeight="1" x14ac:dyDescent="0.3">
      <c r="A99" s="59"/>
      <c r="D99" s="61"/>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c r="CT99" s="47"/>
      <c r="CU99" s="47"/>
      <c r="CV99" s="47"/>
      <c r="CW99" s="47"/>
      <c r="CX99" s="47"/>
      <c r="CY99" s="47"/>
      <c r="CZ99" s="47"/>
      <c r="DA99" s="47"/>
      <c r="DB99" s="47"/>
      <c r="DC99" s="47"/>
      <c r="DD99" s="47"/>
      <c r="DE99" s="47"/>
      <c r="DF99" s="47"/>
      <c r="DG99" s="47"/>
      <c r="DH99" s="47"/>
      <c r="DI99" s="47"/>
      <c r="DJ99" s="47"/>
      <c r="DK99" s="47"/>
      <c r="DL99" s="47"/>
      <c r="DM99" s="47"/>
      <c r="DN99" s="47"/>
      <c r="DO99" s="47"/>
      <c r="DP99" s="47"/>
      <c r="DQ99" s="47"/>
      <c r="DR99" s="47"/>
      <c r="DS99" s="47"/>
      <c r="DT99" s="47"/>
      <c r="DU99" s="47"/>
      <c r="DV99" s="47"/>
      <c r="DW99" s="47"/>
      <c r="DX99" s="47"/>
      <c r="DY99" s="47"/>
      <c r="DZ99" s="47"/>
      <c r="EA99" s="47"/>
      <c r="EB99" s="47"/>
      <c r="EC99" s="47"/>
      <c r="ED99" s="47"/>
      <c r="EE99" s="47"/>
      <c r="EF99" s="47"/>
      <c r="EG99" s="47"/>
      <c r="EH99" s="47"/>
      <c r="EI99" s="47"/>
      <c r="EJ99" s="47"/>
      <c r="EK99" s="47"/>
      <c r="EL99" s="47"/>
      <c r="EM99" s="47"/>
      <c r="EN99" s="47"/>
      <c r="EO99" s="47"/>
      <c r="EP99" s="47"/>
      <c r="EQ99" s="47"/>
      <c r="ER99" s="47"/>
      <c r="ES99" s="47"/>
      <c r="ET99" s="47"/>
      <c r="EU99" s="47"/>
      <c r="EV99" s="47"/>
      <c r="EW99" s="47"/>
      <c r="EX99" s="47"/>
      <c r="EY99" s="47"/>
      <c r="EZ99" s="47"/>
      <c r="FA99" s="47"/>
      <c r="FB99" s="47"/>
      <c r="FC99" s="47"/>
      <c r="FD99" s="47"/>
      <c r="FE99" s="47"/>
      <c r="FF99" s="47"/>
      <c r="FG99" s="47"/>
      <c r="FH99" s="47"/>
      <c r="FI99" s="47"/>
      <c r="FJ99" s="47"/>
      <c r="FK99" s="47"/>
      <c r="FL99" s="47"/>
      <c r="FM99" s="47"/>
      <c r="FN99" s="47"/>
      <c r="FO99" s="47"/>
      <c r="FP99" s="47"/>
      <c r="FQ99" s="47"/>
      <c r="FR99" s="47"/>
      <c r="FS99" s="47"/>
      <c r="FT99" s="47"/>
      <c r="FU99" s="47"/>
      <c r="FV99" s="47"/>
      <c r="FW99" s="47"/>
      <c r="FX99" s="47"/>
      <c r="FY99" s="47"/>
      <c r="FZ99" s="47"/>
      <c r="GA99" s="47"/>
      <c r="GB99" s="47"/>
      <c r="GC99" s="47"/>
      <c r="GD99" s="47"/>
      <c r="GE99" s="47"/>
      <c r="GF99" s="47"/>
      <c r="GG99" s="47"/>
      <c r="GH99" s="47"/>
      <c r="GI99" s="47"/>
      <c r="GJ99" s="47"/>
      <c r="GK99" s="47"/>
      <c r="GL99" s="47"/>
      <c r="GM99" s="47"/>
      <c r="GN99" s="47"/>
      <c r="GO99" s="47"/>
      <c r="GP99" s="47"/>
      <c r="GQ99" s="47"/>
      <c r="GR99" s="47"/>
      <c r="GS99" s="47"/>
      <c r="GT99" s="47"/>
      <c r="GU99" s="47"/>
      <c r="GV99" s="47"/>
      <c r="GW99" s="47"/>
      <c r="GX99" s="47"/>
      <c r="GY99" s="47"/>
      <c r="GZ99" s="47"/>
      <c r="HA99" s="47"/>
      <c r="HB99" s="47"/>
      <c r="HC99" s="47"/>
      <c r="HD99" s="47"/>
      <c r="HE99" s="47"/>
      <c r="HF99" s="47"/>
      <c r="HG99" s="47"/>
      <c r="HH99" s="47"/>
      <c r="HI99" s="47"/>
      <c r="HJ99" s="47"/>
      <c r="HK99" s="47"/>
      <c r="HL99" s="47"/>
      <c r="HM99" s="47"/>
      <c r="HN99" s="47"/>
      <c r="HO99" s="47"/>
      <c r="HP99" s="47"/>
      <c r="HQ99" s="47"/>
      <c r="HR99" s="47"/>
      <c r="HS99" s="47"/>
      <c r="HT99" s="47"/>
      <c r="HU99" s="47"/>
      <c r="HV99" s="47"/>
      <c r="HW99" s="47"/>
      <c r="HX99" s="47"/>
      <c r="HY99" s="47"/>
      <c r="HZ99" s="47"/>
      <c r="IA99" s="47"/>
      <c r="IB99" s="47"/>
      <c r="IC99" s="47"/>
      <c r="ID99" s="47"/>
      <c r="IE99" s="47"/>
      <c r="IF99" s="47"/>
      <c r="IG99" s="47"/>
      <c r="IH99" s="47"/>
      <c r="II99" s="47"/>
      <c r="IJ99" s="47"/>
      <c r="IK99" s="47"/>
      <c r="IL99" s="47"/>
      <c r="IM99" s="47"/>
      <c r="IN99" s="47"/>
      <c r="IO99" s="47"/>
      <c r="IP99" s="47"/>
      <c r="IQ99" s="47"/>
      <c r="IR99" s="47"/>
      <c r="IS99" s="47"/>
      <c r="IT99" s="47"/>
      <c r="IU99" s="47"/>
      <c r="IV99" s="47"/>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F99" s="63">
        <v>6.4999999999999905E-2</v>
      </c>
      <c r="NG99" s="64">
        <v>-11607.627737220741</v>
      </c>
      <c r="NH99" s="13">
        <v>0.49</v>
      </c>
      <c r="NI99" s="1">
        <f>Combine!A101</f>
        <v>48009</v>
      </c>
      <c r="NJ99" s="14">
        <f>Combine!F101</f>
        <v>663312.90064347198</v>
      </c>
    </row>
    <row r="100" spans="1:374" ht="12.75" customHeight="1" x14ac:dyDescent="0.3">
      <c r="A100" s="59"/>
      <c r="D100" s="61"/>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c r="CT100" s="47"/>
      <c r="CU100" s="47"/>
      <c r="CV100" s="47"/>
      <c r="CW100" s="47"/>
      <c r="CX100" s="47"/>
      <c r="CY100" s="47"/>
      <c r="CZ100" s="47"/>
      <c r="DA100" s="47"/>
      <c r="DB100" s="47"/>
      <c r="DC100" s="47"/>
      <c r="DD100" s="47"/>
      <c r="DE100" s="47"/>
      <c r="DF100" s="47"/>
      <c r="DG100" s="47"/>
      <c r="DH100" s="47"/>
      <c r="DI100" s="47"/>
      <c r="DJ100" s="47"/>
      <c r="DK100" s="47"/>
      <c r="DL100" s="47"/>
      <c r="DM100" s="47"/>
      <c r="DN100" s="47"/>
      <c r="DO100" s="47"/>
      <c r="DP100" s="47"/>
      <c r="DQ100" s="47"/>
      <c r="DR100" s="47"/>
      <c r="DS100" s="47"/>
      <c r="DT100" s="47"/>
      <c r="DU100" s="47"/>
      <c r="DV100" s="47"/>
      <c r="DW100" s="47"/>
      <c r="DX100" s="47"/>
      <c r="DY100" s="47"/>
      <c r="DZ100" s="47"/>
      <c r="EA100" s="47"/>
      <c r="EB100" s="47"/>
      <c r="EC100" s="47"/>
      <c r="ED100" s="47"/>
      <c r="EE100" s="47"/>
      <c r="EF100" s="47"/>
      <c r="EG100" s="47"/>
      <c r="EH100" s="47"/>
      <c r="EI100" s="47"/>
      <c r="EJ100" s="47"/>
      <c r="EK100" s="47"/>
      <c r="EL100" s="47"/>
      <c r="EM100" s="47"/>
      <c r="EN100" s="47"/>
      <c r="EO100" s="47"/>
      <c r="EP100" s="47"/>
      <c r="EQ100" s="47"/>
      <c r="ER100" s="47"/>
      <c r="ES100" s="47"/>
      <c r="ET100" s="47"/>
      <c r="EU100" s="47"/>
      <c r="EV100" s="47"/>
      <c r="EW100" s="47"/>
      <c r="EX100" s="47"/>
      <c r="EY100" s="47"/>
      <c r="EZ100" s="47"/>
      <c r="FA100" s="47"/>
      <c r="FB100" s="47"/>
      <c r="FC100" s="47"/>
      <c r="FD100" s="47"/>
      <c r="FE100" s="47"/>
      <c r="FF100" s="47"/>
      <c r="FG100" s="47"/>
      <c r="FH100" s="47"/>
      <c r="FI100" s="47"/>
      <c r="FJ100" s="47"/>
      <c r="FK100" s="47"/>
      <c r="FL100" s="47"/>
      <c r="FM100" s="47"/>
      <c r="FN100" s="47"/>
      <c r="FO100" s="47"/>
      <c r="FP100" s="47"/>
      <c r="FQ100" s="47"/>
      <c r="FR100" s="47"/>
      <c r="FS100" s="47"/>
      <c r="FT100" s="47"/>
      <c r="FU100" s="47"/>
      <c r="FV100" s="47"/>
      <c r="FW100" s="47"/>
      <c r="FX100" s="47"/>
      <c r="FY100" s="47"/>
      <c r="FZ100" s="47"/>
      <c r="GA100" s="47"/>
      <c r="GB100" s="47"/>
      <c r="GC100" s="47"/>
      <c r="GD100" s="47"/>
      <c r="GE100" s="47"/>
      <c r="GF100" s="47"/>
      <c r="GG100" s="47"/>
      <c r="GH100" s="47"/>
      <c r="GI100" s="47"/>
      <c r="GJ100" s="47"/>
      <c r="GK100" s="47"/>
      <c r="GL100" s="47"/>
      <c r="GM100" s="47"/>
      <c r="GN100" s="47"/>
      <c r="GO100" s="47"/>
      <c r="GP100" s="47"/>
      <c r="GQ100" s="47"/>
      <c r="GR100" s="47"/>
      <c r="GS100" s="47"/>
      <c r="GT100" s="47"/>
      <c r="GU100" s="47"/>
      <c r="GV100" s="47"/>
      <c r="GW100" s="47"/>
      <c r="GX100" s="47"/>
      <c r="GY100" s="47"/>
      <c r="GZ100" s="47"/>
      <c r="HA100" s="47"/>
      <c r="HB100" s="47"/>
      <c r="HC100" s="47"/>
      <c r="HD100" s="47"/>
      <c r="HE100" s="47"/>
      <c r="HF100" s="47"/>
      <c r="HG100" s="47"/>
      <c r="HH100" s="47"/>
      <c r="HI100" s="47"/>
      <c r="HJ100" s="47"/>
      <c r="HK100" s="47"/>
      <c r="HL100" s="47"/>
      <c r="HM100" s="47"/>
      <c r="HN100" s="47"/>
      <c r="HO100" s="47"/>
      <c r="HP100" s="47"/>
      <c r="HQ100" s="47"/>
      <c r="HR100" s="47"/>
      <c r="HS100" s="47"/>
      <c r="HT100" s="47"/>
      <c r="HU100" s="47"/>
      <c r="HV100" s="47"/>
      <c r="HW100" s="47"/>
      <c r="HX100" s="47"/>
      <c r="HY100" s="47"/>
      <c r="HZ100" s="47"/>
      <c r="IA100" s="47"/>
      <c r="IB100" s="47"/>
      <c r="IC100" s="47"/>
      <c r="ID100" s="47"/>
      <c r="IE100" s="47"/>
      <c r="IF100" s="47"/>
      <c r="IG100" s="47"/>
      <c r="IH100" s="47"/>
      <c r="II100" s="47"/>
      <c r="IJ100" s="47"/>
      <c r="IK100" s="47"/>
      <c r="IL100" s="47"/>
      <c r="IM100" s="47"/>
      <c r="IN100" s="47"/>
      <c r="IO100" s="47"/>
      <c r="IP100" s="47"/>
      <c r="IQ100" s="47"/>
      <c r="IR100" s="47"/>
      <c r="IS100" s="47"/>
      <c r="IT100" s="47"/>
      <c r="IU100" s="47"/>
      <c r="IV100" s="47"/>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F100" s="63">
        <v>6.5999999999999906E-2</v>
      </c>
      <c r="NG100" s="64">
        <v>-15365.584882139266</v>
      </c>
      <c r="NH100" s="13">
        <v>0.495</v>
      </c>
      <c r="NI100" s="1">
        <f>Combine!A102</f>
        <v>48207</v>
      </c>
      <c r="NJ100" s="14">
        <f>Combine!F102</f>
        <v>82064.386607089094</v>
      </c>
    </row>
    <row r="101" spans="1:374" ht="12.75" customHeight="1" x14ac:dyDescent="0.3">
      <c r="A101" s="59"/>
      <c r="D101" s="61"/>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c r="CT101" s="47"/>
      <c r="CU101" s="47"/>
      <c r="CV101" s="47"/>
      <c r="CW101" s="47"/>
      <c r="CX101" s="47"/>
      <c r="CY101" s="47"/>
      <c r="CZ101" s="47"/>
      <c r="DA101" s="47"/>
      <c r="DB101" s="47"/>
      <c r="DC101" s="47"/>
      <c r="DD101" s="47"/>
      <c r="DE101" s="47"/>
      <c r="DF101" s="47"/>
      <c r="DG101" s="47"/>
      <c r="DH101" s="47"/>
      <c r="DI101" s="47"/>
      <c r="DJ101" s="47"/>
      <c r="DK101" s="47"/>
      <c r="DL101" s="47"/>
      <c r="DM101" s="47"/>
      <c r="DN101" s="47"/>
      <c r="DO101" s="47"/>
      <c r="DP101" s="47"/>
      <c r="DQ101" s="47"/>
      <c r="DR101" s="47"/>
      <c r="DS101" s="47"/>
      <c r="DT101" s="47"/>
      <c r="DU101" s="47"/>
      <c r="DV101" s="47"/>
      <c r="DW101" s="47"/>
      <c r="DX101" s="47"/>
      <c r="DY101" s="47"/>
      <c r="DZ101" s="47"/>
      <c r="EA101" s="47"/>
      <c r="EB101" s="47"/>
      <c r="EC101" s="47"/>
      <c r="ED101" s="47"/>
      <c r="EE101" s="47"/>
      <c r="EF101" s="47"/>
      <c r="EG101" s="47"/>
      <c r="EH101" s="47"/>
      <c r="EI101" s="47"/>
      <c r="EJ101" s="47"/>
      <c r="EK101" s="47"/>
      <c r="EL101" s="47"/>
      <c r="EM101" s="47"/>
      <c r="EN101" s="47"/>
      <c r="EO101" s="47"/>
      <c r="EP101" s="47"/>
      <c r="EQ101" s="47"/>
      <c r="ER101" s="47"/>
      <c r="ES101" s="47"/>
      <c r="ET101" s="47"/>
      <c r="EU101" s="47"/>
      <c r="EV101" s="47"/>
      <c r="EW101" s="47"/>
      <c r="EX101" s="47"/>
      <c r="EY101" s="47"/>
      <c r="EZ101" s="47"/>
      <c r="FA101" s="47"/>
      <c r="FB101" s="47"/>
      <c r="FC101" s="47"/>
      <c r="FD101" s="47"/>
      <c r="FE101" s="47"/>
      <c r="FF101" s="47"/>
      <c r="FG101" s="47"/>
      <c r="FH101" s="47"/>
      <c r="FI101" s="47"/>
      <c r="FJ101" s="47"/>
      <c r="FK101" s="47"/>
      <c r="FL101" s="47"/>
      <c r="FM101" s="47"/>
      <c r="FN101" s="47"/>
      <c r="FO101" s="47"/>
      <c r="FP101" s="47"/>
      <c r="FQ101" s="47"/>
      <c r="FR101" s="47"/>
      <c r="FS101" s="47"/>
      <c r="FT101" s="47"/>
      <c r="FU101" s="47"/>
      <c r="FV101" s="47"/>
      <c r="FW101" s="47"/>
      <c r="FX101" s="47"/>
      <c r="FY101" s="47"/>
      <c r="FZ101" s="47"/>
      <c r="GA101" s="47"/>
      <c r="GB101" s="47"/>
      <c r="GC101" s="47"/>
      <c r="GD101" s="47"/>
      <c r="GE101" s="47"/>
      <c r="GF101" s="47"/>
      <c r="GG101" s="47"/>
      <c r="GH101" s="47"/>
      <c r="GI101" s="47"/>
      <c r="GJ101" s="47"/>
      <c r="GK101" s="47"/>
      <c r="GL101" s="47"/>
      <c r="GM101" s="47"/>
      <c r="GN101" s="47"/>
      <c r="GO101" s="47"/>
      <c r="GP101" s="47"/>
      <c r="GQ101" s="47"/>
      <c r="GR101" s="47"/>
      <c r="GS101" s="47"/>
      <c r="GT101" s="47"/>
      <c r="GU101" s="47"/>
      <c r="GV101" s="47"/>
      <c r="GW101" s="47"/>
      <c r="GX101" s="47"/>
      <c r="GY101" s="47"/>
      <c r="GZ101" s="47"/>
      <c r="HA101" s="47"/>
      <c r="HB101" s="47"/>
      <c r="HC101" s="47"/>
      <c r="HD101" s="47"/>
      <c r="HE101" s="47"/>
      <c r="HF101" s="47"/>
      <c r="HG101" s="47"/>
      <c r="HH101" s="47"/>
      <c r="HI101" s="47"/>
      <c r="HJ101" s="47"/>
      <c r="HK101" s="47"/>
      <c r="HL101" s="47"/>
      <c r="HM101" s="47"/>
      <c r="HN101" s="47"/>
      <c r="HO101" s="47"/>
      <c r="HP101" s="47"/>
      <c r="HQ101" s="47"/>
      <c r="HR101" s="47"/>
      <c r="HS101" s="47"/>
      <c r="HT101" s="47"/>
      <c r="HU101" s="47"/>
      <c r="HV101" s="47"/>
      <c r="HW101" s="47"/>
      <c r="HX101" s="47"/>
      <c r="HY101" s="47"/>
      <c r="HZ101" s="47"/>
      <c r="IA101" s="47"/>
      <c r="IB101" s="47"/>
      <c r="IC101" s="47"/>
      <c r="ID101" s="47"/>
      <c r="IE101" s="47"/>
      <c r="IF101" s="47"/>
      <c r="IG101" s="47"/>
      <c r="IH101" s="47"/>
      <c r="II101" s="47"/>
      <c r="IJ101" s="47"/>
      <c r="IK101" s="47"/>
      <c r="IL101" s="47"/>
      <c r="IM101" s="47"/>
      <c r="IN101" s="47"/>
      <c r="IO101" s="47"/>
      <c r="IP101" s="47"/>
      <c r="IQ101" s="47"/>
      <c r="IR101" s="47"/>
      <c r="IS101" s="47"/>
      <c r="IT101" s="47"/>
      <c r="IU101" s="47"/>
      <c r="IV101" s="47"/>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F101" s="63">
        <v>6.6999999999999907E-2</v>
      </c>
      <c r="NG101" s="64">
        <v>-19131.653738331424</v>
      </c>
      <c r="NH101" s="13">
        <v>0.5</v>
      </c>
      <c r="NI101" s="1">
        <f>Combine!A103</f>
        <v>49001</v>
      </c>
      <c r="NJ101" s="14">
        <f>Combine!F103</f>
        <v>136890.27760051901</v>
      </c>
    </row>
    <row r="102" spans="1:374" ht="12.75" customHeight="1" x14ac:dyDescent="0.3">
      <c r="A102" s="59"/>
      <c r="D102" s="61"/>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c r="CT102" s="47"/>
      <c r="CU102" s="47"/>
      <c r="CV102" s="47"/>
      <c r="CW102" s="47"/>
      <c r="CX102" s="47"/>
      <c r="CY102" s="47"/>
      <c r="CZ102" s="47"/>
      <c r="DA102" s="47"/>
      <c r="DB102" s="47"/>
      <c r="DC102" s="47"/>
      <c r="DD102" s="47"/>
      <c r="DE102" s="47"/>
      <c r="DF102" s="47"/>
      <c r="DG102" s="47"/>
      <c r="DH102" s="47"/>
      <c r="DI102" s="47"/>
      <c r="DJ102" s="47"/>
      <c r="DK102" s="47"/>
      <c r="DL102" s="47"/>
      <c r="DM102" s="47"/>
      <c r="DN102" s="47"/>
      <c r="DO102" s="47"/>
      <c r="DP102" s="47"/>
      <c r="DQ102" s="47"/>
      <c r="DR102" s="47"/>
      <c r="DS102" s="47"/>
      <c r="DT102" s="47"/>
      <c r="DU102" s="47"/>
      <c r="DV102" s="47"/>
      <c r="DW102" s="47"/>
      <c r="DX102" s="47"/>
      <c r="DY102" s="47"/>
      <c r="DZ102" s="47"/>
      <c r="EA102" s="47"/>
      <c r="EB102" s="47"/>
      <c r="EC102" s="47"/>
      <c r="ED102" s="47"/>
      <c r="EE102" s="47"/>
      <c r="EF102" s="47"/>
      <c r="EG102" s="47"/>
      <c r="EH102" s="47"/>
      <c r="EI102" s="47"/>
      <c r="EJ102" s="47"/>
      <c r="EK102" s="47"/>
      <c r="EL102" s="47"/>
      <c r="EM102" s="47"/>
      <c r="EN102" s="47"/>
      <c r="EO102" s="47"/>
      <c r="EP102" s="47"/>
      <c r="EQ102" s="47"/>
      <c r="ER102" s="47"/>
      <c r="ES102" s="47"/>
      <c r="ET102" s="47"/>
      <c r="EU102" s="47"/>
      <c r="EV102" s="47"/>
      <c r="EW102" s="47"/>
      <c r="EX102" s="47"/>
      <c r="EY102" s="47"/>
      <c r="EZ102" s="47"/>
      <c r="FA102" s="47"/>
      <c r="FB102" s="47"/>
      <c r="FC102" s="47"/>
      <c r="FD102" s="47"/>
      <c r="FE102" s="47"/>
      <c r="FF102" s="47"/>
      <c r="FG102" s="47"/>
      <c r="FH102" s="47"/>
      <c r="FI102" s="47"/>
      <c r="FJ102" s="47"/>
      <c r="FK102" s="47"/>
      <c r="FL102" s="47"/>
      <c r="FM102" s="47"/>
      <c r="FN102" s="47"/>
      <c r="FO102" s="47"/>
      <c r="FP102" s="47"/>
      <c r="FQ102" s="47"/>
      <c r="FR102" s="47"/>
      <c r="FS102" s="47"/>
      <c r="FT102" s="47"/>
      <c r="FU102" s="47"/>
      <c r="FV102" s="47"/>
      <c r="FW102" s="47"/>
      <c r="FX102" s="47"/>
      <c r="FY102" s="47"/>
      <c r="FZ102" s="47"/>
      <c r="GA102" s="47"/>
      <c r="GB102" s="47"/>
      <c r="GC102" s="47"/>
      <c r="GD102" s="47"/>
      <c r="GE102" s="47"/>
      <c r="GF102" s="47"/>
      <c r="GG102" s="47"/>
      <c r="GH102" s="47"/>
      <c r="GI102" s="47"/>
      <c r="GJ102" s="47"/>
      <c r="GK102" s="47"/>
      <c r="GL102" s="47"/>
      <c r="GM102" s="47"/>
      <c r="GN102" s="47"/>
      <c r="GO102" s="47"/>
      <c r="GP102" s="47"/>
      <c r="GQ102" s="47"/>
      <c r="GR102" s="47"/>
      <c r="GS102" s="47"/>
      <c r="GT102" s="47"/>
      <c r="GU102" s="47"/>
      <c r="GV102" s="47"/>
      <c r="GW102" s="47"/>
      <c r="GX102" s="47"/>
      <c r="GY102" s="47"/>
      <c r="GZ102" s="47"/>
      <c r="HA102" s="47"/>
      <c r="HB102" s="47"/>
      <c r="HC102" s="47"/>
      <c r="HD102" s="47"/>
      <c r="HE102" s="47"/>
      <c r="HF102" s="47"/>
      <c r="HG102" s="47"/>
      <c r="HH102" s="47"/>
      <c r="HI102" s="47"/>
      <c r="HJ102" s="47"/>
      <c r="HK102" s="47"/>
      <c r="HL102" s="47"/>
      <c r="HM102" s="47"/>
      <c r="HN102" s="47"/>
      <c r="HO102" s="47"/>
      <c r="HP102" s="47"/>
      <c r="HQ102" s="47"/>
      <c r="HR102" s="47"/>
      <c r="HS102" s="47"/>
      <c r="HT102" s="47"/>
      <c r="HU102" s="47"/>
      <c r="HV102" s="47"/>
      <c r="HW102" s="47"/>
      <c r="HX102" s="47"/>
      <c r="HY102" s="47"/>
      <c r="HZ102" s="47"/>
      <c r="IA102" s="47"/>
      <c r="IB102" s="47"/>
      <c r="IC102" s="47"/>
      <c r="ID102" s="47"/>
      <c r="IE102" s="47"/>
      <c r="IF102" s="47"/>
      <c r="IG102" s="47"/>
      <c r="IH102" s="47"/>
      <c r="II102" s="47"/>
      <c r="IJ102" s="47"/>
      <c r="IK102" s="47"/>
      <c r="IL102" s="47"/>
      <c r="IM102" s="47"/>
      <c r="IN102" s="47"/>
      <c r="IO102" s="47"/>
      <c r="IP102" s="47"/>
      <c r="IQ102" s="47"/>
      <c r="IR102" s="47"/>
      <c r="IS102" s="47"/>
      <c r="IT102" s="47"/>
      <c r="IU102" s="47"/>
      <c r="IV102" s="47"/>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F102" s="63">
        <v>6.7999999999999894E-2</v>
      </c>
      <c r="NG102" s="64">
        <v>-22905.689890817088</v>
      </c>
      <c r="NH102" s="13">
        <v>0.505</v>
      </c>
      <c r="NI102" s="1">
        <f>Combine!A104</f>
        <v>48842</v>
      </c>
      <c r="NJ102" s="14">
        <f>Combine!F104</f>
        <v>225292.05231858301</v>
      </c>
    </row>
    <row r="103" spans="1:374" ht="12.75" customHeight="1" x14ac:dyDescent="0.3">
      <c r="A103" s="59"/>
      <c r="D103" s="61"/>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c r="CT103" s="47"/>
      <c r="CU103" s="47"/>
      <c r="CV103" s="47"/>
      <c r="CW103" s="47"/>
      <c r="CX103" s="47"/>
      <c r="CY103" s="47"/>
      <c r="CZ103" s="47"/>
      <c r="DA103" s="47"/>
      <c r="DB103" s="47"/>
      <c r="DC103" s="47"/>
      <c r="DD103" s="47"/>
      <c r="DE103" s="47"/>
      <c r="DF103" s="47"/>
      <c r="DG103" s="47"/>
      <c r="DH103" s="47"/>
      <c r="DI103" s="47"/>
      <c r="DJ103" s="47"/>
      <c r="DK103" s="47"/>
      <c r="DL103" s="47"/>
      <c r="DM103" s="47"/>
      <c r="DN103" s="47"/>
      <c r="DO103" s="47"/>
      <c r="DP103" s="47"/>
      <c r="DQ103" s="47"/>
      <c r="DR103" s="47"/>
      <c r="DS103" s="47"/>
      <c r="DT103" s="47"/>
      <c r="DU103" s="47"/>
      <c r="DV103" s="47"/>
      <c r="DW103" s="47"/>
      <c r="DX103" s="47"/>
      <c r="DY103" s="47"/>
      <c r="DZ103" s="47"/>
      <c r="EA103" s="47"/>
      <c r="EB103" s="47"/>
      <c r="EC103" s="47"/>
      <c r="ED103" s="47"/>
      <c r="EE103" s="47"/>
      <c r="EF103" s="47"/>
      <c r="EG103" s="47"/>
      <c r="EH103" s="47"/>
      <c r="EI103" s="47"/>
      <c r="EJ103" s="47"/>
      <c r="EK103" s="47"/>
      <c r="EL103" s="47"/>
      <c r="EM103" s="47"/>
      <c r="EN103" s="47"/>
      <c r="EO103" s="47"/>
      <c r="EP103" s="47"/>
      <c r="EQ103" s="47"/>
      <c r="ER103" s="47"/>
      <c r="ES103" s="47"/>
      <c r="ET103" s="47"/>
      <c r="EU103" s="47"/>
      <c r="EV103" s="47"/>
      <c r="EW103" s="47"/>
      <c r="EX103" s="47"/>
      <c r="EY103" s="47"/>
      <c r="EZ103" s="47"/>
      <c r="FA103" s="47"/>
      <c r="FB103" s="47"/>
      <c r="FC103" s="47"/>
      <c r="FD103" s="47"/>
      <c r="FE103" s="47"/>
      <c r="FF103" s="47"/>
      <c r="FG103" s="47"/>
      <c r="FH103" s="47"/>
      <c r="FI103" s="47"/>
      <c r="FJ103" s="47"/>
      <c r="FK103" s="47"/>
      <c r="FL103" s="47"/>
      <c r="FM103" s="47"/>
      <c r="FN103" s="47"/>
      <c r="FO103" s="47"/>
      <c r="FP103" s="47"/>
      <c r="FQ103" s="47"/>
      <c r="FR103" s="47"/>
      <c r="FS103" s="47"/>
      <c r="FT103" s="47"/>
      <c r="FU103" s="47"/>
      <c r="FV103" s="47"/>
      <c r="FW103" s="47"/>
      <c r="FX103" s="47"/>
      <c r="FY103" s="47"/>
      <c r="FZ103" s="47"/>
      <c r="GA103" s="47"/>
      <c r="GB103" s="47"/>
      <c r="GC103" s="47"/>
      <c r="GD103" s="47"/>
      <c r="GE103" s="47"/>
      <c r="GF103" s="47"/>
      <c r="GG103" s="47"/>
      <c r="GH103" s="47"/>
      <c r="GI103" s="47"/>
      <c r="GJ103" s="47"/>
      <c r="GK103" s="47"/>
      <c r="GL103" s="47"/>
      <c r="GM103" s="47"/>
      <c r="GN103" s="47"/>
      <c r="GO103" s="47"/>
      <c r="GP103" s="47"/>
      <c r="GQ103" s="47"/>
      <c r="GR103" s="47"/>
      <c r="GS103" s="47"/>
      <c r="GT103" s="47"/>
      <c r="GU103" s="47"/>
      <c r="GV103" s="47"/>
      <c r="GW103" s="47"/>
      <c r="GX103" s="47"/>
      <c r="GY103" s="47"/>
      <c r="GZ103" s="47"/>
      <c r="HA103" s="47"/>
      <c r="HB103" s="47"/>
      <c r="HC103" s="47"/>
      <c r="HD103" s="47"/>
      <c r="HE103" s="47"/>
      <c r="HF103" s="47"/>
      <c r="HG103" s="47"/>
      <c r="HH103" s="47"/>
      <c r="HI103" s="47"/>
      <c r="HJ103" s="47"/>
      <c r="HK103" s="47"/>
      <c r="HL103" s="47"/>
      <c r="HM103" s="47"/>
      <c r="HN103" s="47"/>
      <c r="HO103" s="47"/>
      <c r="HP103" s="47"/>
      <c r="HQ103" s="47"/>
      <c r="HR103" s="47"/>
      <c r="HS103" s="47"/>
      <c r="HT103" s="47"/>
      <c r="HU103" s="47"/>
      <c r="HV103" s="47"/>
      <c r="HW103" s="47"/>
      <c r="HX103" s="47"/>
      <c r="HY103" s="47"/>
      <c r="HZ103" s="47"/>
      <c r="IA103" s="47"/>
      <c r="IB103" s="47"/>
      <c r="IC103" s="47"/>
      <c r="ID103" s="47"/>
      <c r="IE103" s="47"/>
      <c r="IF103" s="47"/>
      <c r="IG103" s="47"/>
      <c r="IH103" s="47"/>
      <c r="II103" s="47"/>
      <c r="IJ103" s="47"/>
      <c r="IK103" s="47"/>
      <c r="IL103" s="47"/>
      <c r="IM103" s="47"/>
      <c r="IN103" s="47"/>
      <c r="IO103" s="47"/>
      <c r="IP103" s="47"/>
      <c r="IQ103" s="47"/>
      <c r="IR103" s="47"/>
      <c r="IS103" s="47"/>
      <c r="IT103" s="47"/>
      <c r="IU103" s="47"/>
      <c r="IV103" s="47"/>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F103" s="63">
        <v>6.8999999999999895E-2</v>
      </c>
      <c r="NG103" s="64">
        <v>-26687.549944409155</v>
      </c>
      <c r="NH103" s="13">
        <v>0.51</v>
      </c>
      <c r="NI103" s="1">
        <f>Combine!A105</f>
        <v>48125</v>
      </c>
      <c r="NJ103" s="14">
        <f>Combine!F105</f>
        <v>132372.96804903899</v>
      </c>
    </row>
    <row r="104" spans="1:374" ht="12.75" customHeight="1" x14ac:dyDescent="0.3">
      <c r="A104" s="59"/>
      <c r="D104" s="61"/>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c r="CT104" s="47"/>
      <c r="CU104" s="47"/>
      <c r="CV104" s="47"/>
      <c r="CW104" s="47"/>
      <c r="CX104" s="47"/>
      <c r="CY104" s="47"/>
      <c r="CZ104" s="47"/>
      <c r="DA104" s="47"/>
      <c r="DB104" s="47"/>
      <c r="DC104" s="47"/>
      <c r="DD104" s="47"/>
      <c r="DE104" s="47"/>
      <c r="DF104" s="47"/>
      <c r="DG104" s="47"/>
      <c r="DH104" s="47"/>
      <c r="DI104" s="47"/>
      <c r="DJ104" s="47"/>
      <c r="DK104" s="47"/>
      <c r="DL104" s="47"/>
      <c r="DM104" s="47"/>
      <c r="DN104" s="47"/>
      <c r="DO104" s="47"/>
      <c r="DP104" s="47"/>
      <c r="DQ104" s="47"/>
      <c r="DR104" s="47"/>
      <c r="DS104" s="47"/>
      <c r="DT104" s="47"/>
      <c r="DU104" s="47"/>
      <c r="DV104" s="47"/>
      <c r="DW104" s="47"/>
      <c r="DX104" s="47"/>
      <c r="DY104" s="47"/>
      <c r="DZ104" s="47"/>
      <c r="EA104" s="47"/>
      <c r="EB104" s="47"/>
      <c r="EC104" s="47"/>
      <c r="ED104" s="47"/>
      <c r="EE104" s="47"/>
      <c r="EF104" s="47"/>
      <c r="EG104" s="47"/>
      <c r="EH104" s="47"/>
      <c r="EI104" s="47"/>
      <c r="EJ104" s="47"/>
      <c r="EK104" s="47"/>
      <c r="EL104" s="47"/>
      <c r="EM104" s="47"/>
      <c r="EN104" s="47"/>
      <c r="EO104" s="47"/>
      <c r="EP104" s="47"/>
      <c r="EQ104" s="47"/>
      <c r="ER104" s="47"/>
      <c r="ES104" s="47"/>
      <c r="ET104" s="47"/>
      <c r="EU104" s="47"/>
      <c r="EV104" s="47"/>
      <c r="EW104" s="47"/>
      <c r="EX104" s="47"/>
      <c r="EY104" s="47"/>
      <c r="EZ104" s="47"/>
      <c r="FA104" s="47"/>
      <c r="FB104" s="47"/>
      <c r="FC104" s="47"/>
      <c r="FD104" s="47"/>
      <c r="FE104" s="47"/>
      <c r="FF104" s="47"/>
      <c r="FG104" s="47"/>
      <c r="FH104" s="47"/>
      <c r="FI104" s="47"/>
      <c r="FJ104" s="47"/>
      <c r="FK104" s="47"/>
      <c r="FL104" s="47"/>
      <c r="FM104" s="47"/>
      <c r="FN104" s="47"/>
      <c r="FO104" s="47"/>
      <c r="FP104" s="47"/>
      <c r="FQ104" s="47"/>
      <c r="FR104" s="47"/>
      <c r="FS104" s="47"/>
      <c r="FT104" s="47"/>
      <c r="FU104" s="47"/>
      <c r="FV104" s="47"/>
      <c r="FW104" s="47"/>
      <c r="FX104" s="47"/>
      <c r="FY104" s="47"/>
      <c r="FZ104" s="47"/>
      <c r="GA104" s="47"/>
      <c r="GB104" s="47"/>
      <c r="GC104" s="47"/>
      <c r="GD104" s="47"/>
      <c r="GE104" s="47"/>
      <c r="GF104" s="47"/>
      <c r="GG104" s="47"/>
      <c r="GH104" s="47"/>
      <c r="GI104" s="47"/>
      <c r="GJ104" s="47"/>
      <c r="GK104" s="47"/>
      <c r="GL104" s="47"/>
      <c r="GM104" s="47"/>
      <c r="GN104" s="47"/>
      <c r="GO104" s="47"/>
      <c r="GP104" s="47"/>
      <c r="GQ104" s="47"/>
      <c r="GR104" s="47"/>
      <c r="GS104" s="47"/>
      <c r="GT104" s="47"/>
      <c r="GU104" s="47"/>
      <c r="GV104" s="47"/>
      <c r="GW104" s="47"/>
      <c r="GX104" s="47"/>
      <c r="GY104" s="47"/>
      <c r="GZ104" s="47"/>
      <c r="HA104" s="47"/>
      <c r="HB104" s="47"/>
      <c r="HC104" s="47"/>
      <c r="HD104" s="47"/>
      <c r="HE104" s="47"/>
      <c r="HF104" s="47"/>
      <c r="HG104" s="47"/>
      <c r="HH104" s="47"/>
      <c r="HI104" s="47"/>
      <c r="HJ104" s="47"/>
      <c r="HK104" s="47"/>
      <c r="HL104" s="47"/>
      <c r="HM104" s="47"/>
      <c r="HN104" s="47"/>
      <c r="HO104" s="47"/>
      <c r="HP104" s="47"/>
      <c r="HQ104" s="47"/>
      <c r="HR104" s="47"/>
      <c r="HS104" s="47"/>
      <c r="HT104" s="47"/>
      <c r="HU104" s="47"/>
      <c r="HV104" s="47"/>
      <c r="HW104" s="47"/>
      <c r="HX104" s="47"/>
      <c r="HY104" s="47"/>
      <c r="HZ104" s="47"/>
      <c r="IA104" s="47"/>
      <c r="IB104" s="47"/>
      <c r="IC104" s="47"/>
      <c r="ID104" s="47"/>
      <c r="IE104" s="47"/>
      <c r="IF104" s="47"/>
      <c r="IG104" s="47"/>
      <c r="IH104" s="47"/>
      <c r="II104" s="47"/>
      <c r="IJ104" s="47"/>
      <c r="IK104" s="47"/>
      <c r="IL104" s="47"/>
      <c r="IM104" s="47"/>
      <c r="IN104" s="47"/>
      <c r="IO104" s="47"/>
      <c r="IP104" s="47"/>
      <c r="IQ104" s="47"/>
      <c r="IR104" s="47"/>
      <c r="IS104" s="47"/>
      <c r="IT104" s="47"/>
      <c r="IU104" s="47"/>
      <c r="IV104" s="47"/>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F104" s="63">
        <v>6.9999999999999896E-2</v>
      </c>
      <c r="NG104" s="64">
        <v>-30477.091558611548</v>
      </c>
      <c r="NH104" s="13">
        <v>0.51500000000000001</v>
      </c>
      <c r="NI104" s="1">
        <f>Combine!A106</f>
        <v>48134</v>
      </c>
      <c r="NJ104" s="14">
        <f>Combine!F106</f>
        <v>278667.383958889</v>
      </c>
    </row>
    <row r="105" spans="1:374" ht="12.75" customHeight="1" x14ac:dyDescent="0.3">
      <c r="A105" s="59"/>
      <c r="D105" s="61"/>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c r="CT105" s="47"/>
      <c r="CU105" s="47"/>
      <c r="CV105" s="47"/>
      <c r="CW105" s="47"/>
      <c r="CX105" s="47"/>
      <c r="CY105" s="47"/>
      <c r="CZ105" s="47"/>
      <c r="DA105" s="47"/>
      <c r="DB105" s="47"/>
      <c r="DC105" s="47"/>
      <c r="DD105" s="47"/>
      <c r="DE105" s="47"/>
      <c r="DF105" s="47"/>
      <c r="DG105" s="47"/>
      <c r="DH105" s="47"/>
      <c r="DI105" s="47"/>
      <c r="DJ105" s="47"/>
      <c r="DK105" s="47"/>
      <c r="DL105" s="47"/>
      <c r="DM105" s="47"/>
      <c r="DN105" s="47"/>
      <c r="DO105" s="47"/>
      <c r="DP105" s="47"/>
      <c r="DQ105" s="47"/>
      <c r="DR105" s="47"/>
      <c r="DS105" s="47"/>
      <c r="DT105" s="47"/>
      <c r="DU105" s="47"/>
      <c r="DV105" s="47"/>
      <c r="DW105" s="47"/>
      <c r="DX105" s="47"/>
      <c r="DY105" s="47"/>
      <c r="DZ105" s="47"/>
      <c r="EA105" s="47"/>
      <c r="EB105" s="47"/>
      <c r="EC105" s="47"/>
      <c r="ED105" s="47"/>
      <c r="EE105" s="47"/>
      <c r="EF105" s="47"/>
      <c r="EG105" s="47"/>
      <c r="EH105" s="47"/>
      <c r="EI105" s="47"/>
      <c r="EJ105" s="47"/>
      <c r="EK105" s="47"/>
      <c r="EL105" s="47"/>
      <c r="EM105" s="47"/>
      <c r="EN105" s="47"/>
      <c r="EO105" s="47"/>
      <c r="EP105" s="47"/>
      <c r="EQ105" s="47"/>
      <c r="ER105" s="47"/>
      <c r="ES105" s="47"/>
      <c r="ET105" s="47"/>
      <c r="EU105" s="47"/>
      <c r="EV105" s="47"/>
      <c r="EW105" s="47"/>
      <c r="EX105" s="47"/>
      <c r="EY105" s="47"/>
      <c r="EZ105" s="47"/>
      <c r="FA105" s="47"/>
      <c r="FB105" s="47"/>
      <c r="FC105" s="47"/>
      <c r="FD105" s="47"/>
      <c r="FE105" s="47"/>
      <c r="FF105" s="47"/>
      <c r="FG105" s="47"/>
      <c r="FH105" s="47"/>
      <c r="FI105" s="47"/>
      <c r="FJ105" s="47"/>
      <c r="FK105" s="47"/>
      <c r="FL105" s="47"/>
      <c r="FM105" s="47"/>
      <c r="FN105" s="47"/>
      <c r="FO105" s="47"/>
      <c r="FP105" s="47"/>
      <c r="FQ105" s="47"/>
      <c r="FR105" s="47"/>
      <c r="FS105" s="47"/>
      <c r="FT105" s="47"/>
      <c r="FU105" s="47"/>
      <c r="FV105" s="47"/>
      <c r="FW105" s="47"/>
      <c r="FX105" s="47"/>
      <c r="FY105" s="47"/>
      <c r="FZ105" s="47"/>
      <c r="GA105" s="47"/>
      <c r="GB105" s="47"/>
      <c r="GC105" s="47"/>
      <c r="GD105" s="47"/>
      <c r="GE105" s="47"/>
      <c r="GF105" s="47"/>
      <c r="GG105" s="47"/>
      <c r="GH105" s="47"/>
      <c r="GI105" s="47"/>
      <c r="GJ105" s="47"/>
      <c r="GK105" s="47"/>
      <c r="GL105" s="47"/>
      <c r="GM105" s="47"/>
      <c r="GN105" s="47"/>
      <c r="GO105" s="47"/>
      <c r="GP105" s="47"/>
      <c r="GQ105" s="47"/>
      <c r="GR105" s="47"/>
      <c r="GS105" s="47"/>
      <c r="GT105" s="47"/>
      <c r="GU105" s="47"/>
      <c r="GV105" s="47"/>
      <c r="GW105" s="47"/>
      <c r="GX105" s="47"/>
      <c r="GY105" s="47"/>
      <c r="GZ105" s="47"/>
      <c r="HA105" s="47"/>
      <c r="HB105" s="47"/>
      <c r="HC105" s="47"/>
      <c r="HD105" s="47"/>
      <c r="HE105" s="47"/>
      <c r="HF105" s="47"/>
      <c r="HG105" s="47"/>
      <c r="HH105" s="47"/>
      <c r="HI105" s="47"/>
      <c r="HJ105" s="47"/>
      <c r="HK105" s="47"/>
      <c r="HL105" s="47"/>
      <c r="HM105" s="47"/>
      <c r="HN105" s="47"/>
      <c r="HO105" s="47"/>
      <c r="HP105" s="47"/>
      <c r="HQ105" s="47"/>
      <c r="HR105" s="47"/>
      <c r="HS105" s="47"/>
      <c r="HT105" s="47"/>
      <c r="HU105" s="47"/>
      <c r="HV105" s="47"/>
      <c r="HW105" s="47"/>
      <c r="HX105" s="47"/>
      <c r="HY105" s="47"/>
      <c r="HZ105" s="47"/>
      <c r="IA105" s="47"/>
      <c r="IB105" s="47"/>
      <c r="IC105" s="47"/>
      <c r="ID105" s="47"/>
      <c r="IE105" s="47"/>
      <c r="IF105" s="47"/>
      <c r="IG105" s="47"/>
      <c r="IH105" s="47"/>
      <c r="II105" s="47"/>
      <c r="IJ105" s="47"/>
      <c r="IK105" s="47"/>
      <c r="IL105" s="47"/>
      <c r="IM105" s="47"/>
      <c r="IN105" s="47"/>
      <c r="IO105" s="47"/>
      <c r="IP105" s="47"/>
      <c r="IQ105" s="47"/>
      <c r="IR105" s="47"/>
      <c r="IS105" s="47"/>
      <c r="IT105" s="47"/>
      <c r="IU105" s="47"/>
      <c r="IV105" s="47"/>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F105" s="63">
        <v>7.0999999999999897E-2</v>
      </c>
      <c r="NG105" s="64">
        <v>-34274.173481225807</v>
      </c>
      <c r="NH105" s="13">
        <v>0.52</v>
      </c>
      <c r="NI105" s="1">
        <f>Combine!A107</f>
        <v>48094</v>
      </c>
      <c r="NJ105" s="14">
        <f>Combine!F107</f>
        <v>411365.657764551</v>
      </c>
    </row>
    <row r="106" spans="1:374" ht="12.75" customHeight="1" x14ac:dyDescent="0.3">
      <c r="A106" s="59"/>
      <c r="D106" s="61"/>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c r="CT106" s="47"/>
      <c r="CU106" s="47"/>
      <c r="CV106" s="47"/>
      <c r="CW106" s="47"/>
      <c r="CX106" s="47"/>
      <c r="CY106" s="47"/>
      <c r="CZ106" s="47"/>
      <c r="DA106" s="47"/>
      <c r="DB106" s="47"/>
      <c r="DC106" s="47"/>
      <c r="DD106" s="47"/>
      <c r="DE106" s="47"/>
      <c r="DF106" s="47"/>
      <c r="DG106" s="47"/>
      <c r="DH106" s="47"/>
      <c r="DI106" s="47"/>
      <c r="DJ106" s="47"/>
      <c r="DK106" s="47"/>
      <c r="DL106" s="47"/>
      <c r="DM106" s="47"/>
      <c r="DN106" s="47"/>
      <c r="DO106" s="47"/>
      <c r="DP106" s="47"/>
      <c r="DQ106" s="47"/>
      <c r="DR106" s="47"/>
      <c r="DS106" s="47"/>
      <c r="DT106" s="47"/>
      <c r="DU106" s="47"/>
      <c r="DV106" s="47"/>
      <c r="DW106" s="47"/>
      <c r="DX106" s="47"/>
      <c r="DY106" s="47"/>
      <c r="DZ106" s="47"/>
      <c r="EA106" s="47"/>
      <c r="EB106" s="47"/>
      <c r="EC106" s="47"/>
      <c r="ED106" s="47"/>
      <c r="EE106" s="47"/>
      <c r="EF106" s="47"/>
      <c r="EG106" s="47"/>
      <c r="EH106" s="47"/>
      <c r="EI106" s="47"/>
      <c r="EJ106" s="47"/>
      <c r="EK106" s="47"/>
      <c r="EL106" s="47"/>
      <c r="EM106" s="47"/>
      <c r="EN106" s="47"/>
      <c r="EO106" s="47"/>
      <c r="EP106" s="47"/>
      <c r="EQ106" s="47"/>
      <c r="ER106" s="47"/>
      <c r="ES106" s="47"/>
      <c r="ET106" s="47"/>
      <c r="EU106" s="47"/>
      <c r="EV106" s="47"/>
      <c r="EW106" s="47"/>
      <c r="EX106" s="47"/>
      <c r="EY106" s="47"/>
      <c r="EZ106" s="47"/>
      <c r="FA106" s="47"/>
      <c r="FB106" s="47"/>
      <c r="FC106" s="47"/>
      <c r="FD106" s="47"/>
      <c r="FE106" s="47"/>
      <c r="FF106" s="47"/>
      <c r="FG106" s="47"/>
      <c r="FH106" s="47"/>
      <c r="FI106" s="47"/>
      <c r="FJ106" s="47"/>
      <c r="FK106" s="47"/>
      <c r="FL106" s="47"/>
      <c r="FM106" s="47"/>
      <c r="FN106" s="47"/>
      <c r="FO106" s="47"/>
      <c r="FP106" s="47"/>
      <c r="FQ106" s="47"/>
      <c r="FR106" s="47"/>
      <c r="FS106" s="47"/>
      <c r="FT106" s="47"/>
      <c r="FU106" s="47"/>
      <c r="FV106" s="47"/>
      <c r="FW106" s="47"/>
      <c r="FX106" s="47"/>
      <c r="FY106" s="47"/>
      <c r="FZ106" s="47"/>
      <c r="GA106" s="47"/>
      <c r="GB106" s="47"/>
      <c r="GC106" s="47"/>
      <c r="GD106" s="47"/>
      <c r="GE106" s="47"/>
      <c r="GF106" s="47"/>
      <c r="GG106" s="47"/>
      <c r="GH106" s="47"/>
      <c r="GI106" s="47"/>
      <c r="GJ106" s="47"/>
      <c r="GK106" s="47"/>
      <c r="GL106" s="47"/>
      <c r="GM106" s="47"/>
      <c r="GN106" s="47"/>
      <c r="GO106" s="47"/>
      <c r="GP106" s="47"/>
      <c r="GQ106" s="47"/>
      <c r="GR106" s="47"/>
      <c r="GS106" s="47"/>
      <c r="GT106" s="47"/>
      <c r="GU106" s="47"/>
      <c r="GV106" s="47"/>
      <c r="GW106" s="47"/>
      <c r="GX106" s="47"/>
      <c r="GY106" s="47"/>
      <c r="GZ106" s="47"/>
      <c r="HA106" s="47"/>
      <c r="HB106" s="47"/>
      <c r="HC106" s="47"/>
      <c r="HD106" s="47"/>
      <c r="HE106" s="47"/>
      <c r="HF106" s="47"/>
      <c r="HG106" s="47"/>
      <c r="HH106" s="47"/>
      <c r="HI106" s="47"/>
      <c r="HJ106" s="47"/>
      <c r="HK106" s="47"/>
      <c r="HL106" s="47"/>
      <c r="HM106" s="47"/>
      <c r="HN106" s="47"/>
      <c r="HO106" s="47"/>
      <c r="HP106" s="47"/>
      <c r="HQ106" s="47"/>
      <c r="HR106" s="47"/>
      <c r="HS106" s="47"/>
      <c r="HT106" s="47"/>
      <c r="HU106" s="47"/>
      <c r="HV106" s="47"/>
      <c r="HW106" s="47"/>
      <c r="HX106" s="47"/>
      <c r="HY106" s="47"/>
      <c r="HZ106" s="47"/>
      <c r="IA106" s="47"/>
      <c r="IB106" s="47"/>
      <c r="IC106" s="47"/>
      <c r="ID106" s="47"/>
      <c r="IE106" s="47"/>
      <c r="IF106" s="47"/>
      <c r="IG106" s="47"/>
      <c r="IH106" s="47"/>
      <c r="II106" s="47"/>
      <c r="IJ106" s="47"/>
      <c r="IK106" s="47"/>
      <c r="IL106" s="47"/>
      <c r="IM106" s="47"/>
      <c r="IN106" s="47"/>
      <c r="IO106" s="47"/>
      <c r="IP106" s="47"/>
      <c r="IQ106" s="47"/>
      <c r="IR106" s="47"/>
      <c r="IS106" s="47"/>
      <c r="IT106" s="47"/>
      <c r="IU106" s="47"/>
      <c r="IV106" s="47"/>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F106" s="63">
        <v>7.1999999999999897E-2</v>
      </c>
      <c r="NG106" s="64">
        <v>-38078.655580682171</v>
      </c>
      <c r="NH106" s="13">
        <v>0.52500000000000002</v>
      </c>
      <c r="NI106" s="1">
        <f>Combine!A108</f>
        <v>49202</v>
      </c>
      <c r="NJ106" s="14">
        <f>Combine!F108</f>
        <v>107252.207854386</v>
      </c>
    </row>
    <row r="107" spans="1:374" ht="12.75" customHeight="1" x14ac:dyDescent="0.3">
      <c r="A107" s="59"/>
      <c r="D107" s="61"/>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c r="CT107" s="47"/>
      <c r="CU107" s="47"/>
      <c r="CV107" s="47"/>
      <c r="CW107" s="47"/>
      <c r="CX107" s="47"/>
      <c r="CY107" s="47"/>
      <c r="CZ107" s="47"/>
      <c r="DA107" s="47"/>
      <c r="DB107" s="47"/>
      <c r="DC107" s="47"/>
      <c r="DD107" s="47"/>
      <c r="DE107" s="47"/>
      <c r="DF107" s="47"/>
      <c r="DG107" s="47"/>
      <c r="DH107" s="47"/>
      <c r="DI107" s="47"/>
      <c r="DJ107" s="47"/>
      <c r="DK107" s="47"/>
      <c r="DL107" s="47"/>
      <c r="DM107" s="47"/>
      <c r="DN107" s="47"/>
      <c r="DO107" s="47"/>
      <c r="DP107" s="47"/>
      <c r="DQ107" s="47"/>
      <c r="DR107" s="47"/>
      <c r="DS107" s="47"/>
      <c r="DT107" s="47"/>
      <c r="DU107" s="47"/>
      <c r="DV107" s="47"/>
      <c r="DW107" s="47"/>
      <c r="DX107" s="47"/>
      <c r="DY107" s="47"/>
      <c r="DZ107" s="47"/>
      <c r="EA107" s="47"/>
      <c r="EB107" s="47"/>
      <c r="EC107" s="47"/>
      <c r="ED107" s="47"/>
      <c r="EE107" s="47"/>
      <c r="EF107" s="47"/>
      <c r="EG107" s="47"/>
      <c r="EH107" s="47"/>
      <c r="EI107" s="47"/>
      <c r="EJ107" s="47"/>
      <c r="EK107" s="47"/>
      <c r="EL107" s="47"/>
      <c r="EM107" s="47"/>
      <c r="EN107" s="47"/>
      <c r="EO107" s="47"/>
      <c r="EP107" s="47"/>
      <c r="EQ107" s="47"/>
      <c r="ER107" s="47"/>
      <c r="ES107" s="47"/>
      <c r="ET107" s="47"/>
      <c r="EU107" s="47"/>
      <c r="EV107" s="47"/>
      <c r="EW107" s="47"/>
      <c r="EX107" s="47"/>
      <c r="EY107" s="47"/>
      <c r="EZ107" s="47"/>
      <c r="FA107" s="47"/>
      <c r="FB107" s="47"/>
      <c r="FC107" s="47"/>
      <c r="FD107" s="47"/>
      <c r="FE107" s="47"/>
      <c r="FF107" s="47"/>
      <c r="FG107" s="47"/>
      <c r="FH107" s="47"/>
      <c r="FI107" s="47"/>
      <c r="FJ107" s="47"/>
      <c r="FK107" s="47"/>
      <c r="FL107" s="47"/>
      <c r="FM107" s="47"/>
      <c r="FN107" s="47"/>
      <c r="FO107" s="47"/>
      <c r="FP107" s="47"/>
      <c r="FQ107" s="47"/>
      <c r="FR107" s="47"/>
      <c r="FS107" s="47"/>
      <c r="FT107" s="47"/>
      <c r="FU107" s="47"/>
      <c r="FV107" s="47"/>
      <c r="FW107" s="47"/>
      <c r="FX107" s="47"/>
      <c r="FY107" s="47"/>
      <c r="FZ107" s="47"/>
      <c r="GA107" s="47"/>
      <c r="GB107" s="47"/>
      <c r="GC107" s="47"/>
      <c r="GD107" s="47"/>
      <c r="GE107" s="47"/>
      <c r="GF107" s="47"/>
      <c r="GG107" s="47"/>
      <c r="GH107" s="47"/>
      <c r="GI107" s="47"/>
      <c r="GJ107" s="47"/>
      <c r="GK107" s="47"/>
      <c r="GL107" s="47"/>
      <c r="GM107" s="47"/>
      <c r="GN107" s="47"/>
      <c r="GO107" s="47"/>
      <c r="GP107" s="47"/>
      <c r="GQ107" s="47"/>
      <c r="GR107" s="47"/>
      <c r="GS107" s="47"/>
      <c r="GT107" s="47"/>
      <c r="GU107" s="47"/>
      <c r="GV107" s="47"/>
      <c r="GW107" s="47"/>
      <c r="GX107" s="47"/>
      <c r="GY107" s="47"/>
      <c r="GZ107" s="47"/>
      <c r="HA107" s="47"/>
      <c r="HB107" s="47"/>
      <c r="HC107" s="47"/>
      <c r="HD107" s="47"/>
      <c r="HE107" s="47"/>
      <c r="HF107" s="47"/>
      <c r="HG107" s="47"/>
      <c r="HH107" s="47"/>
      <c r="HI107" s="47"/>
      <c r="HJ107" s="47"/>
      <c r="HK107" s="47"/>
      <c r="HL107" s="47"/>
      <c r="HM107" s="47"/>
      <c r="HN107" s="47"/>
      <c r="HO107" s="47"/>
      <c r="HP107" s="47"/>
      <c r="HQ107" s="47"/>
      <c r="HR107" s="47"/>
      <c r="HS107" s="47"/>
      <c r="HT107" s="47"/>
      <c r="HU107" s="47"/>
      <c r="HV107" s="47"/>
      <c r="HW107" s="47"/>
      <c r="HX107" s="47"/>
      <c r="HY107" s="47"/>
      <c r="HZ107" s="47"/>
      <c r="IA107" s="47"/>
      <c r="IB107" s="47"/>
      <c r="IC107" s="47"/>
      <c r="ID107" s="47"/>
      <c r="IE107" s="47"/>
      <c r="IF107" s="47"/>
      <c r="IG107" s="47"/>
      <c r="IH107" s="47"/>
      <c r="II107" s="47"/>
      <c r="IJ107" s="47"/>
      <c r="IK107" s="47"/>
      <c r="IL107" s="47"/>
      <c r="IM107" s="47"/>
      <c r="IN107" s="47"/>
      <c r="IO107" s="47"/>
      <c r="IP107" s="47"/>
      <c r="IQ107" s="47"/>
      <c r="IR107" s="47"/>
      <c r="IS107" s="47"/>
      <c r="IT107" s="47"/>
      <c r="IU107" s="47"/>
      <c r="IV107" s="47"/>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F107" s="63">
        <v>7.2999999999999898E-2</v>
      </c>
      <c r="NG107" s="64">
        <v>-41890.398877069609</v>
      </c>
      <c r="NH107" s="13">
        <v>0.53</v>
      </c>
      <c r="NI107" s="1">
        <f>Combine!A109</f>
        <v>49008</v>
      </c>
      <c r="NJ107" s="14">
        <f>Combine!F109</f>
        <v>218531.38022832901</v>
      </c>
    </row>
    <row r="108" spans="1:374" ht="12.75" customHeight="1" x14ac:dyDescent="0.3">
      <c r="A108" s="59"/>
      <c r="D108" s="61"/>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c r="CT108" s="47"/>
      <c r="CU108" s="47"/>
      <c r="CV108" s="47"/>
      <c r="CW108" s="47"/>
      <c r="CX108" s="47"/>
      <c r="CY108" s="47"/>
      <c r="CZ108" s="47"/>
      <c r="DA108" s="47"/>
      <c r="DB108" s="47"/>
      <c r="DC108" s="47"/>
      <c r="DD108" s="47"/>
      <c r="DE108" s="47"/>
      <c r="DF108" s="47"/>
      <c r="DG108" s="47"/>
      <c r="DH108" s="47"/>
      <c r="DI108" s="47"/>
      <c r="DJ108" s="47"/>
      <c r="DK108" s="47"/>
      <c r="DL108" s="47"/>
      <c r="DM108" s="47"/>
      <c r="DN108" s="47"/>
      <c r="DO108" s="47"/>
      <c r="DP108" s="47"/>
      <c r="DQ108" s="47"/>
      <c r="DR108" s="47"/>
      <c r="DS108" s="47"/>
      <c r="DT108" s="47"/>
      <c r="DU108" s="47"/>
      <c r="DV108" s="47"/>
      <c r="DW108" s="47"/>
      <c r="DX108" s="47"/>
      <c r="DY108" s="47"/>
      <c r="DZ108" s="47"/>
      <c r="EA108" s="47"/>
      <c r="EB108" s="47"/>
      <c r="EC108" s="47"/>
      <c r="ED108" s="47"/>
      <c r="EE108" s="47"/>
      <c r="EF108" s="47"/>
      <c r="EG108" s="47"/>
      <c r="EH108" s="47"/>
      <c r="EI108" s="47"/>
      <c r="EJ108" s="47"/>
      <c r="EK108" s="47"/>
      <c r="EL108" s="47"/>
      <c r="EM108" s="47"/>
      <c r="EN108" s="47"/>
      <c r="EO108" s="47"/>
      <c r="EP108" s="47"/>
      <c r="EQ108" s="47"/>
      <c r="ER108" s="47"/>
      <c r="ES108" s="47"/>
      <c r="ET108" s="47"/>
      <c r="EU108" s="47"/>
      <c r="EV108" s="47"/>
      <c r="EW108" s="47"/>
      <c r="EX108" s="47"/>
      <c r="EY108" s="47"/>
      <c r="EZ108" s="47"/>
      <c r="FA108" s="47"/>
      <c r="FB108" s="47"/>
      <c r="FC108" s="47"/>
      <c r="FD108" s="47"/>
      <c r="FE108" s="47"/>
      <c r="FF108" s="47"/>
      <c r="FG108" s="47"/>
      <c r="FH108" s="47"/>
      <c r="FI108" s="47"/>
      <c r="FJ108" s="47"/>
      <c r="FK108" s="47"/>
      <c r="FL108" s="47"/>
      <c r="FM108" s="47"/>
      <c r="FN108" s="47"/>
      <c r="FO108" s="47"/>
      <c r="FP108" s="47"/>
      <c r="FQ108" s="47"/>
      <c r="FR108" s="47"/>
      <c r="FS108" s="47"/>
      <c r="FT108" s="47"/>
      <c r="FU108" s="47"/>
      <c r="FV108" s="47"/>
      <c r="FW108" s="47"/>
      <c r="FX108" s="47"/>
      <c r="FY108" s="47"/>
      <c r="FZ108" s="47"/>
      <c r="GA108" s="47"/>
      <c r="GB108" s="47"/>
      <c r="GC108" s="47"/>
      <c r="GD108" s="47"/>
      <c r="GE108" s="47"/>
      <c r="GF108" s="47"/>
      <c r="GG108" s="47"/>
      <c r="GH108" s="47"/>
      <c r="GI108" s="47"/>
      <c r="GJ108" s="47"/>
      <c r="GK108" s="47"/>
      <c r="GL108" s="47"/>
      <c r="GM108" s="47"/>
      <c r="GN108" s="47"/>
      <c r="GO108" s="47"/>
      <c r="GP108" s="47"/>
      <c r="GQ108" s="47"/>
      <c r="GR108" s="47"/>
      <c r="GS108" s="47"/>
      <c r="GT108" s="47"/>
      <c r="GU108" s="47"/>
      <c r="GV108" s="47"/>
      <c r="GW108" s="47"/>
      <c r="GX108" s="47"/>
      <c r="GY108" s="47"/>
      <c r="GZ108" s="47"/>
      <c r="HA108" s="47"/>
      <c r="HB108" s="47"/>
      <c r="HC108" s="47"/>
      <c r="HD108" s="47"/>
      <c r="HE108" s="47"/>
      <c r="HF108" s="47"/>
      <c r="HG108" s="47"/>
      <c r="HH108" s="47"/>
      <c r="HI108" s="47"/>
      <c r="HJ108" s="47"/>
      <c r="HK108" s="47"/>
      <c r="HL108" s="47"/>
      <c r="HM108" s="47"/>
      <c r="HN108" s="47"/>
      <c r="HO108" s="47"/>
      <c r="HP108" s="47"/>
      <c r="HQ108" s="47"/>
      <c r="HR108" s="47"/>
      <c r="HS108" s="47"/>
      <c r="HT108" s="47"/>
      <c r="HU108" s="47"/>
      <c r="HV108" s="47"/>
      <c r="HW108" s="47"/>
      <c r="HX108" s="47"/>
      <c r="HY108" s="47"/>
      <c r="HZ108" s="47"/>
      <c r="IA108" s="47"/>
      <c r="IB108" s="47"/>
      <c r="IC108" s="47"/>
      <c r="ID108" s="47"/>
      <c r="IE108" s="47"/>
      <c r="IF108" s="47"/>
      <c r="IG108" s="47"/>
      <c r="IH108" s="47"/>
      <c r="II108" s="47"/>
      <c r="IJ108" s="47"/>
      <c r="IK108" s="47"/>
      <c r="IL108" s="47"/>
      <c r="IM108" s="47"/>
      <c r="IN108" s="47"/>
      <c r="IO108" s="47"/>
      <c r="IP108" s="47"/>
      <c r="IQ108" s="47"/>
      <c r="IR108" s="47"/>
      <c r="IS108" s="47"/>
      <c r="IT108" s="47"/>
      <c r="IU108" s="47"/>
      <c r="IV108" s="47"/>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F108" s="63">
        <v>7.3999999999999899E-2</v>
      </c>
      <c r="NG108" s="64">
        <v>-45709.265571901473</v>
      </c>
      <c r="NH108" s="13">
        <v>0.53500000000000003</v>
      </c>
      <c r="NI108" s="1">
        <f>Combine!A110</f>
        <v>48912</v>
      </c>
      <c r="NJ108" s="14">
        <f>Combine!F110</f>
        <v>109118.37198748501</v>
      </c>
    </row>
    <row r="109" spans="1:374" ht="12.75" customHeight="1" x14ac:dyDescent="0.3">
      <c r="A109" s="59"/>
      <c r="D109" s="61"/>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c r="CT109" s="47"/>
      <c r="CU109" s="47"/>
      <c r="CV109" s="47"/>
      <c r="CW109" s="47"/>
      <c r="CX109" s="47"/>
      <c r="CY109" s="47"/>
      <c r="CZ109" s="47"/>
      <c r="DA109" s="47"/>
      <c r="DB109" s="47"/>
      <c r="DC109" s="47"/>
      <c r="DD109" s="47"/>
      <c r="DE109" s="47"/>
      <c r="DF109" s="47"/>
      <c r="DG109" s="47"/>
      <c r="DH109" s="47"/>
      <c r="DI109" s="47"/>
      <c r="DJ109" s="47"/>
      <c r="DK109" s="47"/>
      <c r="DL109" s="47"/>
      <c r="DM109" s="47"/>
      <c r="DN109" s="47"/>
      <c r="DO109" s="47"/>
      <c r="DP109" s="47"/>
      <c r="DQ109" s="47"/>
      <c r="DR109" s="47"/>
      <c r="DS109" s="47"/>
      <c r="DT109" s="47"/>
      <c r="DU109" s="47"/>
      <c r="DV109" s="47"/>
      <c r="DW109" s="47"/>
      <c r="DX109" s="47"/>
      <c r="DY109" s="47"/>
      <c r="DZ109" s="47"/>
      <c r="EA109" s="47"/>
      <c r="EB109" s="47"/>
      <c r="EC109" s="47"/>
      <c r="ED109" s="47"/>
      <c r="EE109" s="47"/>
      <c r="EF109" s="47"/>
      <c r="EG109" s="47"/>
      <c r="EH109" s="47"/>
      <c r="EI109" s="47"/>
      <c r="EJ109" s="47"/>
      <c r="EK109" s="47"/>
      <c r="EL109" s="47"/>
      <c r="EM109" s="47"/>
      <c r="EN109" s="47"/>
      <c r="EO109" s="47"/>
      <c r="EP109" s="47"/>
      <c r="EQ109" s="47"/>
      <c r="ER109" s="47"/>
      <c r="ES109" s="47"/>
      <c r="ET109" s="47"/>
      <c r="EU109" s="47"/>
      <c r="EV109" s="47"/>
      <c r="EW109" s="47"/>
      <c r="EX109" s="47"/>
      <c r="EY109" s="47"/>
      <c r="EZ109" s="47"/>
      <c r="FA109" s="47"/>
      <c r="FB109" s="47"/>
      <c r="FC109" s="47"/>
      <c r="FD109" s="47"/>
      <c r="FE109" s="47"/>
      <c r="FF109" s="47"/>
      <c r="FG109" s="47"/>
      <c r="FH109" s="47"/>
      <c r="FI109" s="47"/>
      <c r="FJ109" s="47"/>
      <c r="FK109" s="47"/>
      <c r="FL109" s="47"/>
      <c r="FM109" s="47"/>
      <c r="FN109" s="47"/>
      <c r="FO109" s="47"/>
      <c r="FP109" s="47"/>
      <c r="FQ109" s="47"/>
      <c r="FR109" s="47"/>
      <c r="FS109" s="47"/>
      <c r="FT109" s="47"/>
      <c r="FU109" s="47"/>
      <c r="FV109" s="47"/>
      <c r="FW109" s="47"/>
      <c r="FX109" s="47"/>
      <c r="FY109" s="47"/>
      <c r="FZ109" s="47"/>
      <c r="GA109" s="47"/>
      <c r="GB109" s="47"/>
      <c r="GC109" s="47"/>
      <c r="GD109" s="47"/>
      <c r="GE109" s="47"/>
      <c r="GF109" s="47"/>
      <c r="GG109" s="47"/>
      <c r="GH109" s="47"/>
      <c r="GI109" s="47"/>
      <c r="GJ109" s="47"/>
      <c r="GK109" s="47"/>
      <c r="GL109" s="47"/>
      <c r="GM109" s="47"/>
      <c r="GN109" s="47"/>
      <c r="GO109" s="47"/>
      <c r="GP109" s="47"/>
      <c r="GQ109" s="47"/>
      <c r="GR109" s="47"/>
      <c r="GS109" s="47"/>
      <c r="GT109" s="47"/>
      <c r="GU109" s="47"/>
      <c r="GV109" s="47"/>
      <c r="GW109" s="47"/>
      <c r="GX109" s="47"/>
      <c r="GY109" s="47"/>
      <c r="GZ109" s="47"/>
      <c r="HA109" s="47"/>
      <c r="HB109" s="47"/>
      <c r="HC109" s="47"/>
      <c r="HD109" s="47"/>
      <c r="HE109" s="47"/>
      <c r="HF109" s="47"/>
      <c r="HG109" s="47"/>
      <c r="HH109" s="47"/>
      <c r="HI109" s="47"/>
      <c r="HJ109" s="47"/>
      <c r="HK109" s="47"/>
      <c r="HL109" s="47"/>
      <c r="HM109" s="47"/>
      <c r="HN109" s="47"/>
      <c r="HO109" s="47"/>
      <c r="HP109" s="47"/>
      <c r="HQ109" s="47"/>
      <c r="HR109" s="47"/>
      <c r="HS109" s="47"/>
      <c r="HT109" s="47"/>
      <c r="HU109" s="47"/>
      <c r="HV109" s="47"/>
      <c r="HW109" s="47"/>
      <c r="HX109" s="47"/>
      <c r="HY109" s="47"/>
      <c r="HZ109" s="47"/>
      <c r="IA109" s="47"/>
      <c r="IB109" s="47"/>
      <c r="IC109" s="47"/>
      <c r="ID109" s="47"/>
      <c r="IE109" s="47"/>
      <c r="IF109" s="47"/>
      <c r="IG109" s="47"/>
      <c r="IH109" s="47"/>
      <c r="II109" s="47"/>
      <c r="IJ109" s="47"/>
      <c r="IK109" s="47"/>
      <c r="IL109" s="47"/>
      <c r="IM109" s="47"/>
      <c r="IN109" s="47"/>
      <c r="IO109" s="47"/>
      <c r="IP109" s="47"/>
      <c r="IQ109" s="47"/>
      <c r="IR109" s="47"/>
      <c r="IS109" s="47"/>
      <c r="IT109" s="47"/>
      <c r="IU109" s="47"/>
      <c r="IV109" s="47"/>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F109" s="63">
        <v>7.49999999999999E-2</v>
      </c>
      <c r="NG109" s="64">
        <v>-49535.119076583294</v>
      </c>
      <c r="NH109" s="13">
        <v>0.54</v>
      </c>
      <c r="NI109" s="1">
        <f>Combine!A111</f>
        <v>48240</v>
      </c>
      <c r="NJ109" s="14">
        <f>Combine!F111</f>
        <v>135654.36913388799</v>
      </c>
    </row>
    <row r="110" spans="1:374" ht="12.75" customHeight="1" x14ac:dyDescent="0.3">
      <c r="A110" s="59"/>
      <c r="D110" s="61"/>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c r="CT110" s="47"/>
      <c r="CU110" s="47"/>
      <c r="CV110" s="47"/>
      <c r="CW110" s="47"/>
      <c r="CX110" s="47"/>
      <c r="CY110" s="47"/>
      <c r="CZ110" s="47"/>
      <c r="DA110" s="47"/>
      <c r="DB110" s="47"/>
      <c r="DC110" s="47"/>
      <c r="DD110" s="47"/>
      <c r="DE110" s="47"/>
      <c r="DF110" s="47"/>
      <c r="DG110" s="47"/>
      <c r="DH110" s="47"/>
      <c r="DI110" s="47"/>
      <c r="DJ110" s="47"/>
      <c r="DK110" s="47"/>
      <c r="DL110" s="47"/>
      <c r="DM110" s="47"/>
      <c r="DN110" s="47"/>
      <c r="DO110" s="47"/>
      <c r="DP110" s="47"/>
      <c r="DQ110" s="47"/>
      <c r="DR110" s="47"/>
      <c r="DS110" s="47"/>
      <c r="DT110" s="47"/>
      <c r="DU110" s="47"/>
      <c r="DV110" s="47"/>
      <c r="DW110" s="47"/>
      <c r="DX110" s="47"/>
      <c r="DY110" s="47"/>
      <c r="DZ110" s="47"/>
      <c r="EA110" s="47"/>
      <c r="EB110" s="47"/>
      <c r="EC110" s="47"/>
      <c r="ED110" s="47"/>
      <c r="EE110" s="47"/>
      <c r="EF110" s="47"/>
      <c r="EG110" s="47"/>
      <c r="EH110" s="47"/>
      <c r="EI110" s="47"/>
      <c r="EJ110" s="47"/>
      <c r="EK110" s="47"/>
      <c r="EL110" s="47"/>
      <c r="EM110" s="47"/>
      <c r="EN110" s="47"/>
      <c r="EO110" s="47"/>
      <c r="EP110" s="47"/>
      <c r="EQ110" s="47"/>
      <c r="ER110" s="47"/>
      <c r="ES110" s="47"/>
      <c r="ET110" s="47"/>
      <c r="EU110" s="47"/>
      <c r="EV110" s="47"/>
      <c r="EW110" s="47"/>
      <c r="EX110" s="47"/>
      <c r="EY110" s="47"/>
      <c r="EZ110" s="47"/>
      <c r="FA110" s="47"/>
      <c r="FB110" s="47"/>
      <c r="FC110" s="47"/>
      <c r="FD110" s="47"/>
      <c r="FE110" s="47"/>
      <c r="FF110" s="47"/>
      <c r="FG110" s="47"/>
      <c r="FH110" s="47"/>
      <c r="FI110" s="47"/>
      <c r="FJ110" s="47"/>
      <c r="FK110" s="47"/>
      <c r="FL110" s="47"/>
      <c r="FM110" s="47"/>
      <c r="FN110" s="47"/>
      <c r="FO110" s="47"/>
      <c r="FP110" s="47"/>
      <c r="FQ110" s="47"/>
      <c r="FR110" s="47"/>
      <c r="FS110" s="47"/>
      <c r="FT110" s="47"/>
      <c r="FU110" s="47"/>
      <c r="FV110" s="47"/>
      <c r="FW110" s="47"/>
      <c r="FX110" s="47"/>
      <c r="FY110" s="47"/>
      <c r="FZ110" s="47"/>
      <c r="GA110" s="47"/>
      <c r="GB110" s="47"/>
      <c r="GC110" s="47"/>
      <c r="GD110" s="47"/>
      <c r="GE110" s="47"/>
      <c r="GF110" s="47"/>
      <c r="GG110" s="47"/>
      <c r="GH110" s="47"/>
      <c r="GI110" s="47"/>
      <c r="GJ110" s="47"/>
      <c r="GK110" s="47"/>
      <c r="GL110" s="47"/>
      <c r="GM110" s="47"/>
      <c r="GN110" s="47"/>
      <c r="GO110" s="47"/>
      <c r="GP110" s="47"/>
      <c r="GQ110" s="47"/>
      <c r="GR110" s="47"/>
      <c r="GS110" s="47"/>
      <c r="GT110" s="47"/>
      <c r="GU110" s="47"/>
      <c r="GV110" s="47"/>
      <c r="GW110" s="47"/>
      <c r="GX110" s="47"/>
      <c r="GY110" s="47"/>
      <c r="GZ110" s="47"/>
      <c r="HA110" s="47"/>
      <c r="HB110" s="47"/>
      <c r="HC110" s="47"/>
      <c r="HD110" s="47"/>
      <c r="HE110" s="47"/>
      <c r="HF110" s="47"/>
      <c r="HG110" s="47"/>
      <c r="HH110" s="47"/>
      <c r="HI110" s="47"/>
      <c r="HJ110" s="47"/>
      <c r="HK110" s="47"/>
      <c r="HL110" s="47"/>
      <c r="HM110" s="47"/>
      <c r="HN110" s="47"/>
      <c r="HO110" s="47"/>
      <c r="HP110" s="47"/>
      <c r="HQ110" s="47"/>
      <c r="HR110" s="47"/>
      <c r="HS110" s="47"/>
      <c r="HT110" s="47"/>
      <c r="HU110" s="47"/>
      <c r="HV110" s="47"/>
      <c r="HW110" s="47"/>
      <c r="HX110" s="47"/>
      <c r="HY110" s="47"/>
      <c r="HZ110" s="47"/>
      <c r="IA110" s="47"/>
      <c r="IB110" s="47"/>
      <c r="IC110" s="47"/>
      <c r="ID110" s="47"/>
      <c r="IE110" s="47"/>
      <c r="IF110" s="47"/>
      <c r="IG110" s="47"/>
      <c r="IH110" s="47"/>
      <c r="II110" s="47"/>
      <c r="IJ110" s="47"/>
      <c r="IK110" s="47"/>
      <c r="IL110" s="47"/>
      <c r="IM110" s="47"/>
      <c r="IN110" s="47"/>
      <c r="IO110" s="47"/>
      <c r="IP110" s="47"/>
      <c r="IQ110" s="47"/>
      <c r="IR110" s="47"/>
      <c r="IS110" s="47"/>
      <c r="IT110" s="47"/>
      <c r="IU110" s="47"/>
      <c r="IV110" s="47"/>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F110" s="63">
        <v>7.5999999999999901E-2</v>
      </c>
      <c r="NG110" s="64">
        <v>-53367.824039615836</v>
      </c>
      <c r="NH110" s="13">
        <v>0.54500000000000004</v>
      </c>
      <c r="NI110" s="1">
        <f>Combine!A112</f>
        <v>48033</v>
      </c>
      <c r="NJ110" s="14">
        <f>Combine!F112</f>
        <v>224757.218397989</v>
      </c>
    </row>
    <row r="111" spans="1:374" ht="12.75" customHeight="1" x14ac:dyDescent="0.3">
      <c r="A111" s="59"/>
      <c r="D111" s="61"/>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c r="CT111" s="47"/>
      <c r="CU111" s="47"/>
      <c r="CV111" s="47"/>
      <c r="CW111" s="47"/>
      <c r="CX111" s="47"/>
      <c r="CY111" s="47"/>
      <c r="CZ111" s="47"/>
      <c r="DA111" s="47"/>
      <c r="DB111" s="47"/>
      <c r="DC111" s="47"/>
      <c r="DD111" s="47"/>
      <c r="DE111" s="47"/>
      <c r="DF111" s="47"/>
      <c r="DG111" s="47"/>
      <c r="DH111" s="47"/>
      <c r="DI111" s="47"/>
      <c r="DJ111" s="47"/>
      <c r="DK111" s="47"/>
      <c r="DL111" s="47"/>
      <c r="DM111" s="47"/>
      <c r="DN111" s="47"/>
      <c r="DO111" s="47"/>
      <c r="DP111" s="47"/>
      <c r="DQ111" s="47"/>
      <c r="DR111" s="47"/>
      <c r="DS111" s="47"/>
      <c r="DT111" s="47"/>
      <c r="DU111" s="47"/>
      <c r="DV111" s="47"/>
      <c r="DW111" s="47"/>
      <c r="DX111" s="47"/>
      <c r="DY111" s="47"/>
      <c r="DZ111" s="47"/>
      <c r="EA111" s="47"/>
      <c r="EB111" s="47"/>
      <c r="EC111" s="47"/>
      <c r="ED111" s="47"/>
      <c r="EE111" s="47"/>
      <c r="EF111" s="47"/>
      <c r="EG111" s="47"/>
      <c r="EH111" s="47"/>
      <c r="EI111" s="47"/>
      <c r="EJ111" s="47"/>
      <c r="EK111" s="47"/>
      <c r="EL111" s="47"/>
      <c r="EM111" s="47"/>
      <c r="EN111" s="47"/>
      <c r="EO111" s="47"/>
      <c r="EP111" s="47"/>
      <c r="EQ111" s="47"/>
      <c r="ER111" s="47"/>
      <c r="ES111" s="47"/>
      <c r="ET111" s="47"/>
      <c r="EU111" s="47"/>
      <c r="EV111" s="47"/>
      <c r="EW111" s="47"/>
      <c r="EX111" s="47"/>
      <c r="EY111" s="47"/>
      <c r="EZ111" s="47"/>
      <c r="FA111" s="47"/>
      <c r="FB111" s="47"/>
      <c r="FC111" s="47"/>
      <c r="FD111" s="47"/>
      <c r="FE111" s="47"/>
      <c r="FF111" s="47"/>
      <c r="FG111" s="47"/>
      <c r="FH111" s="47"/>
      <c r="FI111" s="47"/>
      <c r="FJ111" s="47"/>
      <c r="FK111" s="47"/>
      <c r="FL111" s="47"/>
      <c r="FM111" s="47"/>
      <c r="FN111" s="47"/>
      <c r="FO111" s="47"/>
      <c r="FP111" s="47"/>
      <c r="FQ111" s="47"/>
      <c r="FR111" s="47"/>
      <c r="FS111" s="47"/>
      <c r="FT111" s="47"/>
      <c r="FU111" s="47"/>
      <c r="FV111" s="47"/>
      <c r="FW111" s="47"/>
      <c r="FX111" s="47"/>
      <c r="FY111" s="47"/>
      <c r="FZ111" s="47"/>
      <c r="GA111" s="47"/>
      <c r="GB111" s="47"/>
      <c r="GC111" s="47"/>
      <c r="GD111" s="47"/>
      <c r="GE111" s="47"/>
      <c r="GF111" s="47"/>
      <c r="GG111" s="47"/>
      <c r="GH111" s="47"/>
      <c r="GI111" s="47"/>
      <c r="GJ111" s="47"/>
      <c r="GK111" s="47"/>
      <c r="GL111" s="47"/>
      <c r="GM111" s="47"/>
      <c r="GN111" s="47"/>
      <c r="GO111" s="47"/>
      <c r="GP111" s="47"/>
      <c r="GQ111" s="47"/>
      <c r="GR111" s="47"/>
      <c r="GS111" s="47"/>
      <c r="GT111" s="47"/>
      <c r="GU111" s="47"/>
      <c r="GV111" s="47"/>
      <c r="GW111" s="47"/>
      <c r="GX111" s="47"/>
      <c r="GY111" s="47"/>
      <c r="GZ111" s="47"/>
      <c r="HA111" s="47"/>
      <c r="HB111" s="47"/>
      <c r="HC111" s="47"/>
      <c r="HD111" s="47"/>
      <c r="HE111" s="47"/>
      <c r="HF111" s="47"/>
      <c r="HG111" s="47"/>
      <c r="HH111" s="47"/>
      <c r="HI111" s="47"/>
      <c r="HJ111" s="47"/>
      <c r="HK111" s="47"/>
      <c r="HL111" s="47"/>
      <c r="HM111" s="47"/>
      <c r="HN111" s="47"/>
      <c r="HO111" s="47"/>
      <c r="HP111" s="47"/>
      <c r="HQ111" s="47"/>
      <c r="HR111" s="47"/>
      <c r="HS111" s="47"/>
      <c r="HT111" s="47"/>
      <c r="HU111" s="47"/>
      <c r="HV111" s="47"/>
      <c r="HW111" s="47"/>
      <c r="HX111" s="47"/>
      <c r="HY111" s="47"/>
      <c r="HZ111" s="47"/>
      <c r="IA111" s="47"/>
      <c r="IB111" s="47"/>
      <c r="IC111" s="47"/>
      <c r="ID111" s="47"/>
      <c r="IE111" s="47"/>
      <c r="IF111" s="47"/>
      <c r="IG111" s="47"/>
      <c r="IH111" s="47"/>
      <c r="II111" s="47"/>
      <c r="IJ111" s="47"/>
      <c r="IK111" s="47"/>
      <c r="IL111" s="47"/>
      <c r="IM111" s="47"/>
      <c r="IN111" s="47"/>
      <c r="IO111" s="47"/>
      <c r="IP111" s="47"/>
      <c r="IQ111" s="47"/>
      <c r="IR111" s="47"/>
      <c r="IS111" s="47"/>
      <c r="IT111" s="47"/>
      <c r="IU111" s="47"/>
      <c r="IV111" s="47"/>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F111" s="63">
        <v>7.6999999999999902E-2</v>
      </c>
      <c r="NG111" s="64">
        <v>-57207.24637252291</v>
      </c>
      <c r="NH111" s="13">
        <v>0.55000000000000004</v>
      </c>
      <c r="NI111" s="1">
        <f>Combine!A113</f>
        <v>48377</v>
      </c>
      <c r="NJ111" s="14">
        <f>Combine!F113</f>
        <v>455236.044563526</v>
      </c>
    </row>
    <row r="112" spans="1:374" ht="12.75" customHeight="1" x14ac:dyDescent="0.3">
      <c r="A112" s="59"/>
      <c r="D112" s="61"/>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c r="CT112" s="47"/>
      <c r="CU112" s="47"/>
      <c r="CV112" s="47"/>
      <c r="CW112" s="47"/>
      <c r="CX112" s="47"/>
      <c r="CY112" s="47"/>
      <c r="CZ112" s="47"/>
      <c r="DA112" s="47"/>
      <c r="DB112" s="47"/>
      <c r="DC112" s="47"/>
      <c r="DD112" s="47"/>
      <c r="DE112" s="47"/>
      <c r="DF112" s="47"/>
      <c r="DG112" s="47"/>
      <c r="DH112" s="47"/>
      <c r="DI112" s="47"/>
      <c r="DJ112" s="47"/>
      <c r="DK112" s="47"/>
      <c r="DL112" s="47"/>
      <c r="DM112" s="47"/>
      <c r="DN112" s="47"/>
      <c r="DO112" s="47"/>
      <c r="DP112" s="47"/>
      <c r="DQ112" s="47"/>
      <c r="DR112" s="47"/>
      <c r="DS112" s="47"/>
      <c r="DT112" s="47"/>
      <c r="DU112" s="47"/>
      <c r="DV112" s="47"/>
      <c r="DW112" s="47"/>
      <c r="DX112" s="47"/>
      <c r="DY112" s="47"/>
      <c r="DZ112" s="47"/>
      <c r="EA112" s="47"/>
      <c r="EB112" s="47"/>
      <c r="EC112" s="47"/>
      <c r="ED112" s="47"/>
      <c r="EE112" s="47"/>
      <c r="EF112" s="47"/>
      <c r="EG112" s="47"/>
      <c r="EH112" s="47"/>
      <c r="EI112" s="47"/>
      <c r="EJ112" s="47"/>
      <c r="EK112" s="47"/>
      <c r="EL112" s="47"/>
      <c r="EM112" s="47"/>
      <c r="EN112" s="47"/>
      <c r="EO112" s="47"/>
      <c r="EP112" s="47"/>
      <c r="EQ112" s="47"/>
      <c r="ER112" s="47"/>
      <c r="ES112" s="47"/>
      <c r="ET112" s="47"/>
      <c r="EU112" s="47"/>
      <c r="EV112" s="47"/>
      <c r="EW112" s="47"/>
      <c r="EX112" s="47"/>
      <c r="EY112" s="47"/>
      <c r="EZ112" s="47"/>
      <c r="FA112" s="47"/>
      <c r="FB112" s="47"/>
      <c r="FC112" s="47"/>
      <c r="FD112" s="47"/>
      <c r="FE112" s="47"/>
      <c r="FF112" s="47"/>
      <c r="FG112" s="47"/>
      <c r="FH112" s="47"/>
      <c r="FI112" s="47"/>
      <c r="FJ112" s="47"/>
      <c r="FK112" s="47"/>
      <c r="FL112" s="47"/>
      <c r="FM112" s="47"/>
      <c r="FN112" s="47"/>
      <c r="FO112" s="47"/>
      <c r="FP112" s="47"/>
      <c r="FQ112" s="47"/>
      <c r="FR112" s="47"/>
      <c r="FS112" s="47"/>
      <c r="FT112" s="47"/>
      <c r="FU112" s="47"/>
      <c r="FV112" s="47"/>
      <c r="FW112" s="47"/>
      <c r="FX112" s="47"/>
      <c r="FY112" s="47"/>
      <c r="FZ112" s="47"/>
      <c r="GA112" s="47"/>
      <c r="GB112" s="47"/>
      <c r="GC112" s="47"/>
      <c r="GD112" s="47"/>
      <c r="GE112" s="47"/>
      <c r="GF112" s="47"/>
      <c r="GG112" s="47"/>
      <c r="GH112" s="47"/>
      <c r="GI112" s="47"/>
      <c r="GJ112" s="47"/>
      <c r="GK112" s="47"/>
      <c r="GL112" s="47"/>
      <c r="GM112" s="47"/>
      <c r="GN112" s="47"/>
      <c r="GO112" s="47"/>
      <c r="GP112" s="47"/>
      <c r="GQ112" s="47"/>
      <c r="GR112" s="47"/>
      <c r="GS112" s="47"/>
      <c r="GT112" s="47"/>
      <c r="GU112" s="47"/>
      <c r="GV112" s="47"/>
      <c r="GW112" s="47"/>
      <c r="GX112" s="47"/>
      <c r="GY112" s="47"/>
      <c r="GZ112" s="47"/>
      <c r="HA112" s="47"/>
      <c r="HB112" s="47"/>
      <c r="HC112" s="47"/>
      <c r="HD112" s="47"/>
      <c r="HE112" s="47"/>
      <c r="HF112" s="47"/>
      <c r="HG112" s="47"/>
      <c r="HH112" s="47"/>
      <c r="HI112" s="47"/>
      <c r="HJ112" s="47"/>
      <c r="HK112" s="47"/>
      <c r="HL112" s="47"/>
      <c r="HM112" s="47"/>
      <c r="HN112" s="47"/>
      <c r="HO112" s="47"/>
      <c r="HP112" s="47"/>
      <c r="HQ112" s="47"/>
      <c r="HR112" s="47"/>
      <c r="HS112" s="47"/>
      <c r="HT112" s="47"/>
      <c r="HU112" s="47"/>
      <c r="HV112" s="47"/>
      <c r="HW112" s="47"/>
      <c r="HX112" s="47"/>
      <c r="HY112" s="47"/>
      <c r="HZ112" s="47"/>
      <c r="IA112" s="47"/>
      <c r="IB112" s="47"/>
      <c r="IC112" s="47"/>
      <c r="ID112" s="47"/>
      <c r="IE112" s="47"/>
      <c r="IF112" s="47"/>
      <c r="IG112" s="47"/>
      <c r="IH112" s="47"/>
      <c r="II112" s="47"/>
      <c r="IJ112" s="47"/>
      <c r="IK112" s="47"/>
      <c r="IL112" s="47"/>
      <c r="IM112" s="47"/>
      <c r="IN112" s="47"/>
      <c r="IO112" s="47"/>
      <c r="IP112" s="47"/>
      <c r="IQ112" s="47"/>
      <c r="IR112" s="47"/>
      <c r="IS112" s="47"/>
      <c r="IT112" s="47"/>
      <c r="IU112" s="47"/>
      <c r="IV112" s="47"/>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F112" s="63">
        <v>7.7999999999999903E-2</v>
      </c>
      <c r="NG112" s="64">
        <v>-61053.253274517134</v>
      </c>
      <c r="NH112" s="13">
        <v>0.55500000000000005</v>
      </c>
      <c r="NI112" s="1">
        <f>Combine!A114</f>
        <v>48030</v>
      </c>
      <c r="NJ112" s="14">
        <f>Combine!F114</f>
        <v>144265.67585263299</v>
      </c>
    </row>
    <row r="113" spans="1:374" ht="12.75" customHeight="1" x14ac:dyDescent="0.3">
      <c r="A113" s="59"/>
      <c r="D113" s="61"/>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c r="CT113" s="47"/>
      <c r="CU113" s="47"/>
      <c r="CV113" s="47"/>
      <c r="CW113" s="47"/>
      <c r="CX113" s="47"/>
      <c r="CY113" s="47"/>
      <c r="CZ113" s="47"/>
      <c r="DA113" s="47"/>
      <c r="DB113" s="47"/>
      <c r="DC113" s="47"/>
      <c r="DD113" s="47"/>
      <c r="DE113" s="47"/>
      <c r="DF113" s="47"/>
      <c r="DG113" s="47"/>
      <c r="DH113" s="47"/>
      <c r="DI113" s="47"/>
      <c r="DJ113" s="47"/>
      <c r="DK113" s="47"/>
      <c r="DL113" s="47"/>
      <c r="DM113" s="47"/>
      <c r="DN113" s="47"/>
      <c r="DO113" s="47"/>
      <c r="DP113" s="47"/>
      <c r="DQ113" s="47"/>
      <c r="DR113" s="47"/>
      <c r="DS113" s="47"/>
      <c r="DT113" s="47"/>
      <c r="DU113" s="47"/>
      <c r="DV113" s="47"/>
      <c r="DW113" s="47"/>
      <c r="DX113" s="47"/>
      <c r="DY113" s="47"/>
      <c r="DZ113" s="47"/>
      <c r="EA113" s="47"/>
      <c r="EB113" s="47"/>
      <c r="EC113" s="47"/>
      <c r="ED113" s="47"/>
      <c r="EE113" s="47"/>
      <c r="EF113" s="47"/>
      <c r="EG113" s="47"/>
      <c r="EH113" s="47"/>
      <c r="EI113" s="47"/>
      <c r="EJ113" s="47"/>
      <c r="EK113" s="47"/>
      <c r="EL113" s="47"/>
      <c r="EM113" s="47"/>
      <c r="EN113" s="47"/>
      <c r="EO113" s="47"/>
      <c r="EP113" s="47"/>
      <c r="EQ113" s="47"/>
      <c r="ER113" s="47"/>
      <c r="ES113" s="47"/>
      <c r="ET113" s="47"/>
      <c r="EU113" s="47"/>
      <c r="EV113" s="47"/>
      <c r="EW113" s="47"/>
      <c r="EX113" s="47"/>
      <c r="EY113" s="47"/>
      <c r="EZ113" s="47"/>
      <c r="FA113" s="47"/>
      <c r="FB113" s="47"/>
      <c r="FC113" s="47"/>
      <c r="FD113" s="47"/>
      <c r="FE113" s="47"/>
      <c r="FF113" s="47"/>
      <c r="FG113" s="47"/>
      <c r="FH113" s="47"/>
      <c r="FI113" s="47"/>
      <c r="FJ113" s="47"/>
      <c r="FK113" s="47"/>
      <c r="FL113" s="47"/>
      <c r="FM113" s="47"/>
      <c r="FN113" s="47"/>
      <c r="FO113" s="47"/>
      <c r="FP113" s="47"/>
      <c r="FQ113" s="47"/>
      <c r="FR113" s="47"/>
      <c r="FS113" s="47"/>
      <c r="FT113" s="47"/>
      <c r="FU113" s="47"/>
      <c r="FV113" s="47"/>
      <c r="FW113" s="47"/>
      <c r="FX113" s="47"/>
      <c r="FY113" s="47"/>
      <c r="FZ113" s="47"/>
      <c r="GA113" s="47"/>
      <c r="GB113" s="47"/>
      <c r="GC113" s="47"/>
      <c r="GD113" s="47"/>
      <c r="GE113" s="47"/>
      <c r="GF113" s="47"/>
      <c r="GG113" s="47"/>
      <c r="GH113" s="47"/>
      <c r="GI113" s="47"/>
      <c r="GJ113" s="47"/>
      <c r="GK113" s="47"/>
      <c r="GL113" s="47"/>
      <c r="GM113" s="47"/>
      <c r="GN113" s="47"/>
      <c r="GO113" s="47"/>
      <c r="GP113" s="47"/>
      <c r="GQ113" s="47"/>
      <c r="GR113" s="47"/>
      <c r="GS113" s="47"/>
      <c r="GT113" s="47"/>
      <c r="GU113" s="47"/>
      <c r="GV113" s="47"/>
      <c r="GW113" s="47"/>
      <c r="GX113" s="47"/>
      <c r="GY113" s="47"/>
      <c r="GZ113" s="47"/>
      <c r="HA113" s="47"/>
      <c r="HB113" s="47"/>
      <c r="HC113" s="47"/>
      <c r="HD113" s="47"/>
      <c r="HE113" s="47"/>
      <c r="HF113" s="47"/>
      <c r="HG113" s="47"/>
      <c r="HH113" s="47"/>
      <c r="HI113" s="47"/>
      <c r="HJ113" s="47"/>
      <c r="HK113" s="47"/>
      <c r="HL113" s="47"/>
      <c r="HM113" s="47"/>
      <c r="HN113" s="47"/>
      <c r="HO113" s="47"/>
      <c r="HP113" s="47"/>
      <c r="HQ113" s="47"/>
      <c r="HR113" s="47"/>
      <c r="HS113" s="47"/>
      <c r="HT113" s="47"/>
      <c r="HU113" s="47"/>
      <c r="HV113" s="47"/>
      <c r="HW113" s="47"/>
      <c r="HX113" s="47"/>
      <c r="HY113" s="47"/>
      <c r="HZ113" s="47"/>
      <c r="IA113" s="47"/>
      <c r="IB113" s="47"/>
      <c r="IC113" s="47"/>
      <c r="ID113" s="47"/>
      <c r="IE113" s="47"/>
      <c r="IF113" s="47"/>
      <c r="IG113" s="47"/>
      <c r="IH113" s="47"/>
      <c r="II113" s="47"/>
      <c r="IJ113" s="47"/>
      <c r="IK113" s="47"/>
      <c r="IL113" s="47"/>
      <c r="IM113" s="47"/>
      <c r="IN113" s="47"/>
      <c r="IO113" s="47"/>
      <c r="IP113" s="47"/>
      <c r="IQ113" s="47"/>
      <c r="IR113" s="47"/>
      <c r="IS113" s="47"/>
      <c r="IT113" s="47"/>
      <c r="IU113" s="47"/>
      <c r="IV113" s="47"/>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F113" s="63">
        <v>7.8999999999999904E-2</v>
      </c>
      <c r="NG113" s="64">
        <v>-64905.71325591467</v>
      </c>
      <c r="NH113" s="13">
        <v>0.56000000000000005</v>
      </c>
      <c r="NI113" s="1">
        <f>Combine!A115</f>
        <v>48201</v>
      </c>
      <c r="NJ113" s="14">
        <f>Combine!F115</f>
        <v>438189.568337087</v>
      </c>
    </row>
    <row r="114" spans="1:374" ht="12.75" customHeight="1" x14ac:dyDescent="0.3">
      <c r="A114" s="59"/>
      <c r="D114" s="61"/>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c r="CT114" s="47"/>
      <c r="CU114" s="47"/>
      <c r="CV114" s="47"/>
      <c r="CW114" s="47"/>
      <c r="CX114" s="47"/>
      <c r="CY114" s="47"/>
      <c r="CZ114" s="47"/>
      <c r="DA114" s="47"/>
      <c r="DB114" s="47"/>
      <c r="DC114" s="47"/>
      <c r="DD114" s="47"/>
      <c r="DE114" s="47"/>
      <c r="DF114" s="47"/>
      <c r="DG114" s="47"/>
      <c r="DH114" s="47"/>
      <c r="DI114" s="47"/>
      <c r="DJ114" s="47"/>
      <c r="DK114" s="47"/>
      <c r="DL114" s="47"/>
      <c r="DM114" s="47"/>
      <c r="DN114" s="47"/>
      <c r="DO114" s="47"/>
      <c r="DP114" s="47"/>
      <c r="DQ114" s="47"/>
      <c r="DR114" s="47"/>
      <c r="DS114" s="47"/>
      <c r="DT114" s="47"/>
      <c r="DU114" s="47"/>
      <c r="DV114" s="47"/>
      <c r="DW114" s="47"/>
      <c r="DX114" s="47"/>
      <c r="DY114" s="47"/>
      <c r="DZ114" s="47"/>
      <c r="EA114" s="47"/>
      <c r="EB114" s="47"/>
      <c r="EC114" s="47"/>
      <c r="ED114" s="47"/>
      <c r="EE114" s="47"/>
      <c r="EF114" s="47"/>
      <c r="EG114" s="47"/>
      <c r="EH114" s="47"/>
      <c r="EI114" s="47"/>
      <c r="EJ114" s="47"/>
      <c r="EK114" s="47"/>
      <c r="EL114" s="47"/>
      <c r="EM114" s="47"/>
      <c r="EN114" s="47"/>
      <c r="EO114" s="47"/>
      <c r="EP114" s="47"/>
      <c r="EQ114" s="47"/>
      <c r="ER114" s="47"/>
      <c r="ES114" s="47"/>
      <c r="ET114" s="47"/>
      <c r="EU114" s="47"/>
      <c r="EV114" s="47"/>
      <c r="EW114" s="47"/>
      <c r="EX114" s="47"/>
      <c r="EY114" s="47"/>
      <c r="EZ114" s="47"/>
      <c r="FA114" s="47"/>
      <c r="FB114" s="47"/>
      <c r="FC114" s="47"/>
      <c r="FD114" s="47"/>
      <c r="FE114" s="47"/>
      <c r="FF114" s="47"/>
      <c r="FG114" s="47"/>
      <c r="FH114" s="47"/>
      <c r="FI114" s="47"/>
      <c r="FJ114" s="47"/>
      <c r="FK114" s="47"/>
      <c r="FL114" s="47"/>
      <c r="FM114" s="47"/>
      <c r="FN114" s="47"/>
      <c r="FO114" s="47"/>
      <c r="FP114" s="47"/>
      <c r="FQ114" s="47"/>
      <c r="FR114" s="47"/>
      <c r="FS114" s="47"/>
      <c r="FT114" s="47"/>
      <c r="FU114" s="47"/>
      <c r="FV114" s="47"/>
      <c r="FW114" s="47"/>
      <c r="FX114" s="47"/>
      <c r="FY114" s="47"/>
      <c r="FZ114" s="47"/>
      <c r="GA114" s="47"/>
      <c r="GB114" s="47"/>
      <c r="GC114" s="47"/>
      <c r="GD114" s="47"/>
      <c r="GE114" s="47"/>
      <c r="GF114" s="47"/>
      <c r="GG114" s="47"/>
      <c r="GH114" s="47"/>
      <c r="GI114" s="47"/>
      <c r="GJ114" s="47"/>
      <c r="GK114" s="47"/>
      <c r="GL114" s="47"/>
      <c r="GM114" s="47"/>
      <c r="GN114" s="47"/>
      <c r="GO114" s="47"/>
      <c r="GP114" s="47"/>
      <c r="GQ114" s="47"/>
      <c r="GR114" s="47"/>
      <c r="GS114" s="47"/>
      <c r="GT114" s="47"/>
      <c r="GU114" s="47"/>
      <c r="GV114" s="47"/>
      <c r="GW114" s="47"/>
      <c r="GX114" s="47"/>
      <c r="GY114" s="47"/>
      <c r="GZ114" s="47"/>
      <c r="HA114" s="47"/>
      <c r="HB114" s="47"/>
      <c r="HC114" s="47"/>
      <c r="HD114" s="47"/>
      <c r="HE114" s="47"/>
      <c r="HF114" s="47"/>
      <c r="HG114" s="47"/>
      <c r="HH114" s="47"/>
      <c r="HI114" s="47"/>
      <c r="HJ114" s="47"/>
      <c r="HK114" s="47"/>
      <c r="HL114" s="47"/>
      <c r="HM114" s="47"/>
      <c r="HN114" s="47"/>
      <c r="HO114" s="47"/>
      <c r="HP114" s="47"/>
      <c r="HQ114" s="47"/>
      <c r="HR114" s="47"/>
      <c r="HS114" s="47"/>
      <c r="HT114" s="47"/>
      <c r="HU114" s="47"/>
      <c r="HV114" s="47"/>
      <c r="HW114" s="47"/>
      <c r="HX114" s="47"/>
      <c r="HY114" s="47"/>
      <c r="HZ114" s="47"/>
      <c r="IA114" s="47"/>
      <c r="IB114" s="47"/>
      <c r="IC114" s="47"/>
      <c r="ID114" s="47"/>
      <c r="IE114" s="47"/>
      <c r="IF114" s="47"/>
      <c r="IG114" s="47"/>
      <c r="IH114" s="47"/>
      <c r="II114" s="47"/>
      <c r="IJ114" s="47"/>
      <c r="IK114" s="47"/>
      <c r="IL114" s="47"/>
      <c r="IM114" s="47"/>
      <c r="IN114" s="47"/>
      <c r="IO114" s="47"/>
      <c r="IP114" s="47"/>
      <c r="IQ114" s="47"/>
      <c r="IR114" s="47"/>
      <c r="IS114" s="47"/>
      <c r="IT114" s="47"/>
      <c r="IU114" s="47"/>
      <c r="IV114" s="47"/>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F114" s="63">
        <v>7.9999999999999905E-2</v>
      </c>
      <c r="NG114" s="64">
        <v>-68764.496160299881</v>
      </c>
      <c r="NH114" s="13">
        <v>0.56499999999999995</v>
      </c>
      <c r="NI114" s="1">
        <f>Combine!A116</f>
        <v>48206</v>
      </c>
      <c r="NJ114" s="14">
        <f>Combine!F116</f>
        <v>71091.179204868895</v>
      </c>
    </row>
    <row r="115" spans="1:374" ht="12.75" customHeight="1" x14ac:dyDescent="0.3">
      <c r="A115" s="59"/>
      <c r="D115" s="61"/>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c r="CT115" s="47"/>
      <c r="CU115" s="47"/>
      <c r="CV115" s="47"/>
      <c r="CW115" s="47"/>
      <c r="CX115" s="47"/>
      <c r="CY115" s="47"/>
      <c r="CZ115" s="47"/>
      <c r="DA115" s="47"/>
      <c r="DB115" s="47"/>
      <c r="DC115" s="47"/>
      <c r="DD115" s="47"/>
      <c r="DE115" s="47"/>
      <c r="DF115" s="47"/>
      <c r="DG115" s="47"/>
      <c r="DH115" s="47"/>
      <c r="DI115" s="47"/>
      <c r="DJ115" s="47"/>
      <c r="DK115" s="47"/>
      <c r="DL115" s="47"/>
      <c r="DM115" s="47"/>
      <c r="DN115" s="47"/>
      <c r="DO115" s="47"/>
      <c r="DP115" s="47"/>
      <c r="DQ115" s="47"/>
      <c r="DR115" s="47"/>
      <c r="DS115" s="47"/>
      <c r="DT115" s="47"/>
      <c r="DU115" s="47"/>
      <c r="DV115" s="47"/>
      <c r="DW115" s="47"/>
      <c r="DX115" s="47"/>
      <c r="DY115" s="47"/>
      <c r="DZ115" s="47"/>
      <c r="EA115" s="47"/>
      <c r="EB115" s="47"/>
      <c r="EC115" s="47"/>
      <c r="ED115" s="47"/>
      <c r="EE115" s="47"/>
      <c r="EF115" s="47"/>
      <c r="EG115" s="47"/>
      <c r="EH115" s="47"/>
      <c r="EI115" s="47"/>
      <c r="EJ115" s="47"/>
      <c r="EK115" s="47"/>
      <c r="EL115" s="47"/>
      <c r="EM115" s="47"/>
      <c r="EN115" s="47"/>
      <c r="EO115" s="47"/>
      <c r="EP115" s="47"/>
      <c r="EQ115" s="47"/>
      <c r="ER115" s="47"/>
      <c r="ES115" s="47"/>
      <c r="ET115" s="47"/>
      <c r="EU115" s="47"/>
      <c r="EV115" s="47"/>
      <c r="EW115" s="47"/>
      <c r="EX115" s="47"/>
      <c r="EY115" s="47"/>
      <c r="EZ115" s="47"/>
      <c r="FA115" s="47"/>
      <c r="FB115" s="47"/>
      <c r="FC115" s="47"/>
      <c r="FD115" s="47"/>
      <c r="FE115" s="47"/>
      <c r="FF115" s="47"/>
      <c r="FG115" s="47"/>
      <c r="FH115" s="47"/>
      <c r="FI115" s="47"/>
      <c r="FJ115" s="47"/>
      <c r="FK115" s="47"/>
      <c r="FL115" s="47"/>
      <c r="FM115" s="47"/>
      <c r="FN115" s="47"/>
      <c r="FO115" s="47"/>
      <c r="FP115" s="47"/>
      <c r="FQ115" s="47"/>
      <c r="FR115" s="47"/>
      <c r="FS115" s="47"/>
      <c r="FT115" s="47"/>
      <c r="FU115" s="47"/>
      <c r="FV115" s="47"/>
      <c r="FW115" s="47"/>
      <c r="FX115" s="47"/>
      <c r="FY115" s="47"/>
      <c r="FZ115" s="47"/>
      <c r="GA115" s="47"/>
      <c r="GB115" s="47"/>
      <c r="GC115" s="47"/>
      <c r="GD115" s="47"/>
      <c r="GE115" s="47"/>
      <c r="GF115" s="47"/>
      <c r="GG115" s="47"/>
      <c r="GH115" s="47"/>
      <c r="GI115" s="47"/>
      <c r="GJ115" s="47"/>
      <c r="GK115" s="47"/>
      <c r="GL115" s="47"/>
      <c r="GM115" s="47"/>
      <c r="GN115" s="47"/>
      <c r="GO115" s="47"/>
      <c r="GP115" s="47"/>
      <c r="GQ115" s="47"/>
      <c r="GR115" s="47"/>
      <c r="GS115" s="47"/>
      <c r="GT115" s="47"/>
      <c r="GU115" s="47"/>
      <c r="GV115" s="47"/>
      <c r="GW115" s="47"/>
      <c r="GX115" s="47"/>
      <c r="GY115" s="47"/>
      <c r="GZ115" s="47"/>
      <c r="HA115" s="47"/>
      <c r="HB115" s="47"/>
      <c r="HC115" s="47"/>
      <c r="HD115" s="47"/>
      <c r="HE115" s="47"/>
      <c r="HF115" s="47"/>
      <c r="HG115" s="47"/>
      <c r="HH115" s="47"/>
      <c r="HI115" s="47"/>
      <c r="HJ115" s="47"/>
      <c r="HK115" s="47"/>
      <c r="HL115" s="47"/>
      <c r="HM115" s="47"/>
      <c r="HN115" s="47"/>
      <c r="HO115" s="47"/>
      <c r="HP115" s="47"/>
      <c r="HQ115" s="47"/>
      <c r="HR115" s="47"/>
      <c r="HS115" s="47"/>
      <c r="HT115" s="47"/>
      <c r="HU115" s="47"/>
      <c r="HV115" s="47"/>
      <c r="HW115" s="47"/>
      <c r="HX115" s="47"/>
      <c r="HY115" s="47"/>
      <c r="HZ115" s="47"/>
      <c r="IA115" s="47"/>
      <c r="IB115" s="47"/>
      <c r="IC115" s="47"/>
      <c r="ID115" s="47"/>
      <c r="IE115" s="47"/>
      <c r="IF115" s="47"/>
      <c r="IG115" s="47"/>
      <c r="IH115" s="47"/>
      <c r="II115" s="47"/>
      <c r="IJ115" s="47"/>
      <c r="IK115" s="47"/>
      <c r="IL115" s="47"/>
      <c r="IM115" s="47"/>
      <c r="IN115" s="47"/>
      <c r="IO115" s="47"/>
      <c r="IP115" s="47"/>
      <c r="IQ115" s="47"/>
      <c r="IR115" s="47"/>
      <c r="IS115" s="47"/>
      <c r="IT115" s="47"/>
      <c r="IU115" s="47"/>
      <c r="IV115" s="47"/>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F115" s="63">
        <v>8.0999999999999905E-2</v>
      </c>
      <c r="NG115" s="64">
        <v>-72629.473185461073</v>
      </c>
      <c r="NH115" s="13">
        <v>0.56999999999999995</v>
      </c>
      <c r="NI115" s="1">
        <f>Combine!A117</f>
        <v>48230</v>
      </c>
      <c r="NJ115" s="14">
        <f>Combine!F117</f>
        <v>430537.594692691</v>
      </c>
    </row>
    <row r="116" spans="1:374" ht="12.75" customHeight="1" x14ac:dyDescent="0.3">
      <c r="A116" s="59"/>
      <c r="D116" s="61"/>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c r="CT116" s="47"/>
      <c r="CU116" s="47"/>
      <c r="CV116" s="47"/>
      <c r="CW116" s="47"/>
      <c r="CX116" s="47"/>
      <c r="CY116" s="47"/>
      <c r="CZ116" s="47"/>
      <c r="DA116" s="47"/>
      <c r="DB116" s="47"/>
      <c r="DC116" s="47"/>
      <c r="DD116" s="47"/>
      <c r="DE116" s="47"/>
      <c r="DF116" s="47"/>
      <c r="DG116" s="47"/>
      <c r="DH116" s="47"/>
      <c r="DI116" s="47"/>
      <c r="DJ116" s="47"/>
      <c r="DK116" s="47"/>
      <c r="DL116" s="47"/>
      <c r="DM116" s="47"/>
      <c r="DN116" s="47"/>
      <c r="DO116" s="47"/>
      <c r="DP116" s="47"/>
      <c r="DQ116" s="47"/>
      <c r="DR116" s="47"/>
      <c r="DS116" s="47"/>
      <c r="DT116" s="47"/>
      <c r="DU116" s="47"/>
      <c r="DV116" s="47"/>
      <c r="DW116" s="47"/>
      <c r="DX116" s="47"/>
      <c r="DY116" s="47"/>
      <c r="DZ116" s="47"/>
      <c r="EA116" s="47"/>
      <c r="EB116" s="47"/>
      <c r="EC116" s="47"/>
      <c r="ED116" s="47"/>
      <c r="EE116" s="47"/>
      <c r="EF116" s="47"/>
      <c r="EG116" s="47"/>
      <c r="EH116" s="47"/>
      <c r="EI116" s="47"/>
      <c r="EJ116" s="47"/>
      <c r="EK116" s="47"/>
      <c r="EL116" s="47"/>
      <c r="EM116" s="47"/>
      <c r="EN116" s="47"/>
      <c r="EO116" s="47"/>
      <c r="EP116" s="47"/>
      <c r="EQ116" s="47"/>
      <c r="ER116" s="47"/>
      <c r="ES116" s="47"/>
      <c r="ET116" s="47"/>
      <c r="EU116" s="47"/>
      <c r="EV116" s="47"/>
      <c r="EW116" s="47"/>
      <c r="EX116" s="47"/>
      <c r="EY116" s="47"/>
      <c r="EZ116" s="47"/>
      <c r="FA116" s="47"/>
      <c r="FB116" s="47"/>
      <c r="FC116" s="47"/>
      <c r="FD116" s="47"/>
      <c r="FE116" s="47"/>
      <c r="FF116" s="47"/>
      <c r="FG116" s="47"/>
      <c r="FH116" s="47"/>
      <c r="FI116" s="47"/>
      <c r="FJ116" s="47"/>
      <c r="FK116" s="47"/>
      <c r="FL116" s="47"/>
      <c r="FM116" s="47"/>
      <c r="FN116" s="47"/>
      <c r="FO116" s="47"/>
      <c r="FP116" s="47"/>
      <c r="FQ116" s="47"/>
      <c r="FR116" s="47"/>
      <c r="FS116" s="47"/>
      <c r="FT116" s="47"/>
      <c r="FU116" s="47"/>
      <c r="FV116" s="47"/>
      <c r="FW116" s="47"/>
      <c r="FX116" s="47"/>
      <c r="FY116" s="47"/>
      <c r="FZ116" s="47"/>
      <c r="GA116" s="47"/>
      <c r="GB116" s="47"/>
      <c r="GC116" s="47"/>
      <c r="GD116" s="47"/>
      <c r="GE116" s="47"/>
      <c r="GF116" s="47"/>
      <c r="GG116" s="47"/>
      <c r="GH116" s="47"/>
      <c r="GI116" s="47"/>
      <c r="GJ116" s="47"/>
      <c r="GK116" s="47"/>
      <c r="GL116" s="47"/>
      <c r="GM116" s="47"/>
      <c r="GN116" s="47"/>
      <c r="GO116" s="47"/>
      <c r="GP116" s="47"/>
      <c r="GQ116" s="47"/>
      <c r="GR116" s="47"/>
      <c r="GS116" s="47"/>
      <c r="GT116" s="47"/>
      <c r="GU116" s="47"/>
      <c r="GV116" s="47"/>
      <c r="GW116" s="47"/>
      <c r="GX116" s="47"/>
      <c r="GY116" s="47"/>
      <c r="GZ116" s="47"/>
      <c r="HA116" s="47"/>
      <c r="HB116" s="47"/>
      <c r="HC116" s="47"/>
      <c r="HD116" s="47"/>
      <c r="HE116" s="47"/>
      <c r="HF116" s="47"/>
      <c r="HG116" s="47"/>
      <c r="HH116" s="47"/>
      <c r="HI116" s="47"/>
      <c r="HJ116" s="47"/>
      <c r="HK116" s="47"/>
      <c r="HL116" s="47"/>
      <c r="HM116" s="47"/>
      <c r="HN116" s="47"/>
      <c r="HO116" s="47"/>
      <c r="HP116" s="47"/>
      <c r="HQ116" s="47"/>
      <c r="HR116" s="47"/>
      <c r="HS116" s="47"/>
      <c r="HT116" s="47"/>
      <c r="HU116" s="47"/>
      <c r="HV116" s="47"/>
      <c r="HW116" s="47"/>
      <c r="HX116" s="47"/>
      <c r="HY116" s="47"/>
      <c r="HZ116" s="47"/>
      <c r="IA116" s="47"/>
      <c r="IB116" s="47"/>
      <c r="IC116" s="47"/>
      <c r="ID116" s="47"/>
      <c r="IE116" s="47"/>
      <c r="IF116" s="47"/>
      <c r="IG116" s="47"/>
      <c r="IH116" s="47"/>
      <c r="II116" s="47"/>
      <c r="IJ116" s="47"/>
      <c r="IK116" s="47"/>
      <c r="IL116" s="47"/>
      <c r="IM116" s="47"/>
      <c r="IN116" s="47"/>
      <c r="IO116" s="47"/>
      <c r="IP116" s="47"/>
      <c r="IQ116" s="47"/>
      <c r="IR116" s="47"/>
      <c r="IS116" s="47"/>
      <c r="IT116" s="47"/>
      <c r="IU116" s="47"/>
      <c r="IV116" s="47"/>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F116" s="63">
        <v>8.1999999999999906E-2</v>
      </c>
      <c r="NG116" s="64">
        <v>-76500.516903099269</v>
      </c>
      <c r="NH116" s="13">
        <v>0.57499999999999996</v>
      </c>
      <c r="NI116" s="1">
        <f>Combine!A118</f>
        <v>48202</v>
      </c>
      <c r="NJ116" s="14">
        <f>Combine!F118</f>
        <v>159604.48734221299</v>
      </c>
    </row>
    <row r="117" spans="1:374" ht="12.75" customHeight="1" x14ac:dyDescent="0.3">
      <c r="A117" s="59"/>
      <c r="D117" s="61"/>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c r="CT117" s="47"/>
      <c r="CU117" s="47"/>
      <c r="CV117" s="47"/>
      <c r="CW117" s="47"/>
      <c r="CX117" s="47"/>
      <c r="CY117" s="47"/>
      <c r="CZ117" s="47"/>
      <c r="DA117" s="47"/>
      <c r="DB117" s="47"/>
      <c r="DC117" s="47"/>
      <c r="DD117" s="47"/>
      <c r="DE117" s="47"/>
      <c r="DF117" s="47"/>
      <c r="DG117" s="47"/>
      <c r="DH117" s="47"/>
      <c r="DI117" s="47"/>
      <c r="DJ117" s="47"/>
      <c r="DK117" s="47"/>
      <c r="DL117" s="47"/>
      <c r="DM117" s="47"/>
      <c r="DN117" s="47"/>
      <c r="DO117" s="47"/>
      <c r="DP117" s="47"/>
      <c r="DQ117" s="47"/>
      <c r="DR117" s="47"/>
      <c r="DS117" s="47"/>
      <c r="DT117" s="47"/>
      <c r="DU117" s="47"/>
      <c r="DV117" s="47"/>
      <c r="DW117" s="47"/>
      <c r="DX117" s="47"/>
      <c r="DY117" s="47"/>
      <c r="DZ117" s="47"/>
      <c r="EA117" s="47"/>
      <c r="EB117" s="47"/>
      <c r="EC117" s="47"/>
      <c r="ED117" s="47"/>
      <c r="EE117" s="47"/>
      <c r="EF117" s="47"/>
      <c r="EG117" s="47"/>
      <c r="EH117" s="47"/>
      <c r="EI117" s="47"/>
      <c r="EJ117" s="47"/>
      <c r="EK117" s="47"/>
      <c r="EL117" s="47"/>
      <c r="EM117" s="47"/>
      <c r="EN117" s="47"/>
      <c r="EO117" s="47"/>
      <c r="EP117" s="47"/>
      <c r="EQ117" s="47"/>
      <c r="ER117" s="47"/>
      <c r="ES117" s="47"/>
      <c r="ET117" s="47"/>
      <c r="EU117" s="47"/>
      <c r="EV117" s="47"/>
      <c r="EW117" s="47"/>
      <c r="EX117" s="47"/>
      <c r="EY117" s="47"/>
      <c r="EZ117" s="47"/>
      <c r="FA117" s="47"/>
      <c r="FB117" s="47"/>
      <c r="FC117" s="47"/>
      <c r="FD117" s="47"/>
      <c r="FE117" s="47"/>
      <c r="FF117" s="47"/>
      <c r="FG117" s="47"/>
      <c r="FH117" s="47"/>
      <c r="FI117" s="47"/>
      <c r="FJ117" s="47"/>
      <c r="FK117" s="47"/>
      <c r="FL117" s="47"/>
      <c r="FM117" s="47"/>
      <c r="FN117" s="47"/>
      <c r="FO117" s="47"/>
      <c r="FP117" s="47"/>
      <c r="FQ117" s="47"/>
      <c r="FR117" s="47"/>
      <c r="FS117" s="47"/>
      <c r="FT117" s="47"/>
      <c r="FU117" s="47"/>
      <c r="FV117" s="47"/>
      <c r="FW117" s="47"/>
      <c r="FX117" s="47"/>
      <c r="FY117" s="47"/>
      <c r="FZ117" s="47"/>
      <c r="GA117" s="47"/>
      <c r="GB117" s="47"/>
      <c r="GC117" s="47"/>
      <c r="GD117" s="47"/>
      <c r="GE117" s="47"/>
      <c r="GF117" s="47"/>
      <c r="GG117" s="47"/>
      <c r="GH117" s="47"/>
      <c r="GI117" s="47"/>
      <c r="GJ117" s="47"/>
      <c r="GK117" s="47"/>
      <c r="GL117" s="47"/>
      <c r="GM117" s="47"/>
      <c r="GN117" s="47"/>
      <c r="GO117" s="47"/>
      <c r="GP117" s="47"/>
      <c r="GQ117" s="47"/>
      <c r="GR117" s="47"/>
      <c r="GS117" s="47"/>
      <c r="GT117" s="47"/>
      <c r="GU117" s="47"/>
      <c r="GV117" s="47"/>
      <c r="GW117" s="47"/>
      <c r="GX117" s="47"/>
      <c r="GY117" s="47"/>
      <c r="GZ117" s="47"/>
      <c r="HA117" s="47"/>
      <c r="HB117" s="47"/>
      <c r="HC117" s="47"/>
      <c r="HD117" s="47"/>
      <c r="HE117" s="47"/>
      <c r="HF117" s="47"/>
      <c r="HG117" s="47"/>
      <c r="HH117" s="47"/>
      <c r="HI117" s="47"/>
      <c r="HJ117" s="47"/>
      <c r="HK117" s="47"/>
      <c r="HL117" s="47"/>
      <c r="HM117" s="47"/>
      <c r="HN117" s="47"/>
      <c r="HO117" s="47"/>
      <c r="HP117" s="47"/>
      <c r="HQ117" s="47"/>
      <c r="HR117" s="47"/>
      <c r="HS117" s="47"/>
      <c r="HT117" s="47"/>
      <c r="HU117" s="47"/>
      <c r="HV117" s="47"/>
      <c r="HW117" s="47"/>
      <c r="HX117" s="47"/>
      <c r="HY117" s="47"/>
      <c r="HZ117" s="47"/>
      <c r="IA117" s="47"/>
      <c r="IB117" s="47"/>
      <c r="IC117" s="47"/>
      <c r="ID117" s="47"/>
      <c r="IE117" s="47"/>
      <c r="IF117" s="47"/>
      <c r="IG117" s="47"/>
      <c r="IH117" s="47"/>
      <c r="II117" s="47"/>
      <c r="IJ117" s="47"/>
      <c r="IK117" s="47"/>
      <c r="IL117" s="47"/>
      <c r="IM117" s="47"/>
      <c r="IN117" s="47"/>
      <c r="IO117" s="47"/>
      <c r="IP117" s="47"/>
      <c r="IQ117" s="47"/>
      <c r="IR117" s="47"/>
      <c r="IS117" s="47"/>
      <c r="IT117" s="47"/>
      <c r="IU117" s="47"/>
      <c r="IV117" s="47"/>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F117" s="63">
        <v>8.2999999999999893E-2</v>
      </c>
      <c r="NG117" s="64">
        <v>-80377.501277330841</v>
      </c>
      <c r="NH117" s="13">
        <v>0.57999999999999996</v>
      </c>
      <c r="NI117" s="1">
        <f>Combine!A119</f>
        <v>48084</v>
      </c>
      <c r="NJ117" s="14">
        <f>Combine!F119</f>
        <v>448361.57819014299</v>
      </c>
    </row>
    <row r="118" spans="1:374" ht="12.75" customHeight="1" x14ac:dyDescent="0.3">
      <c r="A118" s="59"/>
      <c r="D118" s="61"/>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c r="CT118" s="47"/>
      <c r="CU118" s="47"/>
      <c r="CV118" s="47"/>
      <c r="CW118" s="47"/>
      <c r="CX118" s="47"/>
      <c r="CY118" s="47"/>
      <c r="CZ118" s="47"/>
      <c r="DA118" s="47"/>
      <c r="DB118" s="47"/>
      <c r="DC118" s="47"/>
      <c r="DD118" s="47"/>
      <c r="DE118" s="47"/>
      <c r="DF118" s="47"/>
      <c r="DG118" s="47"/>
      <c r="DH118" s="47"/>
      <c r="DI118" s="47"/>
      <c r="DJ118" s="47"/>
      <c r="DK118" s="47"/>
      <c r="DL118" s="47"/>
      <c r="DM118" s="47"/>
      <c r="DN118" s="47"/>
      <c r="DO118" s="47"/>
      <c r="DP118" s="47"/>
      <c r="DQ118" s="47"/>
      <c r="DR118" s="47"/>
      <c r="DS118" s="47"/>
      <c r="DT118" s="47"/>
      <c r="DU118" s="47"/>
      <c r="DV118" s="47"/>
      <c r="DW118" s="47"/>
      <c r="DX118" s="47"/>
      <c r="DY118" s="47"/>
      <c r="DZ118" s="47"/>
      <c r="EA118" s="47"/>
      <c r="EB118" s="47"/>
      <c r="EC118" s="47"/>
      <c r="ED118" s="47"/>
      <c r="EE118" s="47"/>
      <c r="EF118" s="47"/>
      <c r="EG118" s="47"/>
      <c r="EH118" s="47"/>
      <c r="EI118" s="47"/>
      <c r="EJ118" s="47"/>
      <c r="EK118" s="47"/>
      <c r="EL118" s="47"/>
      <c r="EM118" s="47"/>
      <c r="EN118" s="47"/>
      <c r="EO118" s="47"/>
      <c r="EP118" s="47"/>
      <c r="EQ118" s="47"/>
      <c r="ER118" s="47"/>
      <c r="ES118" s="47"/>
      <c r="ET118" s="47"/>
      <c r="EU118" s="47"/>
      <c r="EV118" s="47"/>
      <c r="EW118" s="47"/>
      <c r="EX118" s="47"/>
      <c r="EY118" s="47"/>
      <c r="EZ118" s="47"/>
      <c r="FA118" s="47"/>
      <c r="FB118" s="47"/>
      <c r="FC118" s="47"/>
      <c r="FD118" s="47"/>
      <c r="FE118" s="47"/>
      <c r="FF118" s="47"/>
      <c r="FG118" s="47"/>
      <c r="FH118" s="47"/>
      <c r="FI118" s="47"/>
      <c r="FJ118" s="47"/>
      <c r="FK118" s="47"/>
      <c r="FL118" s="47"/>
      <c r="FM118" s="47"/>
      <c r="FN118" s="47"/>
      <c r="FO118" s="47"/>
      <c r="FP118" s="47"/>
      <c r="FQ118" s="47"/>
      <c r="FR118" s="47"/>
      <c r="FS118" s="47"/>
      <c r="FT118" s="47"/>
      <c r="FU118" s="47"/>
      <c r="FV118" s="47"/>
      <c r="FW118" s="47"/>
      <c r="FX118" s="47"/>
      <c r="FY118" s="47"/>
      <c r="FZ118" s="47"/>
      <c r="GA118" s="47"/>
      <c r="GB118" s="47"/>
      <c r="GC118" s="47"/>
      <c r="GD118" s="47"/>
      <c r="GE118" s="47"/>
      <c r="GF118" s="47"/>
      <c r="GG118" s="47"/>
      <c r="GH118" s="47"/>
      <c r="GI118" s="47"/>
      <c r="GJ118" s="47"/>
      <c r="GK118" s="47"/>
      <c r="GL118" s="47"/>
      <c r="GM118" s="47"/>
      <c r="GN118" s="47"/>
      <c r="GO118" s="47"/>
      <c r="GP118" s="47"/>
      <c r="GQ118" s="47"/>
      <c r="GR118" s="47"/>
      <c r="GS118" s="47"/>
      <c r="GT118" s="47"/>
      <c r="GU118" s="47"/>
      <c r="GV118" s="47"/>
      <c r="GW118" s="47"/>
      <c r="GX118" s="47"/>
      <c r="GY118" s="47"/>
      <c r="GZ118" s="47"/>
      <c r="HA118" s="47"/>
      <c r="HB118" s="47"/>
      <c r="HC118" s="47"/>
      <c r="HD118" s="47"/>
      <c r="HE118" s="47"/>
      <c r="HF118" s="47"/>
      <c r="HG118" s="47"/>
      <c r="HH118" s="47"/>
      <c r="HI118" s="47"/>
      <c r="HJ118" s="47"/>
      <c r="HK118" s="47"/>
      <c r="HL118" s="47"/>
      <c r="HM118" s="47"/>
      <c r="HN118" s="47"/>
      <c r="HO118" s="47"/>
      <c r="HP118" s="47"/>
      <c r="HQ118" s="47"/>
      <c r="HR118" s="47"/>
      <c r="HS118" s="47"/>
      <c r="HT118" s="47"/>
      <c r="HU118" s="47"/>
      <c r="HV118" s="47"/>
      <c r="HW118" s="47"/>
      <c r="HX118" s="47"/>
      <c r="HY118" s="47"/>
      <c r="HZ118" s="47"/>
      <c r="IA118" s="47"/>
      <c r="IB118" s="47"/>
      <c r="IC118" s="47"/>
      <c r="ID118" s="47"/>
      <c r="IE118" s="47"/>
      <c r="IF118" s="47"/>
      <c r="IG118" s="47"/>
      <c r="IH118" s="47"/>
      <c r="II118" s="47"/>
      <c r="IJ118" s="47"/>
      <c r="IK118" s="47"/>
      <c r="IL118" s="47"/>
      <c r="IM118" s="47"/>
      <c r="IN118" s="47"/>
      <c r="IO118" s="47"/>
      <c r="IP118" s="47"/>
      <c r="IQ118" s="47"/>
      <c r="IR118" s="47"/>
      <c r="IS118" s="47"/>
      <c r="IT118" s="47"/>
      <c r="IU118" s="47"/>
      <c r="IV118" s="47"/>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F118" s="63">
        <v>8.3999999999999894E-2</v>
      </c>
      <c r="NG118" s="64">
        <v>-84260.301681991143</v>
      </c>
      <c r="NH118" s="13">
        <v>0.58499999999999996</v>
      </c>
      <c r="NI118" s="1">
        <f>Combine!A120</f>
        <v>48072</v>
      </c>
      <c r="NJ118" s="14">
        <f>Combine!F120</f>
        <v>275381.023361506</v>
      </c>
    </row>
    <row r="119" spans="1:374" ht="12.75" customHeight="1" x14ac:dyDescent="0.3">
      <c r="A119" s="59"/>
      <c r="D119" s="61"/>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c r="CT119" s="47"/>
      <c r="CU119" s="47"/>
      <c r="CV119" s="47"/>
      <c r="CW119" s="47"/>
      <c r="CX119" s="47"/>
      <c r="CY119" s="47"/>
      <c r="CZ119" s="47"/>
      <c r="DA119" s="47"/>
      <c r="DB119" s="47"/>
      <c r="DC119" s="47"/>
      <c r="DD119" s="47"/>
      <c r="DE119" s="47"/>
      <c r="DF119" s="47"/>
      <c r="DG119" s="47"/>
      <c r="DH119" s="47"/>
      <c r="DI119" s="47"/>
      <c r="DJ119" s="47"/>
      <c r="DK119" s="47"/>
      <c r="DL119" s="47"/>
      <c r="DM119" s="47"/>
      <c r="DN119" s="47"/>
      <c r="DO119" s="47"/>
      <c r="DP119" s="47"/>
      <c r="DQ119" s="47"/>
      <c r="DR119" s="47"/>
      <c r="DS119" s="47"/>
      <c r="DT119" s="47"/>
      <c r="DU119" s="47"/>
      <c r="DV119" s="47"/>
      <c r="DW119" s="47"/>
      <c r="DX119" s="47"/>
      <c r="DY119" s="47"/>
      <c r="DZ119" s="47"/>
      <c r="EA119" s="47"/>
      <c r="EB119" s="47"/>
      <c r="EC119" s="47"/>
      <c r="ED119" s="47"/>
      <c r="EE119" s="47"/>
      <c r="EF119" s="47"/>
      <c r="EG119" s="47"/>
      <c r="EH119" s="47"/>
      <c r="EI119" s="47"/>
      <c r="EJ119" s="47"/>
      <c r="EK119" s="47"/>
      <c r="EL119" s="47"/>
      <c r="EM119" s="47"/>
      <c r="EN119" s="47"/>
      <c r="EO119" s="47"/>
      <c r="EP119" s="47"/>
      <c r="EQ119" s="47"/>
      <c r="ER119" s="47"/>
      <c r="ES119" s="47"/>
      <c r="ET119" s="47"/>
      <c r="EU119" s="47"/>
      <c r="EV119" s="47"/>
      <c r="EW119" s="47"/>
      <c r="EX119" s="47"/>
      <c r="EY119" s="47"/>
      <c r="EZ119" s="47"/>
      <c r="FA119" s="47"/>
      <c r="FB119" s="47"/>
      <c r="FC119" s="47"/>
      <c r="FD119" s="47"/>
      <c r="FE119" s="47"/>
      <c r="FF119" s="47"/>
      <c r="FG119" s="47"/>
      <c r="FH119" s="47"/>
      <c r="FI119" s="47"/>
      <c r="FJ119" s="47"/>
      <c r="FK119" s="47"/>
      <c r="FL119" s="47"/>
      <c r="FM119" s="47"/>
      <c r="FN119" s="47"/>
      <c r="FO119" s="47"/>
      <c r="FP119" s="47"/>
      <c r="FQ119" s="47"/>
      <c r="FR119" s="47"/>
      <c r="FS119" s="47"/>
      <c r="FT119" s="47"/>
      <c r="FU119" s="47"/>
      <c r="FV119" s="47"/>
      <c r="FW119" s="47"/>
      <c r="FX119" s="47"/>
      <c r="FY119" s="47"/>
      <c r="FZ119" s="47"/>
      <c r="GA119" s="47"/>
      <c r="GB119" s="47"/>
      <c r="GC119" s="47"/>
      <c r="GD119" s="47"/>
      <c r="GE119" s="47"/>
      <c r="GF119" s="47"/>
      <c r="GG119" s="47"/>
      <c r="GH119" s="47"/>
      <c r="GI119" s="47"/>
      <c r="GJ119" s="47"/>
      <c r="GK119" s="47"/>
      <c r="GL119" s="47"/>
      <c r="GM119" s="47"/>
      <c r="GN119" s="47"/>
      <c r="GO119" s="47"/>
      <c r="GP119" s="47"/>
      <c r="GQ119" s="47"/>
      <c r="GR119" s="47"/>
      <c r="GS119" s="47"/>
      <c r="GT119" s="47"/>
      <c r="GU119" s="47"/>
      <c r="GV119" s="47"/>
      <c r="GW119" s="47"/>
      <c r="GX119" s="47"/>
      <c r="GY119" s="47"/>
      <c r="GZ119" s="47"/>
      <c r="HA119" s="47"/>
      <c r="HB119" s="47"/>
      <c r="HC119" s="47"/>
      <c r="HD119" s="47"/>
      <c r="HE119" s="47"/>
      <c r="HF119" s="47"/>
      <c r="HG119" s="47"/>
      <c r="HH119" s="47"/>
      <c r="HI119" s="47"/>
      <c r="HJ119" s="47"/>
      <c r="HK119" s="47"/>
      <c r="HL119" s="47"/>
      <c r="HM119" s="47"/>
      <c r="HN119" s="47"/>
      <c r="HO119" s="47"/>
      <c r="HP119" s="47"/>
      <c r="HQ119" s="47"/>
      <c r="HR119" s="47"/>
      <c r="HS119" s="47"/>
      <c r="HT119" s="47"/>
      <c r="HU119" s="47"/>
      <c r="HV119" s="47"/>
      <c r="HW119" s="47"/>
      <c r="HX119" s="47"/>
      <c r="HY119" s="47"/>
      <c r="HZ119" s="47"/>
      <c r="IA119" s="47"/>
      <c r="IB119" s="47"/>
      <c r="IC119" s="47"/>
      <c r="ID119" s="47"/>
      <c r="IE119" s="47"/>
      <c r="IF119" s="47"/>
      <c r="IG119" s="47"/>
      <c r="IH119" s="47"/>
      <c r="II119" s="47"/>
      <c r="IJ119" s="47"/>
      <c r="IK119" s="47"/>
      <c r="IL119" s="47"/>
      <c r="IM119" s="47"/>
      <c r="IN119" s="47"/>
      <c r="IO119" s="47"/>
      <c r="IP119" s="47"/>
      <c r="IQ119" s="47"/>
      <c r="IR119" s="47"/>
      <c r="IS119" s="47"/>
      <c r="IT119" s="47"/>
      <c r="IU119" s="47"/>
      <c r="IV119" s="47"/>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F119" s="63">
        <v>8.4999999999999895E-2</v>
      </c>
      <c r="NG119" s="64">
        <v>-88148.794916761006</v>
      </c>
      <c r="NH119" s="13">
        <v>0.59</v>
      </c>
      <c r="NI119" s="1">
        <f>Combine!A121</f>
        <v>48225</v>
      </c>
      <c r="NJ119" s="14">
        <f>Combine!F121</f>
        <v>137493.933810316</v>
      </c>
    </row>
    <row r="120" spans="1:374" ht="12.75" customHeight="1" x14ac:dyDescent="0.3">
      <c r="A120" s="59"/>
      <c r="D120" s="61"/>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c r="CT120" s="47"/>
      <c r="CU120" s="47"/>
      <c r="CV120" s="47"/>
      <c r="CW120" s="47"/>
      <c r="CX120" s="47"/>
      <c r="CY120" s="47"/>
      <c r="CZ120" s="47"/>
      <c r="DA120" s="47"/>
      <c r="DB120" s="47"/>
      <c r="DC120" s="47"/>
      <c r="DD120" s="47"/>
      <c r="DE120" s="47"/>
      <c r="DF120" s="47"/>
      <c r="DG120" s="47"/>
      <c r="DH120" s="47"/>
      <c r="DI120" s="47"/>
      <c r="DJ120" s="47"/>
      <c r="DK120" s="47"/>
      <c r="DL120" s="47"/>
      <c r="DM120" s="47"/>
      <c r="DN120" s="47"/>
      <c r="DO120" s="47"/>
      <c r="DP120" s="47"/>
      <c r="DQ120" s="47"/>
      <c r="DR120" s="47"/>
      <c r="DS120" s="47"/>
      <c r="DT120" s="47"/>
      <c r="DU120" s="47"/>
      <c r="DV120" s="47"/>
      <c r="DW120" s="47"/>
      <c r="DX120" s="47"/>
      <c r="DY120" s="47"/>
      <c r="DZ120" s="47"/>
      <c r="EA120" s="47"/>
      <c r="EB120" s="47"/>
      <c r="EC120" s="47"/>
      <c r="ED120" s="47"/>
      <c r="EE120" s="47"/>
      <c r="EF120" s="47"/>
      <c r="EG120" s="47"/>
      <c r="EH120" s="47"/>
      <c r="EI120" s="47"/>
      <c r="EJ120" s="47"/>
      <c r="EK120" s="47"/>
      <c r="EL120" s="47"/>
      <c r="EM120" s="47"/>
      <c r="EN120" s="47"/>
      <c r="EO120" s="47"/>
      <c r="EP120" s="47"/>
      <c r="EQ120" s="47"/>
      <c r="ER120" s="47"/>
      <c r="ES120" s="47"/>
      <c r="ET120" s="47"/>
      <c r="EU120" s="47"/>
      <c r="EV120" s="47"/>
      <c r="EW120" s="47"/>
      <c r="EX120" s="47"/>
      <c r="EY120" s="47"/>
      <c r="EZ120" s="47"/>
      <c r="FA120" s="47"/>
      <c r="FB120" s="47"/>
      <c r="FC120" s="47"/>
      <c r="FD120" s="47"/>
      <c r="FE120" s="47"/>
      <c r="FF120" s="47"/>
      <c r="FG120" s="47"/>
      <c r="FH120" s="47"/>
      <c r="FI120" s="47"/>
      <c r="FJ120" s="47"/>
      <c r="FK120" s="47"/>
      <c r="FL120" s="47"/>
      <c r="FM120" s="47"/>
      <c r="FN120" s="47"/>
      <c r="FO120" s="47"/>
      <c r="FP120" s="47"/>
      <c r="FQ120" s="47"/>
      <c r="FR120" s="47"/>
      <c r="FS120" s="47"/>
      <c r="FT120" s="47"/>
      <c r="FU120" s="47"/>
      <c r="FV120" s="47"/>
      <c r="FW120" s="47"/>
      <c r="FX120" s="47"/>
      <c r="FY120" s="47"/>
      <c r="FZ120" s="47"/>
      <c r="GA120" s="47"/>
      <c r="GB120" s="47"/>
      <c r="GC120" s="47"/>
      <c r="GD120" s="47"/>
      <c r="GE120" s="47"/>
      <c r="GF120" s="47"/>
      <c r="GG120" s="47"/>
      <c r="GH120" s="47"/>
      <c r="GI120" s="47"/>
      <c r="GJ120" s="47"/>
      <c r="GK120" s="47"/>
      <c r="GL120" s="47"/>
      <c r="GM120" s="47"/>
      <c r="GN120" s="47"/>
      <c r="GO120" s="47"/>
      <c r="GP120" s="47"/>
      <c r="GQ120" s="47"/>
      <c r="GR120" s="47"/>
      <c r="GS120" s="47"/>
      <c r="GT120" s="47"/>
      <c r="GU120" s="47"/>
      <c r="GV120" s="47"/>
      <c r="GW120" s="47"/>
      <c r="GX120" s="47"/>
      <c r="GY120" s="47"/>
      <c r="GZ120" s="47"/>
      <c r="HA120" s="47"/>
      <c r="HB120" s="47"/>
      <c r="HC120" s="47"/>
      <c r="HD120" s="47"/>
      <c r="HE120" s="47"/>
      <c r="HF120" s="47"/>
      <c r="HG120" s="47"/>
      <c r="HH120" s="47"/>
      <c r="HI120" s="47"/>
      <c r="HJ120" s="47"/>
      <c r="HK120" s="47"/>
      <c r="HL120" s="47"/>
      <c r="HM120" s="47"/>
      <c r="HN120" s="47"/>
      <c r="HO120" s="47"/>
      <c r="HP120" s="47"/>
      <c r="HQ120" s="47"/>
      <c r="HR120" s="47"/>
      <c r="HS120" s="47"/>
      <c r="HT120" s="47"/>
      <c r="HU120" s="47"/>
      <c r="HV120" s="47"/>
      <c r="HW120" s="47"/>
      <c r="HX120" s="47"/>
      <c r="HY120" s="47"/>
      <c r="HZ120" s="47"/>
      <c r="IA120" s="47"/>
      <c r="IB120" s="47"/>
      <c r="IC120" s="47"/>
      <c r="ID120" s="47"/>
      <c r="IE120" s="47"/>
      <c r="IF120" s="47"/>
      <c r="IG120" s="47"/>
      <c r="IH120" s="47"/>
      <c r="II120" s="47"/>
      <c r="IJ120" s="47"/>
      <c r="IK120" s="47"/>
      <c r="IL120" s="47"/>
      <c r="IM120" s="47"/>
      <c r="IN120" s="47"/>
      <c r="IO120" s="47"/>
      <c r="IP120" s="47"/>
      <c r="IQ120" s="47"/>
      <c r="IR120" s="47"/>
      <c r="IS120" s="47"/>
      <c r="IT120" s="47"/>
      <c r="IU120" s="47"/>
      <c r="IV120" s="47"/>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F120" s="63">
        <v>8.5999999999999896E-2</v>
      </c>
      <c r="NG120" s="64">
        <v>-92042.859222125117</v>
      </c>
      <c r="NH120" s="13">
        <v>0.59499999999999997</v>
      </c>
      <c r="NI120" s="1">
        <f>Combine!A122</f>
        <v>48034</v>
      </c>
      <c r="NJ120" s="14">
        <f>Combine!F122</f>
        <v>325467.21105200303</v>
      </c>
    </row>
    <row r="121" spans="1:374" ht="12.75" customHeight="1" x14ac:dyDescent="0.3">
      <c r="A121" s="59"/>
      <c r="D121" s="61"/>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c r="CT121" s="47"/>
      <c r="CU121" s="47"/>
      <c r="CV121" s="47"/>
      <c r="CW121" s="47"/>
      <c r="CX121" s="47"/>
      <c r="CY121" s="47"/>
      <c r="CZ121" s="47"/>
      <c r="DA121" s="47"/>
      <c r="DB121" s="47"/>
      <c r="DC121" s="47"/>
      <c r="DD121" s="47"/>
      <c r="DE121" s="47"/>
      <c r="DF121" s="47"/>
      <c r="DG121" s="47"/>
      <c r="DH121" s="47"/>
      <c r="DI121" s="47"/>
      <c r="DJ121" s="47"/>
      <c r="DK121" s="47"/>
      <c r="DL121" s="47"/>
      <c r="DM121" s="47"/>
      <c r="DN121" s="47"/>
      <c r="DO121" s="47"/>
      <c r="DP121" s="47"/>
      <c r="DQ121" s="47"/>
      <c r="DR121" s="47"/>
      <c r="DS121" s="47"/>
      <c r="DT121" s="47"/>
      <c r="DU121" s="47"/>
      <c r="DV121" s="47"/>
      <c r="DW121" s="47"/>
      <c r="DX121" s="47"/>
      <c r="DY121" s="47"/>
      <c r="DZ121" s="47"/>
      <c r="EA121" s="47"/>
      <c r="EB121" s="47"/>
      <c r="EC121" s="47"/>
      <c r="ED121" s="47"/>
      <c r="EE121" s="47"/>
      <c r="EF121" s="47"/>
      <c r="EG121" s="47"/>
      <c r="EH121" s="47"/>
      <c r="EI121" s="47"/>
      <c r="EJ121" s="47"/>
      <c r="EK121" s="47"/>
      <c r="EL121" s="47"/>
      <c r="EM121" s="47"/>
      <c r="EN121" s="47"/>
      <c r="EO121" s="47"/>
      <c r="EP121" s="47"/>
      <c r="EQ121" s="47"/>
      <c r="ER121" s="47"/>
      <c r="ES121" s="47"/>
      <c r="ET121" s="47"/>
      <c r="EU121" s="47"/>
      <c r="EV121" s="47"/>
      <c r="EW121" s="47"/>
      <c r="EX121" s="47"/>
      <c r="EY121" s="47"/>
      <c r="EZ121" s="47"/>
      <c r="FA121" s="47"/>
      <c r="FB121" s="47"/>
      <c r="FC121" s="47"/>
      <c r="FD121" s="47"/>
      <c r="FE121" s="47"/>
      <c r="FF121" s="47"/>
      <c r="FG121" s="47"/>
      <c r="FH121" s="47"/>
      <c r="FI121" s="47"/>
      <c r="FJ121" s="47"/>
      <c r="FK121" s="47"/>
      <c r="FL121" s="47"/>
      <c r="FM121" s="47"/>
      <c r="FN121" s="47"/>
      <c r="FO121" s="47"/>
      <c r="FP121" s="47"/>
      <c r="FQ121" s="47"/>
      <c r="FR121" s="47"/>
      <c r="FS121" s="47"/>
      <c r="FT121" s="47"/>
      <c r="FU121" s="47"/>
      <c r="FV121" s="47"/>
      <c r="FW121" s="47"/>
      <c r="FX121" s="47"/>
      <c r="FY121" s="47"/>
      <c r="FZ121" s="47"/>
      <c r="GA121" s="47"/>
      <c r="GB121" s="47"/>
      <c r="GC121" s="47"/>
      <c r="GD121" s="47"/>
      <c r="GE121" s="47"/>
      <c r="GF121" s="47"/>
      <c r="GG121" s="47"/>
      <c r="GH121" s="47"/>
      <c r="GI121" s="47"/>
      <c r="GJ121" s="47"/>
      <c r="GK121" s="47"/>
      <c r="GL121" s="47"/>
      <c r="GM121" s="47"/>
      <c r="GN121" s="47"/>
      <c r="GO121" s="47"/>
      <c r="GP121" s="47"/>
      <c r="GQ121" s="47"/>
      <c r="GR121" s="47"/>
      <c r="GS121" s="47"/>
      <c r="GT121" s="47"/>
      <c r="GU121" s="47"/>
      <c r="GV121" s="47"/>
      <c r="GW121" s="47"/>
      <c r="GX121" s="47"/>
      <c r="GY121" s="47"/>
      <c r="GZ121" s="47"/>
      <c r="HA121" s="47"/>
      <c r="HB121" s="47"/>
      <c r="HC121" s="47"/>
      <c r="HD121" s="47"/>
      <c r="HE121" s="47"/>
      <c r="HF121" s="47"/>
      <c r="HG121" s="47"/>
      <c r="HH121" s="47"/>
      <c r="HI121" s="47"/>
      <c r="HJ121" s="47"/>
      <c r="HK121" s="47"/>
      <c r="HL121" s="47"/>
      <c r="HM121" s="47"/>
      <c r="HN121" s="47"/>
      <c r="HO121" s="47"/>
      <c r="HP121" s="47"/>
      <c r="HQ121" s="47"/>
      <c r="HR121" s="47"/>
      <c r="HS121" s="47"/>
      <c r="HT121" s="47"/>
      <c r="HU121" s="47"/>
      <c r="HV121" s="47"/>
      <c r="HW121" s="47"/>
      <c r="HX121" s="47"/>
      <c r="HY121" s="47"/>
      <c r="HZ121" s="47"/>
      <c r="IA121" s="47"/>
      <c r="IB121" s="47"/>
      <c r="IC121" s="47"/>
      <c r="ID121" s="47"/>
      <c r="IE121" s="47"/>
      <c r="IF121" s="47"/>
      <c r="IG121" s="47"/>
      <c r="IH121" s="47"/>
      <c r="II121" s="47"/>
      <c r="IJ121" s="47"/>
      <c r="IK121" s="47"/>
      <c r="IL121" s="47"/>
      <c r="IM121" s="47"/>
      <c r="IN121" s="47"/>
      <c r="IO121" s="47"/>
      <c r="IP121" s="47"/>
      <c r="IQ121" s="47"/>
      <c r="IR121" s="47"/>
      <c r="IS121" s="47"/>
      <c r="IT121" s="47"/>
      <c r="IU121" s="47"/>
      <c r="IV121" s="47"/>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F121" s="63">
        <v>8.6999999999999897E-2</v>
      </c>
      <c r="NG121" s="64">
        <v>-95942.374293180546</v>
      </c>
      <c r="NH121" s="13">
        <v>0.6</v>
      </c>
      <c r="NI121" s="1">
        <f>Combine!A123</f>
        <v>49348</v>
      </c>
      <c r="NJ121" s="14">
        <f>Combine!F123</f>
        <v>283161.93227629602</v>
      </c>
    </row>
    <row r="122" spans="1:374" ht="12.75" customHeight="1" x14ac:dyDescent="0.3">
      <c r="A122" s="59"/>
      <c r="D122" s="61"/>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c r="CT122" s="47"/>
      <c r="CU122" s="47"/>
      <c r="CV122" s="47"/>
      <c r="CW122" s="47"/>
      <c r="CX122" s="47"/>
      <c r="CY122" s="47"/>
      <c r="CZ122" s="47"/>
      <c r="DA122" s="47"/>
      <c r="DB122" s="47"/>
      <c r="DC122" s="47"/>
      <c r="DD122" s="47"/>
      <c r="DE122" s="47"/>
      <c r="DF122" s="47"/>
      <c r="DG122" s="47"/>
      <c r="DH122" s="47"/>
      <c r="DI122" s="47"/>
      <c r="DJ122" s="47"/>
      <c r="DK122" s="47"/>
      <c r="DL122" s="47"/>
      <c r="DM122" s="47"/>
      <c r="DN122" s="47"/>
      <c r="DO122" s="47"/>
      <c r="DP122" s="47"/>
      <c r="DQ122" s="47"/>
      <c r="DR122" s="47"/>
      <c r="DS122" s="47"/>
      <c r="DT122" s="47"/>
      <c r="DU122" s="47"/>
      <c r="DV122" s="47"/>
      <c r="DW122" s="47"/>
      <c r="DX122" s="47"/>
      <c r="DY122" s="47"/>
      <c r="DZ122" s="47"/>
      <c r="EA122" s="47"/>
      <c r="EB122" s="47"/>
      <c r="EC122" s="47"/>
      <c r="ED122" s="47"/>
      <c r="EE122" s="47"/>
      <c r="EF122" s="47"/>
      <c r="EG122" s="47"/>
      <c r="EH122" s="47"/>
      <c r="EI122" s="47"/>
      <c r="EJ122" s="47"/>
      <c r="EK122" s="47"/>
      <c r="EL122" s="47"/>
      <c r="EM122" s="47"/>
      <c r="EN122" s="47"/>
      <c r="EO122" s="47"/>
      <c r="EP122" s="47"/>
      <c r="EQ122" s="47"/>
      <c r="ER122" s="47"/>
      <c r="ES122" s="47"/>
      <c r="ET122" s="47"/>
      <c r="EU122" s="47"/>
      <c r="EV122" s="47"/>
      <c r="EW122" s="47"/>
      <c r="EX122" s="47"/>
      <c r="EY122" s="47"/>
      <c r="EZ122" s="47"/>
      <c r="FA122" s="47"/>
      <c r="FB122" s="47"/>
      <c r="FC122" s="47"/>
      <c r="FD122" s="47"/>
      <c r="FE122" s="47"/>
      <c r="FF122" s="47"/>
      <c r="FG122" s="47"/>
      <c r="FH122" s="47"/>
      <c r="FI122" s="47"/>
      <c r="FJ122" s="47"/>
      <c r="FK122" s="47"/>
      <c r="FL122" s="47"/>
      <c r="FM122" s="47"/>
      <c r="FN122" s="47"/>
      <c r="FO122" s="47"/>
      <c r="FP122" s="47"/>
      <c r="FQ122" s="47"/>
      <c r="FR122" s="47"/>
      <c r="FS122" s="47"/>
      <c r="FT122" s="47"/>
      <c r="FU122" s="47"/>
      <c r="FV122" s="47"/>
      <c r="FW122" s="47"/>
      <c r="FX122" s="47"/>
      <c r="FY122" s="47"/>
      <c r="FZ122" s="47"/>
      <c r="GA122" s="47"/>
      <c r="GB122" s="47"/>
      <c r="GC122" s="47"/>
      <c r="GD122" s="47"/>
      <c r="GE122" s="47"/>
      <c r="GF122" s="47"/>
      <c r="GG122" s="47"/>
      <c r="GH122" s="47"/>
      <c r="GI122" s="47"/>
      <c r="GJ122" s="47"/>
      <c r="GK122" s="47"/>
      <c r="GL122" s="47"/>
      <c r="GM122" s="47"/>
      <c r="GN122" s="47"/>
      <c r="GO122" s="47"/>
      <c r="GP122" s="47"/>
      <c r="GQ122" s="47"/>
      <c r="GR122" s="47"/>
      <c r="GS122" s="47"/>
      <c r="GT122" s="47"/>
      <c r="GU122" s="47"/>
      <c r="GV122" s="47"/>
      <c r="GW122" s="47"/>
      <c r="GX122" s="47"/>
      <c r="GY122" s="47"/>
      <c r="GZ122" s="47"/>
      <c r="HA122" s="47"/>
      <c r="HB122" s="47"/>
      <c r="HC122" s="47"/>
      <c r="HD122" s="47"/>
      <c r="HE122" s="47"/>
      <c r="HF122" s="47"/>
      <c r="HG122" s="47"/>
      <c r="HH122" s="47"/>
      <c r="HI122" s="47"/>
      <c r="HJ122" s="47"/>
      <c r="HK122" s="47"/>
      <c r="HL122" s="47"/>
      <c r="HM122" s="47"/>
      <c r="HN122" s="47"/>
      <c r="HO122" s="47"/>
      <c r="HP122" s="47"/>
      <c r="HQ122" s="47"/>
      <c r="HR122" s="47"/>
      <c r="HS122" s="47"/>
      <c r="HT122" s="47"/>
      <c r="HU122" s="47"/>
      <c r="HV122" s="47"/>
      <c r="HW122" s="47"/>
      <c r="HX122" s="47"/>
      <c r="HY122" s="47"/>
      <c r="HZ122" s="47"/>
      <c r="IA122" s="47"/>
      <c r="IB122" s="47"/>
      <c r="IC122" s="47"/>
      <c r="ID122" s="47"/>
      <c r="IE122" s="47"/>
      <c r="IF122" s="47"/>
      <c r="IG122" s="47"/>
      <c r="IH122" s="47"/>
      <c r="II122" s="47"/>
      <c r="IJ122" s="47"/>
      <c r="IK122" s="47"/>
      <c r="IL122" s="47"/>
      <c r="IM122" s="47"/>
      <c r="IN122" s="47"/>
      <c r="IO122" s="47"/>
      <c r="IP122" s="47"/>
      <c r="IQ122" s="47"/>
      <c r="IR122" s="47"/>
      <c r="IS122" s="47"/>
      <c r="IT122" s="47"/>
      <c r="IU122" s="47"/>
      <c r="IV122" s="47"/>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F122" s="63">
        <v>8.7999999999999898E-2</v>
      </c>
      <c r="NG122" s="64">
        <v>-99847.22129231802</v>
      </c>
      <c r="NH122" s="13">
        <v>0.60499999999999998</v>
      </c>
      <c r="NI122" s="1">
        <f>Combine!A124</f>
        <v>48383</v>
      </c>
      <c r="NJ122" s="14">
        <f>Combine!F124</f>
        <v>361784.96738643502</v>
      </c>
    </row>
    <row r="123" spans="1:374" ht="12.75" customHeight="1" x14ac:dyDescent="0.3">
      <c r="A123" s="59"/>
      <c r="D123" s="61"/>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c r="CT123" s="47"/>
      <c r="CU123" s="47"/>
      <c r="CV123" s="47"/>
      <c r="CW123" s="47"/>
      <c r="CX123" s="47"/>
      <c r="CY123" s="47"/>
      <c r="CZ123" s="47"/>
      <c r="DA123" s="47"/>
      <c r="DB123" s="47"/>
      <c r="DC123" s="47"/>
      <c r="DD123" s="47"/>
      <c r="DE123" s="47"/>
      <c r="DF123" s="47"/>
      <c r="DG123" s="47"/>
      <c r="DH123" s="47"/>
      <c r="DI123" s="47"/>
      <c r="DJ123" s="47"/>
      <c r="DK123" s="47"/>
      <c r="DL123" s="47"/>
      <c r="DM123" s="47"/>
      <c r="DN123" s="47"/>
      <c r="DO123" s="47"/>
      <c r="DP123" s="47"/>
      <c r="DQ123" s="47"/>
      <c r="DR123" s="47"/>
      <c r="DS123" s="47"/>
      <c r="DT123" s="47"/>
      <c r="DU123" s="47"/>
      <c r="DV123" s="47"/>
      <c r="DW123" s="47"/>
      <c r="DX123" s="47"/>
      <c r="DY123" s="47"/>
      <c r="DZ123" s="47"/>
      <c r="EA123" s="47"/>
      <c r="EB123" s="47"/>
      <c r="EC123" s="47"/>
      <c r="ED123" s="47"/>
      <c r="EE123" s="47"/>
      <c r="EF123" s="47"/>
      <c r="EG123" s="47"/>
      <c r="EH123" s="47"/>
      <c r="EI123" s="47"/>
      <c r="EJ123" s="47"/>
      <c r="EK123" s="47"/>
      <c r="EL123" s="47"/>
      <c r="EM123" s="47"/>
      <c r="EN123" s="47"/>
      <c r="EO123" s="47"/>
      <c r="EP123" s="47"/>
      <c r="EQ123" s="47"/>
      <c r="ER123" s="47"/>
      <c r="ES123" s="47"/>
      <c r="ET123" s="47"/>
      <c r="EU123" s="47"/>
      <c r="EV123" s="47"/>
      <c r="EW123" s="47"/>
      <c r="EX123" s="47"/>
      <c r="EY123" s="47"/>
      <c r="EZ123" s="47"/>
      <c r="FA123" s="47"/>
      <c r="FB123" s="47"/>
      <c r="FC123" s="47"/>
      <c r="FD123" s="47"/>
      <c r="FE123" s="47"/>
      <c r="FF123" s="47"/>
      <c r="FG123" s="47"/>
      <c r="FH123" s="47"/>
      <c r="FI123" s="47"/>
      <c r="FJ123" s="47"/>
      <c r="FK123" s="47"/>
      <c r="FL123" s="47"/>
      <c r="FM123" s="47"/>
      <c r="FN123" s="47"/>
      <c r="FO123" s="47"/>
      <c r="FP123" s="47"/>
      <c r="FQ123" s="47"/>
      <c r="FR123" s="47"/>
      <c r="FS123" s="47"/>
      <c r="FT123" s="47"/>
      <c r="FU123" s="47"/>
      <c r="FV123" s="47"/>
      <c r="FW123" s="47"/>
      <c r="FX123" s="47"/>
      <c r="FY123" s="47"/>
      <c r="FZ123" s="47"/>
      <c r="GA123" s="47"/>
      <c r="GB123" s="47"/>
      <c r="GC123" s="47"/>
      <c r="GD123" s="47"/>
      <c r="GE123" s="47"/>
      <c r="GF123" s="47"/>
      <c r="GG123" s="47"/>
      <c r="GH123" s="47"/>
      <c r="GI123" s="47"/>
      <c r="GJ123" s="47"/>
      <c r="GK123" s="47"/>
      <c r="GL123" s="47"/>
      <c r="GM123" s="47"/>
      <c r="GN123" s="47"/>
      <c r="GO123" s="47"/>
      <c r="GP123" s="47"/>
      <c r="GQ123" s="47"/>
      <c r="GR123" s="47"/>
      <c r="GS123" s="47"/>
      <c r="GT123" s="47"/>
      <c r="GU123" s="47"/>
      <c r="GV123" s="47"/>
      <c r="GW123" s="47"/>
      <c r="GX123" s="47"/>
      <c r="GY123" s="47"/>
      <c r="GZ123" s="47"/>
      <c r="HA123" s="47"/>
      <c r="HB123" s="47"/>
      <c r="HC123" s="47"/>
      <c r="HD123" s="47"/>
      <c r="HE123" s="47"/>
      <c r="HF123" s="47"/>
      <c r="HG123" s="47"/>
      <c r="HH123" s="47"/>
      <c r="HI123" s="47"/>
      <c r="HJ123" s="47"/>
      <c r="HK123" s="47"/>
      <c r="HL123" s="47"/>
      <c r="HM123" s="47"/>
      <c r="HN123" s="47"/>
      <c r="HO123" s="47"/>
      <c r="HP123" s="47"/>
      <c r="HQ123" s="47"/>
      <c r="HR123" s="47"/>
      <c r="HS123" s="47"/>
      <c r="HT123" s="47"/>
      <c r="HU123" s="47"/>
      <c r="HV123" s="47"/>
      <c r="HW123" s="47"/>
      <c r="HX123" s="47"/>
      <c r="HY123" s="47"/>
      <c r="HZ123" s="47"/>
      <c r="IA123" s="47"/>
      <c r="IB123" s="47"/>
      <c r="IC123" s="47"/>
      <c r="ID123" s="47"/>
      <c r="IE123" s="47"/>
      <c r="IF123" s="47"/>
      <c r="IG123" s="47"/>
      <c r="IH123" s="47"/>
      <c r="II123" s="47"/>
      <c r="IJ123" s="47"/>
      <c r="IK123" s="47"/>
      <c r="IL123" s="47"/>
      <c r="IM123" s="47"/>
      <c r="IN123" s="47"/>
      <c r="IO123" s="47"/>
      <c r="IP123" s="47"/>
      <c r="IQ123" s="47"/>
      <c r="IR123" s="47"/>
      <c r="IS123" s="47"/>
      <c r="IT123" s="47"/>
      <c r="IU123" s="47"/>
      <c r="IV123" s="47"/>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F123" s="63">
        <v>8.8999999999999899E-2</v>
      </c>
      <c r="NG123" s="64">
        <v>-103757.28286078053</v>
      </c>
      <c r="NH123" s="13">
        <v>0.61</v>
      </c>
      <c r="NI123" s="1">
        <f>Combine!A125</f>
        <v>48017</v>
      </c>
      <c r="NJ123" s="14">
        <f>Combine!F125</f>
        <v>253649.749770931</v>
      </c>
    </row>
    <row r="124" spans="1:374" ht="12.75" customHeight="1" x14ac:dyDescent="0.3">
      <c r="A124" s="59"/>
      <c r="D124" s="61"/>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c r="CT124" s="47"/>
      <c r="CU124" s="47"/>
      <c r="CV124" s="47"/>
      <c r="CW124" s="47"/>
      <c r="CX124" s="47"/>
      <c r="CY124" s="47"/>
      <c r="CZ124" s="47"/>
      <c r="DA124" s="47"/>
      <c r="DB124" s="47"/>
      <c r="DC124" s="47"/>
      <c r="DD124" s="47"/>
      <c r="DE124" s="47"/>
      <c r="DF124" s="47"/>
      <c r="DG124" s="47"/>
      <c r="DH124" s="47"/>
      <c r="DI124" s="47"/>
      <c r="DJ124" s="47"/>
      <c r="DK124" s="47"/>
      <c r="DL124" s="47"/>
      <c r="DM124" s="47"/>
      <c r="DN124" s="47"/>
      <c r="DO124" s="47"/>
      <c r="DP124" s="47"/>
      <c r="DQ124" s="47"/>
      <c r="DR124" s="47"/>
      <c r="DS124" s="47"/>
      <c r="DT124" s="47"/>
      <c r="DU124" s="47"/>
      <c r="DV124" s="47"/>
      <c r="DW124" s="47"/>
      <c r="DX124" s="47"/>
      <c r="DY124" s="47"/>
      <c r="DZ124" s="47"/>
      <c r="EA124" s="47"/>
      <c r="EB124" s="47"/>
      <c r="EC124" s="47"/>
      <c r="ED124" s="47"/>
      <c r="EE124" s="47"/>
      <c r="EF124" s="47"/>
      <c r="EG124" s="47"/>
      <c r="EH124" s="47"/>
      <c r="EI124" s="47"/>
      <c r="EJ124" s="47"/>
      <c r="EK124" s="47"/>
      <c r="EL124" s="47"/>
      <c r="EM124" s="47"/>
      <c r="EN124" s="47"/>
      <c r="EO124" s="47"/>
      <c r="EP124" s="47"/>
      <c r="EQ124" s="47"/>
      <c r="ER124" s="47"/>
      <c r="ES124" s="47"/>
      <c r="ET124" s="47"/>
      <c r="EU124" s="47"/>
      <c r="EV124" s="47"/>
      <c r="EW124" s="47"/>
      <c r="EX124" s="47"/>
      <c r="EY124" s="47"/>
      <c r="EZ124" s="47"/>
      <c r="FA124" s="47"/>
      <c r="FB124" s="47"/>
      <c r="FC124" s="47"/>
      <c r="FD124" s="47"/>
      <c r="FE124" s="47"/>
      <c r="FF124" s="47"/>
      <c r="FG124" s="47"/>
      <c r="FH124" s="47"/>
      <c r="FI124" s="47"/>
      <c r="FJ124" s="47"/>
      <c r="FK124" s="47"/>
      <c r="FL124" s="47"/>
      <c r="FM124" s="47"/>
      <c r="FN124" s="47"/>
      <c r="FO124" s="47"/>
      <c r="FP124" s="47"/>
      <c r="FQ124" s="47"/>
      <c r="FR124" s="47"/>
      <c r="FS124" s="47"/>
      <c r="FT124" s="47"/>
      <c r="FU124" s="47"/>
      <c r="FV124" s="47"/>
      <c r="FW124" s="47"/>
      <c r="FX124" s="47"/>
      <c r="FY124" s="47"/>
      <c r="FZ124" s="47"/>
      <c r="GA124" s="47"/>
      <c r="GB124" s="47"/>
      <c r="GC124" s="47"/>
      <c r="GD124" s="47"/>
      <c r="GE124" s="47"/>
      <c r="GF124" s="47"/>
      <c r="GG124" s="47"/>
      <c r="GH124" s="47"/>
      <c r="GI124" s="47"/>
      <c r="GJ124" s="47"/>
      <c r="GK124" s="47"/>
      <c r="GL124" s="47"/>
      <c r="GM124" s="47"/>
      <c r="GN124" s="47"/>
      <c r="GO124" s="47"/>
      <c r="GP124" s="47"/>
      <c r="GQ124" s="47"/>
      <c r="GR124" s="47"/>
      <c r="GS124" s="47"/>
      <c r="GT124" s="47"/>
      <c r="GU124" s="47"/>
      <c r="GV124" s="47"/>
      <c r="GW124" s="47"/>
      <c r="GX124" s="47"/>
      <c r="GY124" s="47"/>
      <c r="GZ124" s="47"/>
      <c r="HA124" s="47"/>
      <c r="HB124" s="47"/>
      <c r="HC124" s="47"/>
      <c r="HD124" s="47"/>
      <c r="HE124" s="47"/>
      <c r="HF124" s="47"/>
      <c r="HG124" s="47"/>
      <c r="HH124" s="47"/>
      <c r="HI124" s="47"/>
      <c r="HJ124" s="47"/>
      <c r="HK124" s="47"/>
      <c r="HL124" s="47"/>
      <c r="HM124" s="47"/>
      <c r="HN124" s="47"/>
      <c r="HO124" s="47"/>
      <c r="HP124" s="47"/>
      <c r="HQ124" s="47"/>
      <c r="HR124" s="47"/>
      <c r="HS124" s="47"/>
      <c r="HT124" s="47"/>
      <c r="HU124" s="47"/>
      <c r="HV124" s="47"/>
      <c r="HW124" s="47"/>
      <c r="HX124" s="47"/>
      <c r="HY124" s="47"/>
      <c r="HZ124" s="47"/>
      <c r="IA124" s="47"/>
      <c r="IB124" s="47"/>
      <c r="IC124" s="47"/>
      <c r="ID124" s="47"/>
      <c r="IE124" s="47"/>
      <c r="IF124" s="47"/>
      <c r="IG124" s="47"/>
      <c r="IH124" s="47"/>
      <c r="II124" s="47"/>
      <c r="IJ124" s="47"/>
      <c r="IK124" s="47"/>
      <c r="IL124" s="47"/>
      <c r="IM124" s="47"/>
      <c r="IN124" s="47"/>
      <c r="IO124" s="47"/>
      <c r="IP124" s="47"/>
      <c r="IQ124" s="47"/>
      <c r="IR124" s="47"/>
      <c r="IS124" s="47"/>
      <c r="IT124" s="47"/>
      <c r="IU124" s="47"/>
      <c r="IV124" s="47"/>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F124" s="63">
        <v>8.99999999999999E-2</v>
      </c>
      <c r="NG124" s="64">
        <v>-107672.44312914055</v>
      </c>
      <c r="NH124" s="13">
        <v>0.61499999999999999</v>
      </c>
      <c r="NI124" s="1">
        <f>Combine!A126</f>
        <v>48166</v>
      </c>
      <c r="NJ124" s="14">
        <f>Combine!F126</f>
        <v>189239.476675304</v>
      </c>
    </row>
    <row r="125" spans="1:374" ht="12.75" customHeight="1" x14ac:dyDescent="0.3">
      <c r="A125" s="59"/>
      <c r="D125" s="61"/>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c r="CT125" s="47"/>
      <c r="CU125" s="47"/>
      <c r="CV125" s="47"/>
      <c r="CW125" s="47"/>
      <c r="CX125" s="47"/>
      <c r="CY125" s="47"/>
      <c r="CZ125" s="47"/>
      <c r="DA125" s="47"/>
      <c r="DB125" s="47"/>
      <c r="DC125" s="47"/>
      <c r="DD125" s="47"/>
      <c r="DE125" s="47"/>
      <c r="DF125" s="47"/>
      <c r="DG125" s="47"/>
      <c r="DH125" s="47"/>
      <c r="DI125" s="47"/>
      <c r="DJ125" s="47"/>
      <c r="DK125" s="47"/>
      <c r="DL125" s="47"/>
      <c r="DM125" s="47"/>
      <c r="DN125" s="47"/>
      <c r="DO125" s="47"/>
      <c r="DP125" s="47"/>
      <c r="DQ125" s="47"/>
      <c r="DR125" s="47"/>
      <c r="DS125" s="47"/>
      <c r="DT125" s="47"/>
      <c r="DU125" s="47"/>
      <c r="DV125" s="47"/>
      <c r="DW125" s="47"/>
      <c r="DX125" s="47"/>
      <c r="DY125" s="47"/>
      <c r="DZ125" s="47"/>
      <c r="EA125" s="47"/>
      <c r="EB125" s="47"/>
      <c r="EC125" s="47"/>
      <c r="ED125" s="47"/>
      <c r="EE125" s="47"/>
      <c r="EF125" s="47"/>
      <c r="EG125" s="47"/>
      <c r="EH125" s="47"/>
      <c r="EI125" s="47"/>
      <c r="EJ125" s="47"/>
      <c r="EK125" s="47"/>
      <c r="EL125" s="47"/>
      <c r="EM125" s="47"/>
      <c r="EN125" s="47"/>
      <c r="EO125" s="47"/>
      <c r="EP125" s="47"/>
      <c r="EQ125" s="47"/>
      <c r="ER125" s="47"/>
      <c r="ES125" s="47"/>
      <c r="ET125" s="47"/>
      <c r="EU125" s="47"/>
      <c r="EV125" s="47"/>
      <c r="EW125" s="47"/>
      <c r="EX125" s="47"/>
      <c r="EY125" s="47"/>
      <c r="EZ125" s="47"/>
      <c r="FA125" s="47"/>
      <c r="FB125" s="47"/>
      <c r="FC125" s="47"/>
      <c r="FD125" s="47"/>
      <c r="FE125" s="47"/>
      <c r="FF125" s="47"/>
      <c r="FG125" s="47"/>
      <c r="FH125" s="47"/>
      <c r="FI125" s="47"/>
      <c r="FJ125" s="47"/>
      <c r="FK125" s="47"/>
      <c r="FL125" s="47"/>
      <c r="FM125" s="47"/>
      <c r="FN125" s="47"/>
      <c r="FO125" s="47"/>
      <c r="FP125" s="47"/>
      <c r="FQ125" s="47"/>
      <c r="FR125" s="47"/>
      <c r="FS125" s="47"/>
      <c r="FT125" s="47"/>
      <c r="FU125" s="47"/>
      <c r="FV125" s="47"/>
      <c r="FW125" s="47"/>
      <c r="FX125" s="47"/>
      <c r="FY125" s="47"/>
      <c r="FZ125" s="47"/>
      <c r="GA125" s="47"/>
      <c r="GB125" s="47"/>
      <c r="GC125" s="47"/>
      <c r="GD125" s="47"/>
      <c r="GE125" s="47"/>
      <c r="GF125" s="47"/>
      <c r="GG125" s="47"/>
      <c r="GH125" s="47"/>
      <c r="GI125" s="47"/>
      <c r="GJ125" s="47"/>
      <c r="GK125" s="47"/>
      <c r="GL125" s="47"/>
      <c r="GM125" s="47"/>
      <c r="GN125" s="47"/>
      <c r="GO125" s="47"/>
      <c r="GP125" s="47"/>
      <c r="GQ125" s="47"/>
      <c r="GR125" s="47"/>
      <c r="GS125" s="47"/>
      <c r="GT125" s="47"/>
      <c r="GU125" s="47"/>
      <c r="GV125" s="47"/>
      <c r="GW125" s="47"/>
      <c r="GX125" s="47"/>
      <c r="GY125" s="47"/>
      <c r="GZ125" s="47"/>
      <c r="HA125" s="47"/>
      <c r="HB125" s="47"/>
      <c r="HC125" s="47"/>
      <c r="HD125" s="47"/>
      <c r="HE125" s="47"/>
      <c r="HF125" s="47"/>
      <c r="HG125" s="47"/>
      <c r="HH125" s="47"/>
      <c r="HI125" s="47"/>
      <c r="HJ125" s="47"/>
      <c r="HK125" s="47"/>
      <c r="HL125" s="47"/>
      <c r="HM125" s="47"/>
      <c r="HN125" s="47"/>
      <c r="HO125" s="47"/>
      <c r="HP125" s="47"/>
      <c r="HQ125" s="47"/>
      <c r="HR125" s="47"/>
      <c r="HS125" s="47"/>
      <c r="HT125" s="47"/>
      <c r="HU125" s="47"/>
      <c r="HV125" s="47"/>
      <c r="HW125" s="47"/>
      <c r="HX125" s="47"/>
      <c r="HY125" s="47"/>
      <c r="HZ125" s="47"/>
      <c r="IA125" s="47"/>
      <c r="IB125" s="47"/>
      <c r="IC125" s="47"/>
      <c r="ID125" s="47"/>
      <c r="IE125" s="47"/>
      <c r="IF125" s="47"/>
      <c r="IG125" s="47"/>
      <c r="IH125" s="47"/>
      <c r="II125" s="47"/>
      <c r="IJ125" s="47"/>
      <c r="IK125" s="47"/>
      <c r="IL125" s="47"/>
      <c r="IM125" s="47"/>
      <c r="IN125" s="47"/>
      <c r="IO125" s="47"/>
      <c r="IP125" s="47"/>
      <c r="IQ125" s="47"/>
      <c r="IR125" s="47"/>
      <c r="IS125" s="47"/>
      <c r="IT125" s="47"/>
      <c r="IU125" s="47"/>
      <c r="IV125" s="47"/>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F125" s="63">
        <v>9.09999999999999E-2</v>
      </c>
      <c r="NG125" s="64">
        <v>-111592.58772668723</v>
      </c>
      <c r="NH125" s="13">
        <v>0.62</v>
      </c>
      <c r="NI125" s="1">
        <f>Combine!A127</f>
        <v>48359</v>
      </c>
      <c r="NJ125" s="14">
        <f>Combine!F127</f>
        <v>330401.02846807201</v>
      </c>
    </row>
    <row r="126" spans="1:374" ht="12.75" customHeight="1" x14ac:dyDescent="0.3">
      <c r="A126" s="59"/>
      <c r="D126" s="61"/>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c r="CT126" s="47"/>
      <c r="CU126" s="47"/>
      <c r="CV126" s="47"/>
      <c r="CW126" s="47"/>
      <c r="CX126" s="47"/>
      <c r="CY126" s="47"/>
      <c r="CZ126" s="47"/>
      <c r="DA126" s="47"/>
      <c r="DB126" s="47"/>
      <c r="DC126" s="47"/>
      <c r="DD126" s="47"/>
      <c r="DE126" s="47"/>
      <c r="DF126" s="47"/>
      <c r="DG126" s="47"/>
      <c r="DH126" s="47"/>
      <c r="DI126" s="47"/>
      <c r="DJ126" s="47"/>
      <c r="DK126" s="47"/>
      <c r="DL126" s="47"/>
      <c r="DM126" s="47"/>
      <c r="DN126" s="47"/>
      <c r="DO126" s="47"/>
      <c r="DP126" s="47"/>
      <c r="DQ126" s="47"/>
      <c r="DR126" s="47"/>
      <c r="DS126" s="47"/>
      <c r="DT126" s="47"/>
      <c r="DU126" s="47"/>
      <c r="DV126" s="47"/>
      <c r="DW126" s="47"/>
      <c r="DX126" s="47"/>
      <c r="DY126" s="47"/>
      <c r="DZ126" s="47"/>
      <c r="EA126" s="47"/>
      <c r="EB126" s="47"/>
      <c r="EC126" s="47"/>
      <c r="ED126" s="47"/>
      <c r="EE126" s="47"/>
      <c r="EF126" s="47"/>
      <c r="EG126" s="47"/>
      <c r="EH126" s="47"/>
      <c r="EI126" s="47"/>
      <c r="EJ126" s="47"/>
      <c r="EK126" s="47"/>
      <c r="EL126" s="47"/>
      <c r="EM126" s="47"/>
      <c r="EN126" s="47"/>
      <c r="EO126" s="47"/>
      <c r="EP126" s="47"/>
      <c r="EQ126" s="47"/>
      <c r="ER126" s="47"/>
      <c r="ES126" s="47"/>
      <c r="ET126" s="47"/>
      <c r="EU126" s="47"/>
      <c r="EV126" s="47"/>
      <c r="EW126" s="47"/>
      <c r="EX126" s="47"/>
      <c r="EY126" s="47"/>
      <c r="EZ126" s="47"/>
      <c r="FA126" s="47"/>
      <c r="FB126" s="47"/>
      <c r="FC126" s="47"/>
      <c r="FD126" s="47"/>
      <c r="FE126" s="47"/>
      <c r="FF126" s="47"/>
      <c r="FG126" s="47"/>
      <c r="FH126" s="47"/>
      <c r="FI126" s="47"/>
      <c r="FJ126" s="47"/>
      <c r="FK126" s="47"/>
      <c r="FL126" s="47"/>
      <c r="FM126" s="47"/>
      <c r="FN126" s="47"/>
      <c r="FO126" s="47"/>
      <c r="FP126" s="47"/>
      <c r="FQ126" s="47"/>
      <c r="FR126" s="47"/>
      <c r="FS126" s="47"/>
      <c r="FT126" s="47"/>
      <c r="FU126" s="47"/>
      <c r="FV126" s="47"/>
      <c r="FW126" s="47"/>
      <c r="FX126" s="47"/>
      <c r="FY126" s="47"/>
      <c r="FZ126" s="47"/>
      <c r="GA126" s="47"/>
      <c r="GB126" s="47"/>
      <c r="GC126" s="47"/>
      <c r="GD126" s="47"/>
      <c r="GE126" s="47"/>
      <c r="GF126" s="47"/>
      <c r="GG126" s="47"/>
      <c r="GH126" s="47"/>
      <c r="GI126" s="47"/>
      <c r="GJ126" s="47"/>
      <c r="GK126" s="47"/>
      <c r="GL126" s="47"/>
      <c r="GM126" s="47"/>
      <c r="GN126" s="47"/>
      <c r="GO126" s="47"/>
      <c r="GP126" s="47"/>
      <c r="GQ126" s="47"/>
      <c r="GR126" s="47"/>
      <c r="GS126" s="47"/>
      <c r="GT126" s="47"/>
      <c r="GU126" s="47"/>
      <c r="GV126" s="47"/>
      <c r="GW126" s="47"/>
      <c r="GX126" s="47"/>
      <c r="GY126" s="47"/>
      <c r="GZ126" s="47"/>
      <c r="HA126" s="47"/>
      <c r="HB126" s="47"/>
      <c r="HC126" s="47"/>
      <c r="HD126" s="47"/>
      <c r="HE126" s="47"/>
      <c r="HF126" s="47"/>
      <c r="HG126" s="47"/>
      <c r="HH126" s="47"/>
      <c r="HI126" s="47"/>
      <c r="HJ126" s="47"/>
      <c r="HK126" s="47"/>
      <c r="HL126" s="47"/>
      <c r="HM126" s="47"/>
      <c r="HN126" s="47"/>
      <c r="HO126" s="47"/>
      <c r="HP126" s="47"/>
      <c r="HQ126" s="47"/>
      <c r="HR126" s="47"/>
      <c r="HS126" s="47"/>
      <c r="HT126" s="47"/>
      <c r="HU126" s="47"/>
      <c r="HV126" s="47"/>
      <c r="HW126" s="47"/>
      <c r="HX126" s="47"/>
      <c r="HY126" s="47"/>
      <c r="HZ126" s="47"/>
      <c r="IA126" s="47"/>
      <c r="IB126" s="47"/>
      <c r="IC126" s="47"/>
      <c r="ID126" s="47"/>
      <c r="IE126" s="47"/>
      <c r="IF126" s="47"/>
      <c r="IG126" s="47"/>
      <c r="IH126" s="47"/>
      <c r="II126" s="47"/>
      <c r="IJ126" s="47"/>
      <c r="IK126" s="47"/>
      <c r="IL126" s="47"/>
      <c r="IM126" s="47"/>
      <c r="IN126" s="47"/>
      <c r="IO126" s="47"/>
      <c r="IP126" s="47"/>
      <c r="IQ126" s="47"/>
      <c r="IR126" s="47"/>
      <c r="IS126" s="47"/>
      <c r="IT126" s="47"/>
      <c r="IU126" s="47"/>
      <c r="IV126" s="47"/>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F126" s="63">
        <v>9.1999999999999901E-2</v>
      </c>
      <c r="NG126" s="64">
        <v>-115517.60378976865</v>
      </c>
      <c r="NH126" s="13">
        <v>0.625</v>
      </c>
      <c r="NI126" s="1">
        <f>Combine!A128</f>
        <v>49007</v>
      </c>
      <c r="NJ126" s="14">
        <f>Combine!F128</f>
        <v>84566.865153660896</v>
      </c>
    </row>
    <row r="127" spans="1:374" ht="12.75" customHeight="1" x14ac:dyDescent="0.3">
      <c r="A127" s="59"/>
      <c r="D127" s="61"/>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c r="CT127" s="47"/>
      <c r="CU127" s="47"/>
      <c r="CV127" s="47"/>
      <c r="CW127" s="47"/>
      <c r="CX127" s="47"/>
      <c r="CY127" s="47"/>
      <c r="CZ127" s="47"/>
      <c r="DA127" s="47"/>
      <c r="DB127" s="47"/>
      <c r="DC127" s="47"/>
      <c r="DD127" s="47"/>
      <c r="DE127" s="47"/>
      <c r="DF127" s="47"/>
      <c r="DG127" s="47"/>
      <c r="DH127" s="47"/>
      <c r="DI127" s="47"/>
      <c r="DJ127" s="47"/>
      <c r="DK127" s="47"/>
      <c r="DL127" s="47"/>
      <c r="DM127" s="47"/>
      <c r="DN127" s="47"/>
      <c r="DO127" s="47"/>
      <c r="DP127" s="47"/>
      <c r="DQ127" s="47"/>
      <c r="DR127" s="47"/>
      <c r="DS127" s="47"/>
      <c r="DT127" s="47"/>
      <c r="DU127" s="47"/>
      <c r="DV127" s="47"/>
      <c r="DW127" s="47"/>
      <c r="DX127" s="47"/>
      <c r="DY127" s="47"/>
      <c r="DZ127" s="47"/>
      <c r="EA127" s="47"/>
      <c r="EB127" s="47"/>
      <c r="EC127" s="47"/>
      <c r="ED127" s="47"/>
      <c r="EE127" s="47"/>
      <c r="EF127" s="47"/>
      <c r="EG127" s="47"/>
      <c r="EH127" s="47"/>
      <c r="EI127" s="47"/>
      <c r="EJ127" s="47"/>
      <c r="EK127" s="47"/>
      <c r="EL127" s="47"/>
      <c r="EM127" s="47"/>
      <c r="EN127" s="47"/>
      <c r="EO127" s="47"/>
      <c r="EP127" s="47"/>
      <c r="EQ127" s="47"/>
      <c r="ER127" s="47"/>
      <c r="ES127" s="47"/>
      <c r="ET127" s="47"/>
      <c r="EU127" s="47"/>
      <c r="EV127" s="47"/>
      <c r="EW127" s="47"/>
      <c r="EX127" s="47"/>
      <c r="EY127" s="47"/>
      <c r="EZ127" s="47"/>
      <c r="FA127" s="47"/>
      <c r="FB127" s="47"/>
      <c r="FC127" s="47"/>
      <c r="FD127" s="47"/>
      <c r="FE127" s="47"/>
      <c r="FF127" s="47"/>
      <c r="FG127" s="47"/>
      <c r="FH127" s="47"/>
      <c r="FI127" s="47"/>
      <c r="FJ127" s="47"/>
      <c r="FK127" s="47"/>
      <c r="FL127" s="47"/>
      <c r="FM127" s="47"/>
      <c r="FN127" s="47"/>
      <c r="FO127" s="47"/>
      <c r="FP127" s="47"/>
      <c r="FQ127" s="47"/>
      <c r="FR127" s="47"/>
      <c r="FS127" s="47"/>
      <c r="FT127" s="47"/>
      <c r="FU127" s="47"/>
      <c r="FV127" s="47"/>
      <c r="FW127" s="47"/>
      <c r="FX127" s="47"/>
      <c r="FY127" s="47"/>
      <c r="FZ127" s="47"/>
      <c r="GA127" s="47"/>
      <c r="GB127" s="47"/>
      <c r="GC127" s="47"/>
      <c r="GD127" s="47"/>
      <c r="GE127" s="47"/>
      <c r="GF127" s="47"/>
      <c r="GG127" s="47"/>
      <c r="GH127" s="47"/>
      <c r="GI127" s="47"/>
      <c r="GJ127" s="47"/>
      <c r="GK127" s="47"/>
      <c r="GL127" s="47"/>
      <c r="GM127" s="47"/>
      <c r="GN127" s="47"/>
      <c r="GO127" s="47"/>
      <c r="GP127" s="47"/>
      <c r="GQ127" s="47"/>
      <c r="GR127" s="47"/>
      <c r="GS127" s="47"/>
      <c r="GT127" s="47"/>
      <c r="GU127" s="47"/>
      <c r="GV127" s="47"/>
      <c r="GW127" s="47"/>
      <c r="GX127" s="47"/>
      <c r="GY127" s="47"/>
      <c r="GZ127" s="47"/>
      <c r="HA127" s="47"/>
      <c r="HB127" s="47"/>
      <c r="HC127" s="47"/>
      <c r="HD127" s="47"/>
      <c r="HE127" s="47"/>
      <c r="HF127" s="47"/>
      <c r="HG127" s="47"/>
      <c r="HH127" s="47"/>
      <c r="HI127" s="47"/>
      <c r="HJ127" s="47"/>
      <c r="HK127" s="47"/>
      <c r="HL127" s="47"/>
      <c r="HM127" s="47"/>
      <c r="HN127" s="47"/>
      <c r="HO127" s="47"/>
      <c r="HP127" s="47"/>
      <c r="HQ127" s="47"/>
      <c r="HR127" s="47"/>
      <c r="HS127" s="47"/>
      <c r="HT127" s="47"/>
      <c r="HU127" s="47"/>
      <c r="HV127" s="47"/>
      <c r="HW127" s="47"/>
      <c r="HX127" s="47"/>
      <c r="HY127" s="47"/>
      <c r="HZ127" s="47"/>
      <c r="IA127" s="47"/>
      <c r="IB127" s="47"/>
      <c r="IC127" s="47"/>
      <c r="ID127" s="47"/>
      <c r="IE127" s="47"/>
      <c r="IF127" s="47"/>
      <c r="IG127" s="47"/>
      <c r="IH127" s="47"/>
      <c r="II127" s="47"/>
      <c r="IJ127" s="47"/>
      <c r="IK127" s="47"/>
      <c r="IL127" s="47"/>
      <c r="IM127" s="47"/>
      <c r="IN127" s="47"/>
      <c r="IO127" s="47"/>
      <c r="IP127" s="47"/>
      <c r="IQ127" s="47"/>
      <c r="IR127" s="47"/>
      <c r="IS127" s="47"/>
      <c r="IT127" s="47"/>
      <c r="IU127" s="47"/>
      <c r="IV127" s="47"/>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F127" s="63">
        <v>9.2999999999999902E-2</v>
      </c>
      <c r="NG127" s="64">
        <v>-119447.37996908974</v>
      </c>
      <c r="NH127" s="13">
        <v>0.63</v>
      </c>
      <c r="NI127" s="1">
        <f>Combine!A129</f>
        <v>48915</v>
      </c>
      <c r="NJ127" s="14">
        <f>Combine!F129</f>
        <v>93736.010582893505</v>
      </c>
    </row>
    <row r="128" spans="1:374" ht="12.75" customHeight="1" x14ac:dyDescent="0.3">
      <c r="A128" s="59"/>
      <c r="D128" s="61"/>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c r="CT128" s="47"/>
      <c r="CU128" s="47"/>
      <c r="CV128" s="47"/>
      <c r="CW128" s="47"/>
      <c r="CX128" s="47"/>
      <c r="CY128" s="47"/>
      <c r="CZ128" s="47"/>
      <c r="DA128" s="47"/>
      <c r="DB128" s="47"/>
      <c r="DC128" s="47"/>
      <c r="DD128" s="47"/>
      <c r="DE128" s="47"/>
      <c r="DF128" s="47"/>
      <c r="DG128" s="47"/>
      <c r="DH128" s="47"/>
      <c r="DI128" s="47"/>
      <c r="DJ128" s="47"/>
      <c r="DK128" s="47"/>
      <c r="DL128" s="47"/>
      <c r="DM128" s="47"/>
      <c r="DN128" s="47"/>
      <c r="DO128" s="47"/>
      <c r="DP128" s="47"/>
      <c r="DQ128" s="47"/>
      <c r="DR128" s="47"/>
      <c r="DS128" s="47"/>
      <c r="DT128" s="47"/>
      <c r="DU128" s="47"/>
      <c r="DV128" s="47"/>
      <c r="DW128" s="47"/>
      <c r="DX128" s="47"/>
      <c r="DY128" s="47"/>
      <c r="DZ128" s="47"/>
      <c r="EA128" s="47"/>
      <c r="EB128" s="47"/>
      <c r="EC128" s="47"/>
      <c r="ED128" s="47"/>
      <c r="EE128" s="47"/>
      <c r="EF128" s="47"/>
      <c r="EG128" s="47"/>
      <c r="EH128" s="47"/>
      <c r="EI128" s="47"/>
      <c r="EJ128" s="47"/>
      <c r="EK128" s="47"/>
      <c r="EL128" s="47"/>
      <c r="EM128" s="47"/>
      <c r="EN128" s="47"/>
      <c r="EO128" s="47"/>
      <c r="EP128" s="47"/>
      <c r="EQ128" s="47"/>
      <c r="ER128" s="47"/>
      <c r="ES128" s="47"/>
      <c r="ET128" s="47"/>
      <c r="EU128" s="47"/>
      <c r="EV128" s="47"/>
      <c r="EW128" s="47"/>
      <c r="EX128" s="47"/>
      <c r="EY128" s="47"/>
      <c r="EZ128" s="47"/>
      <c r="FA128" s="47"/>
      <c r="FB128" s="47"/>
      <c r="FC128" s="47"/>
      <c r="FD128" s="47"/>
      <c r="FE128" s="47"/>
      <c r="FF128" s="47"/>
      <c r="FG128" s="47"/>
      <c r="FH128" s="47"/>
      <c r="FI128" s="47"/>
      <c r="FJ128" s="47"/>
      <c r="FK128" s="47"/>
      <c r="FL128" s="47"/>
      <c r="FM128" s="47"/>
      <c r="FN128" s="47"/>
      <c r="FO128" s="47"/>
      <c r="FP128" s="47"/>
      <c r="FQ128" s="47"/>
      <c r="FR128" s="47"/>
      <c r="FS128" s="47"/>
      <c r="FT128" s="47"/>
      <c r="FU128" s="47"/>
      <c r="FV128" s="47"/>
      <c r="FW128" s="47"/>
      <c r="FX128" s="47"/>
      <c r="FY128" s="47"/>
      <c r="FZ128" s="47"/>
      <c r="GA128" s="47"/>
      <c r="GB128" s="47"/>
      <c r="GC128" s="47"/>
      <c r="GD128" s="47"/>
      <c r="GE128" s="47"/>
      <c r="GF128" s="47"/>
      <c r="GG128" s="47"/>
      <c r="GH128" s="47"/>
      <c r="GI128" s="47"/>
      <c r="GJ128" s="47"/>
      <c r="GK128" s="47"/>
      <c r="GL128" s="47"/>
      <c r="GM128" s="47"/>
      <c r="GN128" s="47"/>
      <c r="GO128" s="47"/>
      <c r="GP128" s="47"/>
      <c r="GQ128" s="47"/>
      <c r="GR128" s="47"/>
      <c r="GS128" s="47"/>
      <c r="GT128" s="47"/>
      <c r="GU128" s="47"/>
      <c r="GV128" s="47"/>
      <c r="GW128" s="47"/>
      <c r="GX128" s="47"/>
      <c r="GY128" s="47"/>
      <c r="GZ128" s="47"/>
      <c r="HA128" s="47"/>
      <c r="HB128" s="47"/>
      <c r="HC128" s="47"/>
      <c r="HD128" s="47"/>
      <c r="HE128" s="47"/>
      <c r="HF128" s="47"/>
      <c r="HG128" s="47"/>
      <c r="HH128" s="47"/>
      <c r="HI128" s="47"/>
      <c r="HJ128" s="47"/>
      <c r="HK128" s="47"/>
      <c r="HL128" s="47"/>
      <c r="HM128" s="47"/>
      <c r="HN128" s="47"/>
      <c r="HO128" s="47"/>
      <c r="HP128" s="47"/>
      <c r="HQ128" s="47"/>
      <c r="HR128" s="47"/>
      <c r="HS128" s="47"/>
      <c r="HT128" s="47"/>
      <c r="HU128" s="47"/>
      <c r="HV128" s="47"/>
      <c r="HW128" s="47"/>
      <c r="HX128" s="47"/>
      <c r="HY128" s="47"/>
      <c r="HZ128" s="47"/>
      <c r="IA128" s="47"/>
      <c r="IB128" s="47"/>
      <c r="IC128" s="47"/>
      <c r="ID128" s="47"/>
      <c r="IE128" s="47"/>
      <c r="IF128" s="47"/>
      <c r="IG128" s="47"/>
      <c r="IH128" s="47"/>
      <c r="II128" s="47"/>
      <c r="IJ128" s="47"/>
      <c r="IK128" s="47"/>
      <c r="IL128" s="47"/>
      <c r="IM128" s="47"/>
      <c r="IN128" s="47"/>
      <c r="IO128" s="47"/>
      <c r="IP128" s="47"/>
      <c r="IQ128" s="47"/>
      <c r="IR128" s="47"/>
      <c r="IS128" s="47"/>
      <c r="IT128" s="47"/>
      <c r="IU128" s="47"/>
      <c r="IV128" s="47"/>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F128" s="63">
        <v>9.3999999999999903E-2</v>
      </c>
      <c r="NG128" s="64">
        <v>-123381.80643600579</v>
      </c>
      <c r="NH128" s="1"/>
      <c r="NI128" s="1"/>
      <c r="NJ128" s="1"/>
    </row>
    <row r="129" spans="1:374" ht="12.75" customHeight="1" x14ac:dyDescent="0.3">
      <c r="A129" s="59"/>
      <c r="D129" s="61"/>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c r="CT129" s="47"/>
      <c r="CU129" s="47"/>
      <c r="CV129" s="47"/>
      <c r="CW129" s="47"/>
      <c r="CX129" s="47"/>
      <c r="CY129" s="47"/>
      <c r="CZ129" s="47"/>
      <c r="DA129" s="47"/>
      <c r="DB129" s="47"/>
      <c r="DC129" s="47"/>
      <c r="DD129" s="47"/>
      <c r="DE129" s="47"/>
      <c r="DF129" s="47"/>
      <c r="DG129" s="47"/>
      <c r="DH129" s="47"/>
      <c r="DI129" s="47"/>
      <c r="DJ129" s="47"/>
      <c r="DK129" s="47"/>
      <c r="DL129" s="47"/>
      <c r="DM129" s="47"/>
      <c r="DN129" s="47"/>
      <c r="DO129" s="47"/>
      <c r="DP129" s="47"/>
      <c r="DQ129" s="47"/>
      <c r="DR129" s="47"/>
      <c r="DS129" s="47"/>
      <c r="DT129" s="47"/>
      <c r="DU129" s="47"/>
      <c r="DV129" s="47"/>
      <c r="DW129" s="47"/>
      <c r="DX129" s="47"/>
      <c r="DY129" s="47"/>
      <c r="DZ129" s="47"/>
      <c r="EA129" s="47"/>
      <c r="EB129" s="47"/>
      <c r="EC129" s="47"/>
      <c r="ED129" s="47"/>
      <c r="EE129" s="47"/>
      <c r="EF129" s="47"/>
      <c r="EG129" s="47"/>
      <c r="EH129" s="47"/>
      <c r="EI129" s="47"/>
      <c r="EJ129" s="47"/>
      <c r="EK129" s="47"/>
      <c r="EL129" s="47"/>
      <c r="EM129" s="47"/>
      <c r="EN129" s="47"/>
      <c r="EO129" s="47"/>
      <c r="EP129" s="47"/>
      <c r="EQ129" s="47"/>
      <c r="ER129" s="47"/>
      <c r="ES129" s="47"/>
      <c r="ET129" s="47"/>
      <c r="EU129" s="47"/>
      <c r="EV129" s="47"/>
      <c r="EW129" s="47"/>
      <c r="EX129" s="47"/>
      <c r="EY129" s="47"/>
      <c r="EZ129" s="47"/>
      <c r="FA129" s="47"/>
      <c r="FB129" s="47"/>
      <c r="FC129" s="47"/>
      <c r="FD129" s="47"/>
      <c r="FE129" s="47"/>
      <c r="FF129" s="47"/>
      <c r="FG129" s="47"/>
      <c r="FH129" s="47"/>
      <c r="FI129" s="47"/>
      <c r="FJ129" s="47"/>
      <c r="FK129" s="47"/>
      <c r="FL129" s="47"/>
      <c r="FM129" s="47"/>
      <c r="FN129" s="47"/>
      <c r="FO129" s="47"/>
      <c r="FP129" s="47"/>
      <c r="FQ129" s="47"/>
      <c r="FR129" s="47"/>
      <c r="FS129" s="47"/>
      <c r="FT129" s="47"/>
      <c r="FU129" s="47"/>
      <c r="FV129" s="47"/>
      <c r="FW129" s="47"/>
      <c r="FX129" s="47"/>
      <c r="FY129" s="47"/>
      <c r="FZ129" s="47"/>
      <c r="GA129" s="47"/>
      <c r="GB129" s="47"/>
      <c r="GC129" s="47"/>
      <c r="GD129" s="47"/>
      <c r="GE129" s="47"/>
      <c r="GF129" s="47"/>
      <c r="GG129" s="47"/>
      <c r="GH129" s="47"/>
      <c r="GI129" s="47"/>
      <c r="GJ129" s="47"/>
      <c r="GK129" s="47"/>
      <c r="GL129" s="47"/>
      <c r="GM129" s="47"/>
      <c r="GN129" s="47"/>
      <c r="GO129" s="47"/>
      <c r="GP129" s="47"/>
      <c r="GQ129" s="47"/>
      <c r="GR129" s="47"/>
      <c r="GS129" s="47"/>
      <c r="GT129" s="47"/>
      <c r="GU129" s="47"/>
      <c r="GV129" s="47"/>
      <c r="GW129" s="47"/>
      <c r="GX129" s="47"/>
      <c r="GY129" s="47"/>
      <c r="GZ129" s="47"/>
      <c r="HA129" s="47"/>
      <c r="HB129" s="47"/>
      <c r="HC129" s="47"/>
      <c r="HD129" s="47"/>
      <c r="HE129" s="47"/>
      <c r="HF129" s="47"/>
      <c r="HG129" s="47"/>
      <c r="HH129" s="47"/>
      <c r="HI129" s="47"/>
      <c r="HJ129" s="47"/>
      <c r="HK129" s="47"/>
      <c r="HL129" s="47"/>
      <c r="HM129" s="47"/>
      <c r="HN129" s="47"/>
      <c r="HO129" s="47"/>
      <c r="HP129" s="47"/>
      <c r="HQ129" s="47"/>
      <c r="HR129" s="47"/>
      <c r="HS129" s="47"/>
      <c r="HT129" s="47"/>
      <c r="HU129" s="47"/>
      <c r="HV129" s="47"/>
      <c r="HW129" s="47"/>
      <c r="HX129" s="47"/>
      <c r="HY129" s="47"/>
      <c r="HZ129" s="47"/>
      <c r="IA129" s="47"/>
      <c r="IB129" s="47"/>
      <c r="IC129" s="47"/>
      <c r="ID129" s="47"/>
      <c r="IE129" s="47"/>
      <c r="IF129" s="47"/>
      <c r="IG129" s="47"/>
      <c r="IH129" s="47"/>
      <c r="II129" s="47"/>
      <c r="IJ129" s="47"/>
      <c r="IK129" s="47"/>
      <c r="IL129" s="47"/>
      <c r="IM129" s="47"/>
      <c r="IN129" s="47"/>
      <c r="IO129" s="47"/>
      <c r="IP129" s="47"/>
      <c r="IQ129" s="47"/>
      <c r="IR129" s="47"/>
      <c r="IS129" s="47"/>
      <c r="IT129" s="47"/>
      <c r="IU129" s="47"/>
      <c r="IV129" s="47"/>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F129" s="63">
        <v>9.4999999999999904E-2</v>
      </c>
      <c r="NG129" s="64">
        <v>-127320.77488781404</v>
      </c>
      <c r="NH129" s="1"/>
      <c r="NI129" s="1"/>
      <c r="NJ129" s="1"/>
    </row>
    <row r="130" spans="1:374" ht="12.75" customHeight="1" x14ac:dyDescent="0.3">
      <c r="A130" s="59"/>
      <c r="D130" s="61"/>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c r="CT130" s="47"/>
      <c r="CU130" s="47"/>
      <c r="CV130" s="47"/>
      <c r="CW130" s="47"/>
      <c r="CX130" s="47"/>
      <c r="CY130" s="47"/>
      <c r="CZ130" s="47"/>
      <c r="DA130" s="47"/>
      <c r="DB130" s="47"/>
      <c r="DC130" s="47"/>
      <c r="DD130" s="47"/>
      <c r="DE130" s="47"/>
      <c r="DF130" s="47"/>
      <c r="DG130" s="47"/>
      <c r="DH130" s="47"/>
      <c r="DI130" s="47"/>
      <c r="DJ130" s="47"/>
      <c r="DK130" s="47"/>
      <c r="DL130" s="47"/>
      <c r="DM130" s="47"/>
      <c r="DN130" s="47"/>
      <c r="DO130" s="47"/>
      <c r="DP130" s="47"/>
      <c r="DQ130" s="47"/>
      <c r="DR130" s="47"/>
      <c r="DS130" s="47"/>
      <c r="DT130" s="47"/>
      <c r="DU130" s="47"/>
      <c r="DV130" s="47"/>
      <c r="DW130" s="47"/>
      <c r="DX130" s="47"/>
      <c r="DY130" s="47"/>
      <c r="DZ130" s="47"/>
      <c r="EA130" s="47"/>
      <c r="EB130" s="47"/>
      <c r="EC130" s="47"/>
      <c r="ED130" s="47"/>
      <c r="EE130" s="47"/>
      <c r="EF130" s="47"/>
      <c r="EG130" s="47"/>
      <c r="EH130" s="47"/>
      <c r="EI130" s="47"/>
      <c r="EJ130" s="47"/>
      <c r="EK130" s="47"/>
      <c r="EL130" s="47"/>
      <c r="EM130" s="47"/>
      <c r="EN130" s="47"/>
      <c r="EO130" s="47"/>
      <c r="EP130" s="47"/>
      <c r="EQ130" s="47"/>
      <c r="ER130" s="47"/>
      <c r="ES130" s="47"/>
      <c r="ET130" s="47"/>
      <c r="EU130" s="47"/>
      <c r="EV130" s="47"/>
      <c r="EW130" s="47"/>
      <c r="EX130" s="47"/>
      <c r="EY130" s="47"/>
      <c r="EZ130" s="47"/>
      <c r="FA130" s="47"/>
      <c r="FB130" s="47"/>
      <c r="FC130" s="47"/>
      <c r="FD130" s="47"/>
      <c r="FE130" s="47"/>
      <c r="FF130" s="47"/>
      <c r="FG130" s="47"/>
      <c r="FH130" s="47"/>
      <c r="FI130" s="47"/>
      <c r="FJ130" s="47"/>
      <c r="FK130" s="47"/>
      <c r="FL130" s="47"/>
      <c r="FM130" s="47"/>
      <c r="FN130" s="47"/>
      <c r="FO130" s="47"/>
      <c r="FP130" s="47"/>
      <c r="FQ130" s="47"/>
      <c r="FR130" s="47"/>
      <c r="FS130" s="47"/>
      <c r="FT130" s="47"/>
      <c r="FU130" s="47"/>
      <c r="FV130" s="47"/>
      <c r="FW130" s="47"/>
      <c r="FX130" s="47"/>
      <c r="FY130" s="47"/>
      <c r="FZ130" s="47"/>
      <c r="GA130" s="47"/>
      <c r="GB130" s="47"/>
      <c r="GC130" s="47"/>
      <c r="GD130" s="47"/>
      <c r="GE130" s="47"/>
      <c r="GF130" s="47"/>
      <c r="GG130" s="47"/>
      <c r="GH130" s="47"/>
      <c r="GI130" s="47"/>
      <c r="GJ130" s="47"/>
      <c r="GK130" s="47"/>
      <c r="GL130" s="47"/>
      <c r="GM130" s="47"/>
      <c r="GN130" s="47"/>
      <c r="GO130" s="47"/>
      <c r="GP130" s="47"/>
      <c r="GQ130" s="47"/>
      <c r="GR130" s="47"/>
      <c r="GS130" s="47"/>
      <c r="GT130" s="47"/>
      <c r="GU130" s="47"/>
      <c r="GV130" s="47"/>
      <c r="GW130" s="47"/>
      <c r="GX130" s="47"/>
      <c r="GY130" s="47"/>
      <c r="GZ130" s="47"/>
      <c r="HA130" s="47"/>
      <c r="HB130" s="47"/>
      <c r="HC130" s="47"/>
      <c r="HD130" s="47"/>
      <c r="HE130" s="47"/>
      <c r="HF130" s="47"/>
      <c r="HG130" s="47"/>
      <c r="HH130" s="47"/>
      <c r="HI130" s="47"/>
      <c r="HJ130" s="47"/>
      <c r="HK130" s="47"/>
      <c r="HL130" s="47"/>
      <c r="HM130" s="47"/>
      <c r="HN130" s="47"/>
      <c r="HO130" s="47"/>
      <c r="HP130" s="47"/>
      <c r="HQ130" s="47"/>
      <c r="HR130" s="47"/>
      <c r="HS130" s="47"/>
      <c r="HT130" s="47"/>
      <c r="HU130" s="47"/>
      <c r="HV130" s="47"/>
      <c r="HW130" s="47"/>
      <c r="HX130" s="47"/>
      <c r="HY130" s="47"/>
      <c r="HZ130" s="47"/>
      <c r="IA130" s="47"/>
      <c r="IB130" s="47"/>
      <c r="IC130" s="47"/>
      <c r="ID130" s="47"/>
      <c r="IE130" s="47"/>
      <c r="IF130" s="47"/>
      <c r="IG130" s="47"/>
      <c r="IH130" s="47"/>
      <c r="II130" s="47"/>
      <c r="IJ130" s="47"/>
      <c r="IK130" s="47"/>
      <c r="IL130" s="47"/>
      <c r="IM130" s="47"/>
      <c r="IN130" s="47"/>
      <c r="IO130" s="47"/>
      <c r="IP130" s="47"/>
      <c r="IQ130" s="47"/>
      <c r="IR130" s="47"/>
      <c r="IS130" s="47"/>
      <c r="IT130" s="47"/>
      <c r="IU130" s="47"/>
      <c r="IV130" s="47"/>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F130" s="63">
        <v>9.5999999999999905E-2</v>
      </c>
      <c r="NG130" s="64">
        <v>-131264.17855208044</v>
      </c>
      <c r="NH130" s="1"/>
      <c r="NI130" s="1"/>
      <c r="NJ130" s="1"/>
    </row>
    <row r="131" spans="1:374" ht="12.75" customHeight="1" x14ac:dyDescent="0.3">
      <c r="A131" s="59"/>
      <c r="D131" s="61"/>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c r="CT131" s="47"/>
      <c r="CU131" s="47"/>
      <c r="CV131" s="47"/>
      <c r="CW131" s="47"/>
      <c r="CX131" s="47"/>
      <c r="CY131" s="47"/>
      <c r="CZ131" s="47"/>
      <c r="DA131" s="47"/>
      <c r="DB131" s="47"/>
      <c r="DC131" s="47"/>
      <c r="DD131" s="47"/>
      <c r="DE131" s="47"/>
      <c r="DF131" s="47"/>
      <c r="DG131" s="47"/>
      <c r="DH131" s="47"/>
      <c r="DI131" s="47"/>
      <c r="DJ131" s="47"/>
      <c r="DK131" s="47"/>
      <c r="DL131" s="47"/>
      <c r="DM131" s="47"/>
      <c r="DN131" s="47"/>
      <c r="DO131" s="47"/>
      <c r="DP131" s="47"/>
      <c r="DQ131" s="47"/>
      <c r="DR131" s="47"/>
      <c r="DS131" s="47"/>
      <c r="DT131" s="47"/>
      <c r="DU131" s="47"/>
      <c r="DV131" s="47"/>
      <c r="DW131" s="47"/>
      <c r="DX131" s="47"/>
      <c r="DY131" s="47"/>
      <c r="DZ131" s="47"/>
      <c r="EA131" s="47"/>
      <c r="EB131" s="47"/>
      <c r="EC131" s="47"/>
      <c r="ED131" s="47"/>
      <c r="EE131" s="47"/>
      <c r="EF131" s="47"/>
      <c r="EG131" s="47"/>
      <c r="EH131" s="47"/>
      <c r="EI131" s="47"/>
      <c r="EJ131" s="47"/>
      <c r="EK131" s="47"/>
      <c r="EL131" s="47"/>
      <c r="EM131" s="47"/>
      <c r="EN131" s="47"/>
      <c r="EO131" s="47"/>
      <c r="EP131" s="47"/>
      <c r="EQ131" s="47"/>
      <c r="ER131" s="47"/>
      <c r="ES131" s="47"/>
      <c r="ET131" s="47"/>
      <c r="EU131" s="47"/>
      <c r="EV131" s="47"/>
      <c r="EW131" s="47"/>
      <c r="EX131" s="47"/>
      <c r="EY131" s="47"/>
      <c r="EZ131" s="47"/>
      <c r="FA131" s="47"/>
      <c r="FB131" s="47"/>
      <c r="FC131" s="47"/>
      <c r="FD131" s="47"/>
      <c r="FE131" s="47"/>
      <c r="FF131" s="47"/>
      <c r="FG131" s="47"/>
      <c r="FH131" s="47"/>
      <c r="FI131" s="47"/>
      <c r="FJ131" s="47"/>
      <c r="FK131" s="47"/>
      <c r="FL131" s="47"/>
      <c r="FM131" s="47"/>
      <c r="FN131" s="47"/>
      <c r="FO131" s="47"/>
      <c r="FP131" s="47"/>
      <c r="FQ131" s="47"/>
      <c r="FR131" s="47"/>
      <c r="FS131" s="47"/>
      <c r="FT131" s="47"/>
      <c r="FU131" s="47"/>
      <c r="FV131" s="47"/>
      <c r="FW131" s="47"/>
      <c r="FX131" s="47"/>
      <c r="FY131" s="47"/>
      <c r="FZ131" s="47"/>
      <c r="GA131" s="47"/>
      <c r="GB131" s="47"/>
      <c r="GC131" s="47"/>
      <c r="GD131" s="47"/>
      <c r="GE131" s="47"/>
      <c r="GF131" s="47"/>
      <c r="GG131" s="47"/>
      <c r="GH131" s="47"/>
      <c r="GI131" s="47"/>
      <c r="GJ131" s="47"/>
      <c r="GK131" s="47"/>
      <c r="GL131" s="47"/>
      <c r="GM131" s="47"/>
      <c r="GN131" s="47"/>
      <c r="GO131" s="47"/>
      <c r="GP131" s="47"/>
      <c r="GQ131" s="47"/>
      <c r="GR131" s="47"/>
      <c r="GS131" s="47"/>
      <c r="GT131" s="47"/>
      <c r="GU131" s="47"/>
      <c r="GV131" s="47"/>
      <c r="GW131" s="47"/>
      <c r="GX131" s="47"/>
      <c r="GY131" s="47"/>
      <c r="GZ131" s="47"/>
      <c r="HA131" s="47"/>
      <c r="HB131" s="47"/>
      <c r="HC131" s="47"/>
      <c r="HD131" s="47"/>
      <c r="HE131" s="47"/>
      <c r="HF131" s="47"/>
      <c r="HG131" s="47"/>
      <c r="HH131" s="47"/>
      <c r="HI131" s="47"/>
      <c r="HJ131" s="47"/>
      <c r="HK131" s="47"/>
      <c r="HL131" s="47"/>
      <c r="HM131" s="47"/>
      <c r="HN131" s="47"/>
      <c r="HO131" s="47"/>
      <c r="HP131" s="47"/>
      <c r="HQ131" s="47"/>
      <c r="HR131" s="47"/>
      <c r="HS131" s="47"/>
      <c r="HT131" s="47"/>
      <c r="HU131" s="47"/>
      <c r="HV131" s="47"/>
      <c r="HW131" s="47"/>
      <c r="HX131" s="47"/>
      <c r="HY131" s="47"/>
      <c r="HZ131" s="47"/>
      <c r="IA131" s="47"/>
      <c r="IB131" s="47"/>
      <c r="IC131" s="47"/>
      <c r="ID131" s="47"/>
      <c r="IE131" s="47"/>
      <c r="IF131" s="47"/>
      <c r="IG131" s="47"/>
      <c r="IH131" s="47"/>
      <c r="II131" s="47"/>
      <c r="IJ131" s="47"/>
      <c r="IK131" s="47"/>
      <c r="IL131" s="47"/>
      <c r="IM131" s="47"/>
      <c r="IN131" s="47"/>
      <c r="IO131" s="47"/>
      <c r="IP131" s="47"/>
      <c r="IQ131" s="47"/>
      <c r="IR131" s="47"/>
      <c r="IS131" s="47"/>
      <c r="IT131" s="47"/>
      <c r="IU131" s="47"/>
      <c r="IV131" s="47"/>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F131" s="63">
        <v>9.6999999999999906E-2</v>
      </c>
      <c r="NG131" s="64">
        <v>-135211.91219001333</v>
      </c>
      <c r="NH131" s="1"/>
      <c r="NI131" s="1"/>
      <c r="NJ131" s="1"/>
    </row>
    <row r="132" spans="1:374" ht="12.75" customHeight="1" x14ac:dyDescent="0.3">
      <c r="A132" s="59"/>
      <c r="D132" s="61"/>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c r="CT132" s="47"/>
      <c r="CU132" s="47"/>
      <c r="CV132" s="47"/>
      <c r="CW132" s="47"/>
      <c r="CX132" s="47"/>
      <c r="CY132" s="47"/>
      <c r="CZ132" s="47"/>
      <c r="DA132" s="47"/>
      <c r="DB132" s="47"/>
      <c r="DC132" s="47"/>
      <c r="DD132" s="47"/>
      <c r="DE132" s="47"/>
      <c r="DF132" s="47"/>
      <c r="DG132" s="47"/>
      <c r="DH132" s="47"/>
      <c r="DI132" s="47"/>
      <c r="DJ132" s="47"/>
      <c r="DK132" s="47"/>
      <c r="DL132" s="47"/>
      <c r="DM132" s="47"/>
      <c r="DN132" s="47"/>
      <c r="DO132" s="47"/>
      <c r="DP132" s="47"/>
      <c r="DQ132" s="47"/>
      <c r="DR132" s="47"/>
      <c r="DS132" s="47"/>
      <c r="DT132" s="47"/>
      <c r="DU132" s="47"/>
      <c r="DV132" s="47"/>
      <c r="DW132" s="47"/>
      <c r="DX132" s="47"/>
      <c r="DY132" s="47"/>
      <c r="DZ132" s="47"/>
      <c r="EA132" s="47"/>
      <c r="EB132" s="47"/>
      <c r="EC132" s="47"/>
      <c r="ED132" s="47"/>
      <c r="EE132" s="47"/>
      <c r="EF132" s="47"/>
      <c r="EG132" s="47"/>
      <c r="EH132" s="47"/>
      <c r="EI132" s="47"/>
      <c r="EJ132" s="47"/>
      <c r="EK132" s="47"/>
      <c r="EL132" s="47"/>
      <c r="EM132" s="47"/>
      <c r="EN132" s="47"/>
      <c r="EO132" s="47"/>
      <c r="EP132" s="47"/>
      <c r="EQ132" s="47"/>
      <c r="ER132" s="47"/>
      <c r="ES132" s="47"/>
      <c r="ET132" s="47"/>
      <c r="EU132" s="47"/>
      <c r="EV132" s="47"/>
      <c r="EW132" s="47"/>
      <c r="EX132" s="47"/>
      <c r="EY132" s="47"/>
      <c r="EZ132" s="47"/>
      <c r="FA132" s="47"/>
      <c r="FB132" s="47"/>
      <c r="FC132" s="47"/>
      <c r="FD132" s="47"/>
      <c r="FE132" s="47"/>
      <c r="FF132" s="47"/>
      <c r="FG132" s="47"/>
      <c r="FH132" s="47"/>
      <c r="FI132" s="47"/>
      <c r="FJ132" s="47"/>
      <c r="FK132" s="47"/>
      <c r="FL132" s="47"/>
      <c r="FM132" s="47"/>
      <c r="FN132" s="47"/>
      <c r="FO132" s="47"/>
      <c r="FP132" s="47"/>
      <c r="FQ132" s="47"/>
      <c r="FR132" s="47"/>
      <c r="FS132" s="47"/>
      <c r="FT132" s="47"/>
      <c r="FU132" s="47"/>
      <c r="FV132" s="47"/>
      <c r="FW132" s="47"/>
      <c r="FX132" s="47"/>
      <c r="FY132" s="47"/>
      <c r="FZ132" s="47"/>
      <c r="GA132" s="47"/>
      <c r="GB132" s="47"/>
      <c r="GC132" s="47"/>
      <c r="GD132" s="47"/>
      <c r="GE132" s="47"/>
      <c r="GF132" s="47"/>
      <c r="GG132" s="47"/>
      <c r="GH132" s="47"/>
      <c r="GI132" s="47"/>
      <c r="GJ132" s="47"/>
      <c r="GK132" s="47"/>
      <c r="GL132" s="47"/>
      <c r="GM132" s="47"/>
      <c r="GN132" s="47"/>
      <c r="GO132" s="47"/>
      <c r="GP132" s="47"/>
      <c r="GQ132" s="47"/>
      <c r="GR132" s="47"/>
      <c r="GS132" s="47"/>
      <c r="GT132" s="47"/>
      <c r="GU132" s="47"/>
      <c r="GV132" s="47"/>
      <c r="GW132" s="47"/>
      <c r="GX132" s="47"/>
      <c r="GY132" s="47"/>
      <c r="GZ132" s="47"/>
      <c r="HA132" s="47"/>
      <c r="HB132" s="47"/>
      <c r="HC132" s="47"/>
      <c r="HD132" s="47"/>
      <c r="HE132" s="47"/>
      <c r="HF132" s="47"/>
      <c r="HG132" s="47"/>
      <c r="HH132" s="47"/>
      <c r="HI132" s="47"/>
      <c r="HJ132" s="47"/>
      <c r="HK132" s="47"/>
      <c r="HL132" s="47"/>
      <c r="HM132" s="47"/>
      <c r="HN132" s="47"/>
      <c r="HO132" s="47"/>
      <c r="HP132" s="47"/>
      <c r="HQ132" s="47"/>
      <c r="HR132" s="47"/>
      <c r="HS132" s="47"/>
      <c r="HT132" s="47"/>
      <c r="HU132" s="47"/>
      <c r="HV132" s="47"/>
      <c r="HW132" s="47"/>
      <c r="HX132" s="47"/>
      <c r="HY132" s="47"/>
      <c r="HZ132" s="47"/>
      <c r="IA132" s="47"/>
      <c r="IB132" s="47"/>
      <c r="IC132" s="47"/>
      <c r="ID132" s="47"/>
      <c r="IE132" s="47"/>
      <c r="IF132" s="47"/>
      <c r="IG132" s="47"/>
      <c r="IH132" s="47"/>
      <c r="II132" s="47"/>
      <c r="IJ132" s="47"/>
      <c r="IK132" s="47"/>
      <c r="IL132" s="47"/>
      <c r="IM132" s="47"/>
      <c r="IN132" s="47"/>
      <c r="IO132" s="47"/>
      <c r="IP132" s="47"/>
      <c r="IQ132" s="47"/>
      <c r="IR132" s="47"/>
      <c r="IS132" s="47"/>
      <c r="IT132" s="47"/>
      <c r="IU132" s="47"/>
      <c r="IV132" s="47"/>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F132" s="63">
        <v>9.7999999999999907E-2</v>
      </c>
      <c r="NG132" s="64">
        <v>-139163.8720989156</v>
      </c>
      <c r="NH132" s="1"/>
      <c r="NI132" s="1"/>
      <c r="NJ132" s="1"/>
    </row>
    <row r="133" spans="1:374" ht="12.75" customHeight="1" x14ac:dyDescent="0.3">
      <c r="A133" s="59"/>
      <c r="D133" s="61"/>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c r="CT133" s="47"/>
      <c r="CU133" s="47"/>
      <c r="CV133" s="47"/>
      <c r="CW133" s="47"/>
      <c r="CX133" s="47"/>
      <c r="CY133" s="47"/>
      <c r="CZ133" s="47"/>
      <c r="DA133" s="47"/>
      <c r="DB133" s="47"/>
      <c r="DC133" s="47"/>
      <c r="DD133" s="47"/>
      <c r="DE133" s="47"/>
      <c r="DF133" s="47"/>
      <c r="DG133" s="47"/>
      <c r="DH133" s="47"/>
      <c r="DI133" s="47"/>
      <c r="DJ133" s="47"/>
      <c r="DK133" s="47"/>
      <c r="DL133" s="47"/>
      <c r="DM133" s="47"/>
      <c r="DN133" s="47"/>
      <c r="DO133" s="47"/>
      <c r="DP133" s="47"/>
      <c r="DQ133" s="47"/>
      <c r="DR133" s="47"/>
      <c r="DS133" s="47"/>
      <c r="DT133" s="47"/>
      <c r="DU133" s="47"/>
      <c r="DV133" s="47"/>
      <c r="DW133" s="47"/>
      <c r="DX133" s="47"/>
      <c r="DY133" s="47"/>
      <c r="DZ133" s="47"/>
      <c r="EA133" s="47"/>
      <c r="EB133" s="47"/>
      <c r="EC133" s="47"/>
      <c r="ED133" s="47"/>
      <c r="EE133" s="47"/>
      <c r="EF133" s="47"/>
      <c r="EG133" s="47"/>
      <c r="EH133" s="47"/>
      <c r="EI133" s="47"/>
      <c r="EJ133" s="47"/>
      <c r="EK133" s="47"/>
      <c r="EL133" s="47"/>
      <c r="EM133" s="47"/>
      <c r="EN133" s="47"/>
      <c r="EO133" s="47"/>
      <c r="EP133" s="47"/>
      <c r="EQ133" s="47"/>
      <c r="ER133" s="47"/>
      <c r="ES133" s="47"/>
      <c r="ET133" s="47"/>
      <c r="EU133" s="47"/>
      <c r="EV133" s="47"/>
      <c r="EW133" s="47"/>
      <c r="EX133" s="47"/>
      <c r="EY133" s="47"/>
      <c r="EZ133" s="47"/>
      <c r="FA133" s="47"/>
      <c r="FB133" s="47"/>
      <c r="FC133" s="47"/>
      <c r="FD133" s="47"/>
      <c r="FE133" s="47"/>
      <c r="FF133" s="47"/>
      <c r="FG133" s="47"/>
      <c r="FH133" s="47"/>
      <c r="FI133" s="47"/>
      <c r="FJ133" s="47"/>
      <c r="FK133" s="47"/>
      <c r="FL133" s="47"/>
      <c r="FM133" s="47"/>
      <c r="FN133" s="47"/>
      <c r="FO133" s="47"/>
      <c r="FP133" s="47"/>
      <c r="FQ133" s="47"/>
      <c r="FR133" s="47"/>
      <c r="FS133" s="47"/>
      <c r="FT133" s="47"/>
      <c r="FU133" s="47"/>
      <c r="FV133" s="47"/>
      <c r="FW133" s="47"/>
      <c r="FX133" s="47"/>
      <c r="FY133" s="47"/>
      <c r="FZ133" s="47"/>
      <c r="GA133" s="47"/>
      <c r="GB133" s="47"/>
      <c r="GC133" s="47"/>
      <c r="GD133" s="47"/>
      <c r="GE133" s="47"/>
      <c r="GF133" s="47"/>
      <c r="GG133" s="47"/>
      <c r="GH133" s="47"/>
      <c r="GI133" s="47"/>
      <c r="GJ133" s="47"/>
      <c r="GK133" s="47"/>
      <c r="GL133" s="47"/>
      <c r="GM133" s="47"/>
      <c r="GN133" s="47"/>
      <c r="GO133" s="47"/>
      <c r="GP133" s="47"/>
      <c r="GQ133" s="47"/>
      <c r="GR133" s="47"/>
      <c r="GS133" s="47"/>
      <c r="GT133" s="47"/>
      <c r="GU133" s="47"/>
      <c r="GV133" s="47"/>
      <c r="GW133" s="47"/>
      <c r="GX133" s="47"/>
      <c r="GY133" s="47"/>
      <c r="GZ133" s="47"/>
      <c r="HA133" s="47"/>
      <c r="HB133" s="47"/>
      <c r="HC133" s="47"/>
      <c r="HD133" s="47"/>
      <c r="HE133" s="47"/>
      <c r="HF133" s="47"/>
      <c r="HG133" s="47"/>
      <c r="HH133" s="47"/>
      <c r="HI133" s="47"/>
      <c r="HJ133" s="47"/>
      <c r="HK133" s="47"/>
      <c r="HL133" s="47"/>
      <c r="HM133" s="47"/>
      <c r="HN133" s="47"/>
      <c r="HO133" s="47"/>
      <c r="HP133" s="47"/>
      <c r="HQ133" s="47"/>
      <c r="HR133" s="47"/>
      <c r="HS133" s="47"/>
      <c r="HT133" s="47"/>
      <c r="HU133" s="47"/>
      <c r="HV133" s="47"/>
      <c r="HW133" s="47"/>
      <c r="HX133" s="47"/>
      <c r="HY133" s="47"/>
      <c r="HZ133" s="47"/>
      <c r="IA133" s="47"/>
      <c r="IB133" s="47"/>
      <c r="IC133" s="47"/>
      <c r="ID133" s="47"/>
      <c r="IE133" s="47"/>
      <c r="IF133" s="47"/>
      <c r="IG133" s="47"/>
      <c r="IH133" s="47"/>
      <c r="II133" s="47"/>
      <c r="IJ133" s="47"/>
      <c r="IK133" s="47"/>
      <c r="IL133" s="47"/>
      <c r="IM133" s="47"/>
      <c r="IN133" s="47"/>
      <c r="IO133" s="47"/>
      <c r="IP133" s="47"/>
      <c r="IQ133" s="47"/>
      <c r="IR133" s="47"/>
      <c r="IS133" s="47"/>
      <c r="IT133" s="47"/>
      <c r="IU133" s="47"/>
      <c r="IV133" s="47"/>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F133" s="63">
        <v>9.8999999999999894E-2</v>
      </c>
      <c r="NG133" s="64">
        <v>-143119.95611373172</v>
      </c>
      <c r="NH133" s="1"/>
      <c r="NI133" s="1"/>
      <c r="NJ133" s="1"/>
    </row>
    <row r="134" spans="1:374" ht="12.75" customHeight="1" x14ac:dyDescent="0.3">
      <c r="A134" s="59"/>
      <c r="D134" s="61"/>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c r="CT134" s="47"/>
      <c r="CU134" s="47"/>
      <c r="CV134" s="47"/>
      <c r="CW134" s="47"/>
      <c r="CX134" s="47"/>
      <c r="CY134" s="47"/>
      <c r="CZ134" s="47"/>
      <c r="DA134" s="47"/>
      <c r="DB134" s="47"/>
      <c r="DC134" s="47"/>
      <c r="DD134" s="47"/>
      <c r="DE134" s="47"/>
      <c r="DF134" s="47"/>
      <c r="DG134" s="47"/>
      <c r="DH134" s="47"/>
      <c r="DI134" s="47"/>
      <c r="DJ134" s="47"/>
      <c r="DK134" s="47"/>
      <c r="DL134" s="47"/>
      <c r="DM134" s="47"/>
      <c r="DN134" s="47"/>
      <c r="DO134" s="47"/>
      <c r="DP134" s="47"/>
      <c r="DQ134" s="47"/>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47"/>
      <c r="IE134" s="47"/>
      <c r="IF134" s="47"/>
      <c r="IG134" s="47"/>
      <c r="IH134" s="47"/>
      <c r="II134" s="47"/>
      <c r="IJ134" s="47"/>
      <c r="IK134" s="47"/>
      <c r="IL134" s="47"/>
      <c r="IM134" s="47"/>
      <c r="IN134" s="47"/>
      <c r="IO134" s="47"/>
      <c r="IP134" s="47"/>
      <c r="IQ134" s="47"/>
      <c r="IR134" s="47"/>
      <c r="IS134" s="47"/>
      <c r="IT134" s="47"/>
      <c r="IU134" s="47"/>
      <c r="IV134" s="47"/>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F134" s="63">
        <v>9.9999999999999895E-2</v>
      </c>
      <c r="NG134" s="64">
        <v>-147080.06360771329</v>
      </c>
      <c r="NH134" s="1"/>
      <c r="NI134" s="1"/>
      <c r="NJ134" s="1"/>
    </row>
    <row r="135" spans="1:374" ht="12.75" customHeight="1" x14ac:dyDescent="0.3">
      <c r="A135" s="59"/>
      <c r="B135" s="61"/>
      <c r="C135" s="61"/>
      <c r="D135" s="61"/>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c r="DU135" s="47"/>
      <c r="DV135" s="47"/>
      <c r="DW135" s="47"/>
      <c r="DX135" s="47"/>
      <c r="DY135" s="47"/>
      <c r="DZ135" s="47"/>
      <c r="EA135" s="47"/>
      <c r="EB135" s="47"/>
      <c r="EC135" s="47"/>
      <c r="ED135" s="47"/>
      <c r="EE135" s="47"/>
      <c r="EF135" s="47"/>
      <c r="EG135" s="47"/>
      <c r="EH135" s="47"/>
      <c r="EI135" s="47"/>
      <c r="EJ135" s="47"/>
      <c r="EK135" s="47"/>
      <c r="EL135" s="47"/>
      <c r="EM135" s="47"/>
      <c r="EN135" s="47"/>
      <c r="EO135" s="47"/>
      <c r="EP135" s="47"/>
      <c r="EQ135" s="47"/>
      <c r="ER135" s="47"/>
      <c r="ES135" s="47"/>
      <c r="ET135" s="47"/>
      <c r="EU135" s="47"/>
      <c r="EV135" s="47"/>
      <c r="EW135" s="47"/>
      <c r="EX135" s="47"/>
      <c r="EY135" s="47"/>
      <c r="EZ135" s="47"/>
      <c r="FA135" s="47"/>
      <c r="FB135" s="47"/>
      <c r="FC135" s="47"/>
      <c r="FD135" s="47"/>
      <c r="FE135" s="47"/>
      <c r="FF135" s="47"/>
      <c r="FG135" s="47"/>
      <c r="FH135" s="47"/>
      <c r="FI135" s="47"/>
      <c r="FJ135" s="47"/>
      <c r="FK135" s="47"/>
      <c r="FL135" s="47"/>
      <c r="FM135" s="47"/>
      <c r="FN135" s="47"/>
      <c r="FO135" s="47"/>
      <c r="FP135" s="47"/>
      <c r="FQ135" s="47"/>
      <c r="FR135" s="47"/>
      <c r="FS135" s="47"/>
      <c r="FT135" s="47"/>
      <c r="FU135" s="47"/>
      <c r="FV135" s="47"/>
      <c r="FW135" s="47"/>
      <c r="FX135" s="47"/>
      <c r="FY135" s="47"/>
      <c r="FZ135" s="47"/>
      <c r="GA135" s="47"/>
      <c r="GB135" s="47"/>
      <c r="GC135" s="47"/>
      <c r="GD135" s="47"/>
      <c r="GE135" s="47"/>
      <c r="GF135" s="47"/>
      <c r="GG135" s="47"/>
      <c r="GH135" s="47"/>
      <c r="GI135" s="47"/>
      <c r="GJ135" s="47"/>
      <c r="GK135" s="47"/>
      <c r="GL135" s="47"/>
      <c r="GM135" s="47"/>
      <c r="GN135" s="47"/>
      <c r="GO135" s="47"/>
      <c r="GP135" s="47"/>
      <c r="GQ135" s="47"/>
      <c r="GR135" s="47"/>
      <c r="GS135" s="47"/>
      <c r="GT135" s="47"/>
      <c r="GU135" s="47"/>
      <c r="GV135" s="47"/>
      <c r="GW135" s="47"/>
      <c r="GX135" s="47"/>
      <c r="GY135" s="47"/>
      <c r="GZ135" s="47"/>
      <c r="HA135" s="47"/>
      <c r="HB135" s="47"/>
      <c r="HC135" s="47"/>
      <c r="HD135" s="47"/>
      <c r="HE135" s="47"/>
      <c r="HF135" s="47"/>
      <c r="HG135" s="47"/>
      <c r="HH135" s="47"/>
      <c r="HI135" s="47"/>
      <c r="HJ135" s="47"/>
      <c r="HK135" s="47"/>
      <c r="HL135" s="47"/>
      <c r="HM135" s="47"/>
      <c r="HN135" s="47"/>
      <c r="HO135" s="47"/>
      <c r="HP135" s="47"/>
      <c r="HQ135" s="47"/>
      <c r="HR135" s="47"/>
      <c r="HS135" s="47"/>
      <c r="HT135" s="47"/>
      <c r="HU135" s="47"/>
      <c r="HV135" s="47"/>
      <c r="HW135" s="47"/>
      <c r="HX135" s="47"/>
      <c r="HY135" s="47"/>
      <c r="HZ135" s="47"/>
      <c r="IA135" s="47"/>
      <c r="IB135" s="47"/>
      <c r="IC135" s="47"/>
      <c r="ID135" s="47"/>
      <c r="IE135" s="47"/>
      <c r="IF135" s="47"/>
      <c r="IG135" s="47"/>
      <c r="IH135" s="47"/>
      <c r="II135" s="47"/>
      <c r="IJ135" s="47"/>
      <c r="IK135" s="47"/>
      <c r="IL135" s="47"/>
      <c r="IM135" s="47"/>
      <c r="IN135" s="47"/>
      <c r="IO135" s="47"/>
      <c r="IP135" s="47"/>
      <c r="IQ135" s="47"/>
      <c r="IR135" s="47"/>
      <c r="IS135" s="47"/>
      <c r="IT135" s="47"/>
      <c r="IU135" s="47"/>
      <c r="IV135" s="47"/>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F135" s="1"/>
      <c r="NG135" s="1"/>
      <c r="NH135" s="1"/>
      <c r="NI135" s="1"/>
      <c r="NJ135" s="1"/>
    </row>
    <row r="136" spans="1:374" ht="12.75" customHeight="1" x14ac:dyDescent="0.3">
      <c r="A136" s="59"/>
      <c r="B136" s="61"/>
      <c r="C136" s="61"/>
      <c r="D136" s="61"/>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c r="DU136" s="47"/>
      <c r="DV136" s="47"/>
      <c r="DW136" s="47"/>
      <c r="DX136" s="47"/>
      <c r="DY136" s="47"/>
      <c r="DZ136" s="47"/>
      <c r="EA136" s="47"/>
      <c r="EB136" s="47"/>
      <c r="EC136" s="47"/>
      <c r="ED136" s="47"/>
      <c r="EE136" s="47"/>
      <c r="EF136" s="47"/>
      <c r="EG136" s="47"/>
      <c r="EH136" s="47"/>
      <c r="EI136" s="47"/>
      <c r="EJ136" s="47"/>
      <c r="EK136" s="47"/>
      <c r="EL136" s="47"/>
      <c r="EM136" s="47"/>
      <c r="EN136" s="47"/>
      <c r="EO136" s="47"/>
      <c r="EP136" s="47"/>
      <c r="EQ136" s="47"/>
      <c r="ER136" s="47"/>
      <c r="ES136" s="47"/>
      <c r="ET136" s="47"/>
      <c r="EU136" s="47"/>
      <c r="EV136" s="47"/>
      <c r="EW136" s="47"/>
      <c r="EX136" s="47"/>
      <c r="EY136" s="47"/>
      <c r="EZ136" s="47"/>
      <c r="FA136" s="47"/>
      <c r="FB136" s="47"/>
      <c r="FC136" s="47"/>
      <c r="FD136" s="47"/>
      <c r="FE136" s="47"/>
      <c r="FF136" s="47"/>
      <c r="FG136" s="47"/>
      <c r="FH136" s="47"/>
      <c r="FI136" s="47"/>
      <c r="FJ136" s="47"/>
      <c r="FK136" s="47"/>
      <c r="FL136" s="47"/>
      <c r="FM136" s="47"/>
      <c r="FN136" s="47"/>
      <c r="FO136" s="47"/>
      <c r="FP136" s="47"/>
      <c r="FQ136" s="47"/>
      <c r="FR136" s="47"/>
      <c r="FS136" s="47"/>
      <c r="FT136" s="47"/>
      <c r="FU136" s="47"/>
      <c r="FV136" s="47"/>
      <c r="FW136" s="47"/>
      <c r="FX136" s="47"/>
      <c r="FY136" s="47"/>
      <c r="FZ136" s="47"/>
      <c r="GA136" s="47"/>
      <c r="GB136" s="47"/>
      <c r="GC136" s="47"/>
      <c r="GD136" s="47"/>
      <c r="GE136" s="47"/>
      <c r="GF136" s="47"/>
      <c r="GG136" s="47"/>
      <c r="GH136" s="47"/>
      <c r="GI136" s="47"/>
      <c r="GJ136" s="47"/>
      <c r="GK136" s="47"/>
      <c r="GL136" s="47"/>
      <c r="GM136" s="47"/>
      <c r="GN136" s="47"/>
      <c r="GO136" s="47"/>
      <c r="GP136" s="47"/>
      <c r="GQ136" s="47"/>
      <c r="GR136" s="47"/>
      <c r="GS136" s="47"/>
      <c r="GT136" s="47"/>
      <c r="GU136" s="47"/>
      <c r="GV136" s="47"/>
      <c r="GW136" s="47"/>
      <c r="GX136" s="47"/>
      <c r="GY136" s="47"/>
      <c r="GZ136" s="47"/>
      <c r="HA136" s="47"/>
      <c r="HB136" s="47"/>
      <c r="HC136" s="47"/>
      <c r="HD136" s="47"/>
      <c r="HE136" s="47"/>
      <c r="HF136" s="47"/>
      <c r="HG136" s="47"/>
      <c r="HH136" s="47"/>
      <c r="HI136" s="47"/>
      <c r="HJ136" s="47"/>
      <c r="HK136" s="47"/>
      <c r="HL136" s="47"/>
      <c r="HM136" s="47"/>
      <c r="HN136" s="47"/>
      <c r="HO136" s="47"/>
      <c r="HP136" s="47"/>
      <c r="HQ136" s="47"/>
      <c r="HR136" s="47"/>
      <c r="HS136" s="47"/>
      <c r="HT136" s="47"/>
      <c r="HU136" s="47"/>
      <c r="HV136" s="47"/>
      <c r="HW136" s="47"/>
      <c r="HX136" s="47"/>
      <c r="HY136" s="47"/>
      <c r="HZ136" s="47"/>
      <c r="IA136" s="47"/>
      <c r="IB136" s="47"/>
      <c r="IC136" s="47"/>
      <c r="ID136" s="47"/>
      <c r="IE136" s="47"/>
      <c r="IF136" s="47"/>
      <c r="IG136" s="47"/>
      <c r="IH136" s="47"/>
      <c r="II136" s="47"/>
      <c r="IJ136" s="47"/>
      <c r="IK136" s="47"/>
      <c r="IL136" s="47"/>
      <c r="IM136" s="47"/>
      <c r="IN136" s="47"/>
      <c r="IO136" s="47"/>
      <c r="IP136" s="47"/>
      <c r="IQ136" s="47"/>
      <c r="IR136" s="47"/>
      <c r="IS136" s="47"/>
      <c r="IT136" s="47"/>
      <c r="IU136" s="47"/>
      <c r="IV136" s="47"/>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F136" s="1"/>
      <c r="NG136" s="1"/>
      <c r="NH136" s="1"/>
      <c r="NI136" s="1"/>
      <c r="NJ136" s="1"/>
    </row>
    <row r="137" spans="1:374" ht="12.75" customHeight="1" x14ac:dyDescent="0.3">
      <c r="A137" s="59"/>
      <c r="B137" s="61"/>
      <c r="C137" s="61"/>
      <c r="D137" s="61"/>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c r="DU137" s="47"/>
      <c r="DV137" s="47"/>
      <c r="DW137" s="47"/>
      <c r="DX137" s="47"/>
      <c r="DY137" s="47"/>
      <c r="DZ137" s="47"/>
      <c r="EA137" s="47"/>
      <c r="EB137" s="47"/>
      <c r="EC137" s="47"/>
      <c r="ED137" s="47"/>
      <c r="EE137" s="47"/>
      <c r="EF137" s="47"/>
      <c r="EG137" s="47"/>
      <c r="EH137" s="47"/>
      <c r="EI137" s="47"/>
      <c r="EJ137" s="47"/>
      <c r="EK137" s="47"/>
      <c r="EL137" s="47"/>
      <c r="EM137" s="47"/>
      <c r="EN137" s="47"/>
      <c r="EO137" s="47"/>
      <c r="EP137" s="47"/>
      <c r="EQ137" s="47"/>
      <c r="ER137" s="47"/>
      <c r="ES137" s="47"/>
      <c r="ET137" s="47"/>
      <c r="EU137" s="47"/>
      <c r="EV137" s="47"/>
      <c r="EW137" s="47"/>
      <c r="EX137" s="47"/>
      <c r="EY137" s="47"/>
      <c r="EZ137" s="47"/>
      <c r="FA137" s="47"/>
      <c r="FB137" s="47"/>
      <c r="FC137" s="47"/>
      <c r="FD137" s="47"/>
      <c r="FE137" s="47"/>
      <c r="FF137" s="47"/>
      <c r="FG137" s="47"/>
      <c r="FH137" s="47"/>
      <c r="FI137" s="47"/>
      <c r="FJ137" s="47"/>
      <c r="FK137" s="47"/>
      <c r="FL137" s="47"/>
      <c r="FM137" s="47"/>
      <c r="FN137" s="47"/>
      <c r="FO137" s="47"/>
      <c r="FP137" s="47"/>
      <c r="FQ137" s="47"/>
      <c r="FR137" s="47"/>
      <c r="FS137" s="47"/>
      <c r="FT137" s="47"/>
      <c r="FU137" s="47"/>
      <c r="FV137" s="47"/>
      <c r="FW137" s="47"/>
      <c r="FX137" s="47"/>
      <c r="FY137" s="47"/>
      <c r="FZ137" s="47"/>
      <c r="GA137" s="47"/>
      <c r="GB137" s="47"/>
      <c r="GC137" s="47"/>
      <c r="GD137" s="47"/>
      <c r="GE137" s="47"/>
      <c r="GF137" s="47"/>
      <c r="GG137" s="47"/>
      <c r="GH137" s="47"/>
      <c r="GI137" s="47"/>
      <c r="GJ137" s="47"/>
      <c r="GK137" s="47"/>
      <c r="GL137" s="47"/>
      <c r="GM137" s="47"/>
      <c r="GN137" s="47"/>
      <c r="GO137" s="47"/>
      <c r="GP137" s="47"/>
      <c r="GQ137" s="47"/>
      <c r="GR137" s="47"/>
      <c r="GS137" s="47"/>
      <c r="GT137" s="47"/>
      <c r="GU137" s="47"/>
      <c r="GV137" s="47"/>
      <c r="GW137" s="47"/>
      <c r="GX137" s="47"/>
      <c r="GY137" s="47"/>
      <c r="GZ137" s="47"/>
      <c r="HA137" s="47"/>
      <c r="HB137" s="47"/>
      <c r="HC137" s="47"/>
      <c r="HD137" s="47"/>
      <c r="HE137" s="47"/>
      <c r="HF137" s="47"/>
      <c r="HG137" s="47"/>
      <c r="HH137" s="47"/>
      <c r="HI137" s="47"/>
      <c r="HJ137" s="47"/>
      <c r="HK137" s="47"/>
      <c r="HL137" s="47"/>
      <c r="HM137" s="47"/>
      <c r="HN137" s="47"/>
      <c r="HO137" s="47"/>
      <c r="HP137" s="47"/>
      <c r="HQ137" s="47"/>
      <c r="HR137" s="47"/>
      <c r="HS137" s="47"/>
      <c r="HT137" s="47"/>
      <c r="HU137" s="47"/>
      <c r="HV137" s="47"/>
      <c r="HW137" s="47"/>
      <c r="HX137" s="47"/>
      <c r="HY137" s="47"/>
      <c r="HZ137" s="47"/>
      <c r="IA137" s="47"/>
      <c r="IB137" s="47"/>
      <c r="IC137" s="47"/>
      <c r="ID137" s="47"/>
      <c r="IE137" s="47"/>
      <c r="IF137" s="47"/>
      <c r="IG137" s="47"/>
      <c r="IH137" s="47"/>
      <c r="II137" s="47"/>
      <c r="IJ137" s="47"/>
      <c r="IK137" s="47"/>
      <c r="IL137" s="47"/>
      <c r="IM137" s="47"/>
      <c r="IN137" s="47"/>
      <c r="IO137" s="47"/>
      <c r="IP137" s="47"/>
      <c r="IQ137" s="47"/>
      <c r="IR137" s="47"/>
      <c r="IS137" s="47"/>
      <c r="IT137" s="47"/>
      <c r="IU137" s="47"/>
      <c r="IV137" s="47"/>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F137" s="1"/>
      <c r="NG137" s="1"/>
      <c r="NH137" s="1"/>
      <c r="NI137" s="1"/>
      <c r="NJ137" s="1"/>
    </row>
    <row r="138" spans="1:374" ht="12.75" customHeight="1" x14ac:dyDescent="0.3">
      <c r="A138" s="59"/>
      <c r="B138" s="61"/>
      <c r="C138" s="61"/>
      <c r="D138" s="61"/>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c r="CT138" s="47"/>
      <c r="CU138" s="47"/>
      <c r="CV138" s="47"/>
      <c r="CW138" s="47"/>
      <c r="CX138" s="47"/>
      <c r="CY138" s="47"/>
      <c r="CZ138" s="47"/>
      <c r="DA138" s="47"/>
      <c r="DB138" s="47"/>
      <c r="DC138" s="47"/>
      <c r="DD138" s="47"/>
      <c r="DE138" s="47"/>
      <c r="DF138" s="47"/>
      <c r="DG138" s="47"/>
      <c r="DH138" s="47"/>
      <c r="DI138" s="47"/>
      <c r="DJ138" s="47"/>
      <c r="DK138" s="47"/>
      <c r="DL138" s="47"/>
      <c r="DM138" s="47"/>
      <c r="DN138" s="47"/>
      <c r="DO138" s="47"/>
      <c r="DP138" s="47"/>
      <c r="DQ138" s="47"/>
      <c r="DR138" s="47"/>
      <c r="DS138" s="47"/>
      <c r="DT138" s="47"/>
      <c r="DU138" s="47"/>
      <c r="DV138" s="47"/>
      <c r="DW138" s="47"/>
      <c r="DX138" s="47"/>
      <c r="DY138" s="47"/>
      <c r="DZ138" s="47"/>
      <c r="EA138" s="47"/>
      <c r="EB138" s="47"/>
      <c r="EC138" s="47"/>
      <c r="ED138" s="47"/>
      <c r="EE138" s="47"/>
      <c r="EF138" s="47"/>
      <c r="EG138" s="47"/>
      <c r="EH138" s="47"/>
      <c r="EI138" s="47"/>
      <c r="EJ138" s="47"/>
      <c r="EK138" s="47"/>
      <c r="EL138" s="47"/>
      <c r="EM138" s="47"/>
      <c r="EN138" s="47"/>
      <c r="EO138" s="47"/>
      <c r="EP138" s="47"/>
      <c r="EQ138" s="47"/>
      <c r="ER138" s="47"/>
      <c r="ES138" s="47"/>
      <c r="ET138" s="47"/>
      <c r="EU138" s="47"/>
      <c r="EV138" s="47"/>
      <c r="EW138" s="47"/>
      <c r="EX138" s="47"/>
      <c r="EY138" s="47"/>
      <c r="EZ138" s="47"/>
      <c r="FA138" s="47"/>
      <c r="FB138" s="47"/>
      <c r="FC138" s="47"/>
      <c r="FD138" s="47"/>
      <c r="FE138" s="47"/>
      <c r="FF138" s="47"/>
      <c r="FG138" s="47"/>
      <c r="FH138" s="47"/>
      <c r="FI138" s="47"/>
      <c r="FJ138" s="47"/>
      <c r="FK138" s="47"/>
      <c r="FL138" s="47"/>
      <c r="FM138" s="47"/>
      <c r="FN138" s="47"/>
      <c r="FO138" s="47"/>
      <c r="FP138" s="47"/>
      <c r="FQ138" s="47"/>
      <c r="FR138" s="47"/>
      <c r="FS138" s="47"/>
      <c r="FT138" s="47"/>
      <c r="FU138" s="47"/>
      <c r="FV138" s="47"/>
      <c r="FW138" s="47"/>
      <c r="FX138" s="47"/>
      <c r="FY138" s="47"/>
      <c r="FZ138" s="47"/>
      <c r="GA138" s="47"/>
      <c r="GB138" s="47"/>
      <c r="GC138" s="47"/>
      <c r="GD138" s="47"/>
      <c r="GE138" s="47"/>
      <c r="GF138" s="47"/>
      <c r="GG138" s="47"/>
      <c r="GH138" s="47"/>
      <c r="GI138" s="47"/>
      <c r="GJ138" s="47"/>
      <c r="GK138" s="47"/>
      <c r="GL138" s="47"/>
      <c r="GM138" s="47"/>
      <c r="GN138" s="47"/>
      <c r="GO138" s="47"/>
      <c r="GP138" s="47"/>
      <c r="GQ138" s="47"/>
      <c r="GR138" s="47"/>
      <c r="GS138" s="47"/>
      <c r="GT138" s="47"/>
      <c r="GU138" s="47"/>
      <c r="GV138" s="47"/>
      <c r="GW138" s="47"/>
      <c r="GX138" s="47"/>
      <c r="GY138" s="47"/>
      <c r="GZ138" s="47"/>
      <c r="HA138" s="47"/>
      <c r="HB138" s="47"/>
      <c r="HC138" s="47"/>
      <c r="HD138" s="47"/>
      <c r="HE138" s="47"/>
      <c r="HF138" s="47"/>
      <c r="HG138" s="47"/>
      <c r="HH138" s="47"/>
      <c r="HI138" s="47"/>
      <c r="HJ138" s="47"/>
      <c r="HK138" s="47"/>
      <c r="HL138" s="47"/>
      <c r="HM138" s="47"/>
      <c r="HN138" s="47"/>
      <c r="HO138" s="47"/>
      <c r="HP138" s="47"/>
      <c r="HQ138" s="47"/>
      <c r="HR138" s="47"/>
      <c r="HS138" s="47"/>
      <c r="HT138" s="47"/>
      <c r="HU138" s="47"/>
      <c r="HV138" s="47"/>
      <c r="HW138" s="47"/>
      <c r="HX138" s="47"/>
      <c r="HY138" s="47"/>
      <c r="HZ138" s="47"/>
      <c r="IA138" s="47"/>
      <c r="IB138" s="47"/>
      <c r="IC138" s="47"/>
      <c r="ID138" s="47"/>
      <c r="IE138" s="47"/>
      <c r="IF138" s="47"/>
      <c r="IG138" s="47"/>
      <c r="IH138" s="47"/>
      <c r="II138" s="47"/>
      <c r="IJ138" s="47"/>
      <c r="IK138" s="47"/>
      <c r="IL138" s="47"/>
      <c r="IM138" s="47"/>
      <c r="IN138" s="47"/>
      <c r="IO138" s="47"/>
      <c r="IP138" s="47"/>
      <c r="IQ138" s="47"/>
      <c r="IR138" s="47"/>
      <c r="IS138" s="47"/>
      <c r="IT138" s="47"/>
      <c r="IU138" s="47"/>
      <c r="IV138" s="47"/>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F138" s="1"/>
      <c r="NG138" s="1"/>
      <c r="NH138" s="1"/>
      <c r="NI138" s="1"/>
      <c r="NJ138" s="1"/>
    </row>
    <row r="139" spans="1:374" ht="12.75" customHeight="1" x14ac:dyDescent="0.3">
      <c r="A139" s="59"/>
      <c r="B139" s="61"/>
      <c r="C139" s="61"/>
      <c r="D139" s="61"/>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c r="CT139" s="47"/>
      <c r="CU139" s="47"/>
      <c r="CV139" s="47"/>
      <c r="CW139" s="47"/>
      <c r="CX139" s="47"/>
      <c r="CY139" s="47"/>
      <c r="CZ139" s="47"/>
      <c r="DA139" s="47"/>
      <c r="DB139" s="47"/>
      <c r="DC139" s="47"/>
      <c r="DD139" s="47"/>
      <c r="DE139" s="47"/>
      <c r="DF139" s="47"/>
      <c r="DG139" s="47"/>
      <c r="DH139" s="47"/>
      <c r="DI139" s="47"/>
      <c r="DJ139" s="47"/>
      <c r="DK139" s="47"/>
      <c r="DL139" s="47"/>
      <c r="DM139" s="47"/>
      <c r="DN139" s="47"/>
      <c r="DO139" s="47"/>
      <c r="DP139" s="47"/>
      <c r="DQ139" s="47"/>
      <c r="DR139" s="47"/>
      <c r="DS139" s="47"/>
      <c r="DT139" s="47"/>
      <c r="DU139" s="47"/>
      <c r="DV139" s="47"/>
      <c r="DW139" s="47"/>
      <c r="DX139" s="47"/>
      <c r="DY139" s="47"/>
      <c r="DZ139" s="47"/>
      <c r="EA139" s="47"/>
      <c r="EB139" s="47"/>
      <c r="EC139" s="47"/>
      <c r="ED139" s="47"/>
      <c r="EE139" s="47"/>
      <c r="EF139" s="47"/>
      <c r="EG139" s="47"/>
      <c r="EH139" s="47"/>
      <c r="EI139" s="47"/>
      <c r="EJ139" s="47"/>
      <c r="EK139" s="47"/>
      <c r="EL139" s="47"/>
      <c r="EM139" s="47"/>
      <c r="EN139" s="47"/>
      <c r="EO139" s="47"/>
      <c r="EP139" s="47"/>
      <c r="EQ139" s="47"/>
      <c r="ER139" s="47"/>
      <c r="ES139" s="47"/>
      <c r="ET139" s="47"/>
      <c r="EU139" s="47"/>
      <c r="EV139" s="47"/>
      <c r="EW139" s="47"/>
      <c r="EX139" s="47"/>
      <c r="EY139" s="47"/>
      <c r="EZ139" s="47"/>
      <c r="FA139" s="47"/>
      <c r="FB139" s="47"/>
      <c r="FC139" s="47"/>
      <c r="FD139" s="47"/>
      <c r="FE139" s="47"/>
      <c r="FF139" s="47"/>
      <c r="FG139" s="47"/>
      <c r="FH139" s="47"/>
      <c r="FI139" s="47"/>
      <c r="FJ139" s="47"/>
      <c r="FK139" s="47"/>
      <c r="FL139" s="47"/>
      <c r="FM139" s="47"/>
      <c r="FN139" s="47"/>
      <c r="FO139" s="47"/>
      <c r="FP139" s="47"/>
      <c r="FQ139" s="47"/>
      <c r="FR139" s="47"/>
      <c r="FS139" s="47"/>
      <c r="FT139" s="47"/>
      <c r="FU139" s="47"/>
      <c r="FV139" s="47"/>
      <c r="FW139" s="47"/>
      <c r="FX139" s="47"/>
      <c r="FY139" s="47"/>
      <c r="FZ139" s="47"/>
      <c r="GA139" s="47"/>
      <c r="GB139" s="47"/>
      <c r="GC139" s="47"/>
      <c r="GD139" s="47"/>
      <c r="GE139" s="47"/>
      <c r="GF139" s="47"/>
      <c r="GG139" s="47"/>
      <c r="GH139" s="47"/>
      <c r="GI139" s="47"/>
      <c r="GJ139" s="47"/>
      <c r="GK139" s="47"/>
      <c r="GL139" s="47"/>
      <c r="GM139" s="47"/>
      <c r="GN139" s="47"/>
      <c r="GO139" s="47"/>
      <c r="GP139" s="47"/>
      <c r="GQ139" s="47"/>
      <c r="GR139" s="47"/>
      <c r="GS139" s="47"/>
      <c r="GT139" s="47"/>
      <c r="GU139" s="47"/>
      <c r="GV139" s="47"/>
      <c r="GW139" s="47"/>
      <c r="GX139" s="47"/>
      <c r="GY139" s="47"/>
      <c r="GZ139" s="47"/>
      <c r="HA139" s="47"/>
      <c r="HB139" s="47"/>
      <c r="HC139" s="47"/>
      <c r="HD139" s="47"/>
      <c r="HE139" s="47"/>
      <c r="HF139" s="47"/>
      <c r="HG139" s="47"/>
      <c r="HH139" s="47"/>
      <c r="HI139" s="47"/>
      <c r="HJ139" s="47"/>
      <c r="HK139" s="47"/>
      <c r="HL139" s="47"/>
      <c r="HM139" s="47"/>
      <c r="HN139" s="47"/>
      <c r="HO139" s="47"/>
      <c r="HP139" s="47"/>
      <c r="HQ139" s="47"/>
      <c r="HR139" s="47"/>
      <c r="HS139" s="47"/>
      <c r="HT139" s="47"/>
      <c r="HU139" s="47"/>
      <c r="HV139" s="47"/>
      <c r="HW139" s="47"/>
      <c r="HX139" s="47"/>
      <c r="HY139" s="47"/>
      <c r="HZ139" s="47"/>
      <c r="IA139" s="47"/>
      <c r="IB139" s="47"/>
      <c r="IC139" s="47"/>
      <c r="ID139" s="47"/>
      <c r="IE139" s="47"/>
      <c r="IF139" s="47"/>
      <c r="IG139" s="47"/>
      <c r="IH139" s="47"/>
      <c r="II139" s="47"/>
      <c r="IJ139" s="47"/>
      <c r="IK139" s="47"/>
      <c r="IL139" s="47"/>
      <c r="IM139" s="47"/>
      <c r="IN139" s="47"/>
      <c r="IO139" s="47"/>
      <c r="IP139" s="47"/>
      <c r="IQ139" s="47"/>
      <c r="IR139" s="47"/>
      <c r="IS139" s="47"/>
      <c r="IT139" s="47"/>
      <c r="IU139" s="47"/>
      <c r="IV139" s="47"/>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F139" s="1"/>
      <c r="NG139" s="1"/>
      <c r="NH139" s="1"/>
      <c r="NI139" s="1"/>
      <c r="NJ139" s="1"/>
    </row>
    <row r="140" spans="1:374" ht="12.75" customHeight="1" x14ac:dyDescent="0.3">
      <c r="A140" s="59"/>
      <c r="B140" s="61"/>
      <c r="C140" s="61"/>
      <c r="D140" s="61"/>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c r="CT140" s="47"/>
      <c r="CU140" s="47"/>
      <c r="CV140" s="47"/>
      <c r="CW140" s="47"/>
      <c r="CX140" s="47"/>
      <c r="CY140" s="47"/>
      <c r="CZ140" s="47"/>
      <c r="DA140" s="47"/>
      <c r="DB140" s="47"/>
      <c r="DC140" s="47"/>
      <c r="DD140" s="47"/>
      <c r="DE140" s="47"/>
      <c r="DF140" s="47"/>
      <c r="DG140" s="47"/>
      <c r="DH140" s="47"/>
      <c r="DI140" s="47"/>
      <c r="DJ140" s="47"/>
      <c r="DK140" s="47"/>
      <c r="DL140" s="47"/>
      <c r="DM140" s="47"/>
      <c r="DN140" s="47"/>
      <c r="DO140" s="47"/>
      <c r="DP140" s="47"/>
      <c r="DQ140" s="47"/>
      <c r="DR140" s="47"/>
      <c r="DS140" s="47"/>
      <c r="DT140" s="47"/>
      <c r="DU140" s="47"/>
      <c r="DV140" s="47"/>
      <c r="DW140" s="47"/>
      <c r="DX140" s="47"/>
      <c r="DY140" s="47"/>
      <c r="DZ140" s="47"/>
      <c r="EA140" s="47"/>
      <c r="EB140" s="47"/>
      <c r="EC140" s="47"/>
      <c r="ED140" s="47"/>
      <c r="EE140" s="47"/>
      <c r="EF140" s="47"/>
      <c r="EG140" s="47"/>
      <c r="EH140" s="47"/>
      <c r="EI140" s="47"/>
      <c r="EJ140" s="47"/>
      <c r="EK140" s="47"/>
      <c r="EL140" s="47"/>
      <c r="EM140" s="47"/>
      <c r="EN140" s="47"/>
      <c r="EO140" s="47"/>
      <c r="EP140" s="47"/>
      <c r="EQ140" s="47"/>
      <c r="ER140" s="47"/>
      <c r="ES140" s="47"/>
      <c r="ET140" s="47"/>
      <c r="EU140" s="47"/>
      <c r="EV140" s="47"/>
      <c r="EW140" s="47"/>
      <c r="EX140" s="47"/>
      <c r="EY140" s="47"/>
      <c r="EZ140" s="47"/>
      <c r="FA140" s="47"/>
      <c r="FB140" s="47"/>
      <c r="FC140" s="47"/>
      <c r="FD140" s="47"/>
      <c r="FE140" s="47"/>
      <c r="FF140" s="47"/>
      <c r="FG140" s="47"/>
      <c r="FH140" s="47"/>
      <c r="FI140" s="47"/>
      <c r="FJ140" s="47"/>
      <c r="FK140" s="47"/>
      <c r="FL140" s="47"/>
      <c r="FM140" s="47"/>
      <c r="FN140" s="47"/>
      <c r="FO140" s="47"/>
      <c r="FP140" s="47"/>
      <c r="FQ140" s="47"/>
      <c r="FR140" s="47"/>
      <c r="FS140" s="47"/>
      <c r="FT140" s="47"/>
      <c r="FU140" s="47"/>
      <c r="FV140" s="47"/>
      <c r="FW140" s="47"/>
      <c r="FX140" s="47"/>
      <c r="FY140" s="47"/>
      <c r="FZ140" s="47"/>
      <c r="GA140" s="47"/>
      <c r="GB140" s="47"/>
      <c r="GC140" s="47"/>
      <c r="GD140" s="47"/>
      <c r="GE140" s="47"/>
      <c r="GF140" s="47"/>
      <c r="GG140" s="47"/>
      <c r="GH140" s="47"/>
      <c r="GI140" s="47"/>
      <c r="GJ140" s="47"/>
      <c r="GK140" s="47"/>
      <c r="GL140" s="47"/>
      <c r="GM140" s="47"/>
      <c r="GN140" s="47"/>
      <c r="GO140" s="47"/>
      <c r="GP140" s="47"/>
      <c r="GQ140" s="47"/>
      <c r="GR140" s="47"/>
      <c r="GS140" s="47"/>
      <c r="GT140" s="47"/>
      <c r="GU140" s="47"/>
      <c r="GV140" s="47"/>
      <c r="GW140" s="47"/>
      <c r="GX140" s="47"/>
      <c r="GY140" s="47"/>
      <c r="GZ140" s="47"/>
      <c r="HA140" s="47"/>
      <c r="HB140" s="47"/>
      <c r="HC140" s="47"/>
      <c r="HD140" s="47"/>
      <c r="HE140" s="47"/>
      <c r="HF140" s="47"/>
      <c r="HG140" s="47"/>
      <c r="HH140" s="47"/>
      <c r="HI140" s="47"/>
      <c r="HJ140" s="47"/>
      <c r="HK140" s="47"/>
      <c r="HL140" s="47"/>
      <c r="HM140" s="47"/>
      <c r="HN140" s="47"/>
      <c r="HO140" s="47"/>
      <c r="HP140" s="47"/>
      <c r="HQ140" s="47"/>
      <c r="HR140" s="47"/>
      <c r="HS140" s="47"/>
      <c r="HT140" s="47"/>
      <c r="HU140" s="47"/>
      <c r="HV140" s="47"/>
      <c r="HW140" s="47"/>
      <c r="HX140" s="47"/>
      <c r="HY140" s="47"/>
      <c r="HZ140" s="47"/>
      <c r="IA140" s="47"/>
      <c r="IB140" s="47"/>
      <c r="IC140" s="47"/>
      <c r="ID140" s="47"/>
      <c r="IE140" s="47"/>
      <c r="IF140" s="47"/>
      <c r="IG140" s="47"/>
      <c r="IH140" s="47"/>
      <c r="II140" s="47"/>
      <c r="IJ140" s="47"/>
      <c r="IK140" s="47"/>
      <c r="IL140" s="47"/>
      <c r="IM140" s="47"/>
      <c r="IN140" s="47"/>
      <c r="IO140" s="47"/>
      <c r="IP140" s="47"/>
      <c r="IQ140" s="47"/>
      <c r="IR140" s="47"/>
      <c r="IS140" s="47"/>
      <c r="IT140" s="47"/>
      <c r="IU140" s="47"/>
      <c r="IV140" s="47"/>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F140" s="1"/>
      <c r="NG140" s="1"/>
      <c r="NH140" s="1"/>
      <c r="NI140" s="1"/>
      <c r="NJ140" s="1"/>
    </row>
    <row r="141" spans="1:374" ht="12.75" customHeight="1" x14ac:dyDescent="0.3">
      <c r="A141" s="59"/>
      <c r="B141" s="61"/>
      <c r="C141" s="61"/>
      <c r="D141" s="61"/>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c r="CT141" s="47"/>
      <c r="CU141" s="47"/>
      <c r="CV141" s="47"/>
      <c r="CW141" s="47"/>
      <c r="CX141" s="47"/>
      <c r="CY141" s="47"/>
      <c r="CZ141" s="47"/>
      <c r="DA141" s="47"/>
      <c r="DB141" s="47"/>
      <c r="DC141" s="47"/>
      <c r="DD141" s="47"/>
      <c r="DE141" s="47"/>
      <c r="DF141" s="47"/>
      <c r="DG141" s="47"/>
      <c r="DH141" s="47"/>
      <c r="DI141" s="47"/>
      <c r="DJ141" s="47"/>
      <c r="DK141" s="47"/>
      <c r="DL141" s="47"/>
      <c r="DM141" s="47"/>
      <c r="DN141" s="47"/>
      <c r="DO141" s="47"/>
      <c r="DP141" s="47"/>
      <c r="DQ141" s="47"/>
      <c r="DR141" s="47"/>
      <c r="DS141" s="47"/>
      <c r="DT141" s="47"/>
      <c r="DU141" s="47"/>
      <c r="DV141" s="47"/>
      <c r="DW141" s="47"/>
      <c r="DX141" s="47"/>
      <c r="DY141" s="47"/>
      <c r="DZ141" s="47"/>
      <c r="EA141" s="47"/>
      <c r="EB141" s="47"/>
      <c r="EC141" s="47"/>
      <c r="ED141" s="47"/>
      <c r="EE141" s="47"/>
      <c r="EF141" s="47"/>
      <c r="EG141" s="47"/>
      <c r="EH141" s="47"/>
      <c r="EI141" s="47"/>
      <c r="EJ141" s="47"/>
      <c r="EK141" s="47"/>
      <c r="EL141" s="47"/>
      <c r="EM141" s="47"/>
      <c r="EN141" s="47"/>
      <c r="EO141" s="47"/>
      <c r="EP141" s="47"/>
      <c r="EQ141" s="47"/>
      <c r="ER141" s="47"/>
      <c r="ES141" s="47"/>
      <c r="ET141" s="47"/>
      <c r="EU141" s="47"/>
      <c r="EV141" s="47"/>
      <c r="EW141" s="47"/>
      <c r="EX141" s="47"/>
      <c r="EY141" s="47"/>
      <c r="EZ141" s="47"/>
      <c r="FA141" s="47"/>
      <c r="FB141" s="47"/>
      <c r="FC141" s="47"/>
      <c r="FD141" s="47"/>
      <c r="FE141" s="47"/>
      <c r="FF141" s="47"/>
      <c r="FG141" s="47"/>
      <c r="FH141" s="47"/>
      <c r="FI141" s="47"/>
      <c r="FJ141" s="47"/>
      <c r="FK141" s="47"/>
      <c r="FL141" s="47"/>
      <c r="FM141" s="47"/>
      <c r="FN141" s="47"/>
      <c r="FO141" s="47"/>
      <c r="FP141" s="47"/>
      <c r="FQ141" s="47"/>
      <c r="FR141" s="47"/>
      <c r="FS141" s="47"/>
      <c r="FT141" s="47"/>
      <c r="FU141" s="47"/>
      <c r="FV141" s="47"/>
      <c r="FW141" s="47"/>
      <c r="FX141" s="47"/>
      <c r="FY141" s="47"/>
      <c r="FZ141" s="47"/>
      <c r="GA141" s="47"/>
      <c r="GB141" s="47"/>
      <c r="GC141" s="47"/>
      <c r="GD141" s="47"/>
      <c r="GE141" s="47"/>
      <c r="GF141" s="47"/>
      <c r="GG141" s="47"/>
      <c r="GH141" s="47"/>
      <c r="GI141" s="47"/>
      <c r="GJ141" s="47"/>
      <c r="GK141" s="47"/>
      <c r="GL141" s="47"/>
      <c r="GM141" s="47"/>
      <c r="GN141" s="47"/>
      <c r="GO141" s="47"/>
      <c r="GP141" s="47"/>
      <c r="GQ141" s="47"/>
      <c r="GR141" s="47"/>
      <c r="GS141" s="47"/>
      <c r="GT141" s="47"/>
      <c r="GU141" s="47"/>
      <c r="GV141" s="47"/>
      <c r="GW141" s="47"/>
      <c r="GX141" s="47"/>
      <c r="GY141" s="47"/>
      <c r="GZ141" s="47"/>
      <c r="HA141" s="47"/>
      <c r="HB141" s="47"/>
      <c r="HC141" s="47"/>
      <c r="HD141" s="47"/>
      <c r="HE141" s="47"/>
      <c r="HF141" s="47"/>
      <c r="HG141" s="47"/>
      <c r="HH141" s="47"/>
      <c r="HI141" s="47"/>
      <c r="HJ141" s="47"/>
      <c r="HK141" s="47"/>
      <c r="HL141" s="47"/>
      <c r="HM141" s="47"/>
      <c r="HN141" s="47"/>
      <c r="HO141" s="47"/>
      <c r="HP141" s="47"/>
      <c r="HQ141" s="47"/>
      <c r="HR141" s="47"/>
      <c r="HS141" s="47"/>
      <c r="HT141" s="47"/>
      <c r="HU141" s="47"/>
      <c r="HV141" s="47"/>
      <c r="HW141" s="47"/>
      <c r="HX141" s="47"/>
      <c r="HY141" s="47"/>
      <c r="HZ141" s="47"/>
      <c r="IA141" s="47"/>
      <c r="IB141" s="47"/>
      <c r="IC141" s="47"/>
      <c r="ID141" s="47"/>
      <c r="IE141" s="47"/>
      <c r="IF141" s="47"/>
      <c r="IG141" s="47"/>
      <c r="IH141" s="47"/>
      <c r="II141" s="47"/>
      <c r="IJ141" s="47"/>
      <c r="IK141" s="47"/>
      <c r="IL141" s="47"/>
      <c r="IM141" s="47"/>
      <c r="IN141" s="47"/>
      <c r="IO141" s="47"/>
      <c r="IP141" s="47"/>
      <c r="IQ141" s="47"/>
      <c r="IR141" s="47"/>
      <c r="IS141" s="47"/>
      <c r="IT141" s="47"/>
      <c r="IU141" s="47"/>
      <c r="IV141" s="47"/>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F141" s="1"/>
      <c r="NG141" s="1"/>
      <c r="NH141" s="1"/>
      <c r="NI141" s="1"/>
      <c r="NJ141" s="1"/>
    </row>
    <row r="142" spans="1:374" ht="12.75" customHeight="1" x14ac:dyDescent="0.3">
      <c r="A142" s="59"/>
      <c r="B142" s="61"/>
      <c r="C142" s="61"/>
      <c r="D142" s="61"/>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c r="CT142" s="47"/>
      <c r="CU142" s="47"/>
      <c r="CV142" s="47"/>
      <c r="CW142" s="47"/>
      <c r="CX142" s="47"/>
      <c r="CY142" s="47"/>
      <c r="CZ142" s="47"/>
      <c r="DA142" s="47"/>
      <c r="DB142" s="47"/>
      <c r="DC142" s="47"/>
      <c r="DD142" s="47"/>
      <c r="DE142" s="47"/>
      <c r="DF142" s="47"/>
      <c r="DG142" s="47"/>
      <c r="DH142" s="47"/>
      <c r="DI142" s="47"/>
      <c r="DJ142" s="47"/>
      <c r="DK142" s="47"/>
      <c r="DL142" s="47"/>
      <c r="DM142" s="47"/>
      <c r="DN142" s="47"/>
      <c r="DO142" s="47"/>
      <c r="DP142" s="47"/>
      <c r="DQ142" s="47"/>
      <c r="DR142" s="47"/>
      <c r="DS142" s="47"/>
      <c r="DT142" s="47"/>
      <c r="DU142" s="47"/>
      <c r="DV142" s="47"/>
      <c r="DW142" s="47"/>
      <c r="DX142" s="47"/>
      <c r="DY142" s="47"/>
      <c r="DZ142" s="47"/>
      <c r="EA142" s="47"/>
      <c r="EB142" s="47"/>
      <c r="EC142" s="47"/>
      <c r="ED142" s="47"/>
      <c r="EE142" s="47"/>
      <c r="EF142" s="47"/>
      <c r="EG142" s="47"/>
      <c r="EH142" s="47"/>
      <c r="EI142" s="47"/>
      <c r="EJ142" s="47"/>
      <c r="EK142" s="47"/>
      <c r="EL142" s="47"/>
      <c r="EM142" s="47"/>
      <c r="EN142" s="47"/>
      <c r="EO142" s="47"/>
      <c r="EP142" s="47"/>
      <c r="EQ142" s="47"/>
      <c r="ER142" s="47"/>
      <c r="ES142" s="47"/>
      <c r="ET142" s="47"/>
      <c r="EU142" s="47"/>
      <c r="EV142" s="47"/>
      <c r="EW142" s="47"/>
      <c r="EX142" s="47"/>
      <c r="EY142" s="47"/>
      <c r="EZ142" s="47"/>
      <c r="FA142" s="47"/>
      <c r="FB142" s="47"/>
      <c r="FC142" s="47"/>
      <c r="FD142" s="47"/>
      <c r="FE142" s="47"/>
      <c r="FF142" s="47"/>
      <c r="FG142" s="47"/>
      <c r="FH142" s="47"/>
      <c r="FI142" s="47"/>
      <c r="FJ142" s="47"/>
      <c r="FK142" s="47"/>
      <c r="FL142" s="47"/>
      <c r="FM142" s="47"/>
      <c r="FN142" s="47"/>
      <c r="FO142" s="47"/>
      <c r="FP142" s="47"/>
      <c r="FQ142" s="47"/>
      <c r="FR142" s="47"/>
      <c r="FS142" s="47"/>
      <c r="FT142" s="47"/>
      <c r="FU142" s="47"/>
      <c r="FV142" s="47"/>
      <c r="FW142" s="47"/>
      <c r="FX142" s="47"/>
      <c r="FY142" s="47"/>
      <c r="FZ142" s="47"/>
      <c r="GA142" s="47"/>
      <c r="GB142" s="47"/>
      <c r="GC142" s="47"/>
      <c r="GD142" s="47"/>
      <c r="GE142" s="47"/>
      <c r="GF142" s="47"/>
      <c r="GG142" s="47"/>
      <c r="GH142" s="47"/>
      <c r="GI142" s="47"/>
      <c r="GJ142" s="47"/>
      <c r="GK142" s="47"/>
      <c r="GL142" s="47"/>
      <c r="GM142" s="47"/>
      <c r="GN142" s="47"/>
      <c r="GO142" s="47"/>
      <c r="GP142" s="47"/>
      <c r="GQ142" s="47"/>
      <c r="GR142" s="47"/>
      <c r="GS142" s="47"/>
      <c r="GT142" s="47"/>
      <c r="GU142" s="47"/>
      <c r="GV142" s="47"/>
      <c r="GW142" s="47"/>
      <c r="GX142" s="47"/>
      <c r="GY142" s="47"/>
      <c r="GZ142" s="47"/>
      <c r="HA142" s="47"/>
      <c r="HB142" s="47"/>
      <c r="HC142" s="47"/>
      <c r="HD142" s="47"/>
      <c r="HE142" s="47"/>
      <c r="HF142" s="47"/>
      <c r="HG142" s="47"/>
      <c r="HH142" s="47"/>
      <c r="HI142" s="47"/>
      <c r="HJ142" s="47"/>
      <c r="HK142" s="47"/>
      <c r="HL142" s="47"/>
      <c r="HM142" s="47"/>
      <c r="HN142" s="47"/>
      <c r="HO142" s="47"/>
      <c r="HP142" s="47"/>
      <c r="HQ142" s="47"/>
      <c r="HR142" s="47"/>
      <c r="HS142" s="47"/>
      <c r="HT142" s="47"/>
      <c r="HU142" s="47"/>
      <c r="HV142" s="47"/>
      <c r="HW142" s="47"/>
      <c r="HX142" s="47"/>
      <c r="HY142" s="47"/>
      <c r="HZ142" s="47"/>
      <c r="IA142" s="47"/>
      <c r="IB142" s="47"/>
      <c r="IC142" s="47"/>
      <c r="ID142" s="47"/>
      <c r="IE142" s="47"/>
      <c r="IF142" s="47"/>
      <c r="IG142" s="47"/>
      <c r="IH142" s="47"/>
      <c r="II142" s="47"/>
      <c r="IJ142" s="47"/>
      <c r="IK142" s="47"/>
      <c r="IL142" s="47"/>
      <c r="IM142" s="47"/>
      <c r="IN142" s="47"/>
      <c r="IO142" s="47"/>
      <c r="IP142" s="47"/>
      <c r="IQ142" s="47"/>
      <c r="IR142" s="47"/>
      <c r="IS142" s="47"/>
      <c r="IT142" s="47"/>
      <c r="IU142" s="47"/>
      <c r="IV142" s="47"/>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F142" s="1"/>
      <c r="NG142" s="1"/>
      <c r="NH142" s="1"/>
      <c r="NI142" s="1"/>
      <c r="NJ142" s="1"/>
    </row>
    <row r="143" spans="1:374" ht="12.75" customHeight="1" x14ac:dyDescent="0.3">
      <c r="A143" s="59"/>
      <c r="B143" s="61"/>
      <c r="C143" s="61"/>
      <c r="D143" s="61"/>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c r="CT143" s="47"/>
      <c r="CU143" s="47"/>
      <c r="CV143" s="47"/>
      <c r="CW143" s="47"/>
      <c r="CX143" s="47"/>
      <c r="CY143" s="47"/>
      <c r="CZ143" s="47"/>
      <c r="DA143" s="47"/>
      <c r="DB143" s="47"/>
      <c r="DC143" s="47"/>
      <c r="DD143" s="47"/>
      <c r="DE143" s="47"/>
      <c r="DF143" s="47"/>
      <c r="DG143" s="47"/>
      <c r="DH143" s="47"/>
      <c r="DI143" s="47"/>
      <c r="DJ143" s="47"/>
      <c r="DK143" s="47"/>
      <c r="DL143" s="47"/>
      <c r="DM143" s="47"/>
      <c r="DN143" s="47"/>
      <c r="DO143" s="47"/>
      <c r="DP143" s="47"/>
      <c r="DQ143" s="47"/>
      <c r="DR143" s="47"/>
      <c r="DS143" s="47"/>
      <c r="DT143" s="47"/>
      <c r="DU143" s="47"/>
      <c r="DV143" s="47"/>
      <c r="DW143" s="47"/>
      <c r="DX143" s="47"/>
      <c r="DY143" s="47"/>
      <c r="DZ143" s="47"/>
      <c r="EA143" s="47"/>
      <c r="EB143" s="47"/>
      <c r="EC143" s="47"/>
      <c r="ED143" s="47"/>
      <c r="EE143" s="47"/>
      <c r="EF143" s="47"/>
      <c r="EG143" s="47"/>
      <c r="EH143" s="47"/>
      <c r="EI143" s="47"/>
      <c r="EJ143" s="47"/>
      <c r="EK143" s="47"/>
      <c r="EL143" s="47"/>
      <c r="EM143" s="47"/>
      <c r="EN143" s="47"/>
      <c r="EO143" s="47"/>
      <c r="EP143" s="47"/>
      <c r="EQ143" s="47"/>
      <c r="ER143" s="47"/>
      <c r="ES143" s="47"/>
      <c r="ET143" s="47"/>
      <c r="EU143" s="47"/>
      <c r="EV143" s="47"/>
      <c r="EW143" s="47"/>
      <c r="EX143" s="47"/>
      <c r="EY143" s="47"/>
      <c r="EZ143" s="47"/>
      <c r="FA143" s="47"/>
      <c r="FB143" s="47"/>
      <c r="FC143" s="47"/>
      <c r="FD143" s="47"/>
      <c r="FE143" s="47"/>
      <c r="FF143" s="47"/>
      <c r="FG143" s="47"/>
      <c r="FH143" s="47"/>
      <c r="FI143" s="47"/>
      <c r="FJ143" s="47"/>
      <c r="FK143" s="47"/>
      <c r="FL143" s="47"/>
      <c r="FM143" s="47"/>
      <c r="FN143" s="47"/>
      <c r="FO143" s="47"/>
      <c r="FP143" s="47"/>
      <c r="FQ143" s="47"/>
      <c r="FR143" s="47"/>
      <c r="FS143" s="47"/>
      <c r="FT143" s="47"/>
      <c r="FU143" s="47"/>
      <c r="FV143" s="47"/>
      <c r="FW143" s="47"/>
      <c r="FX143" s="47"/>
      <c r="FY143" s="47"/>
      <c r="FZ143" s="47"/>
      <c r="GA143" s="47"/>
      <c r="GB143" s="47"/>
      <c r="GC143" s="47"/>
      <c r="GD143" s="47"/>
      <c r="GE143" s="47"/>
      <c r="GF143" s="47"/>
      <c r="GG143" s="47"/>
      <c r="GH143" s="47"/>
      <c r="GI143" s="47"/>
      <c r="GJ143" s="47"/>
      <c r="GK143" s="47"/>
      <c r="GL143" s="47"/>
      <c r="GM143" s="47"/>
      <c r="GN143" s="47"/>
      <c r="GO143" s="47"/>
      <c r="GP143" s="47"/>
      <c r="GQ143" s="47"/>
      <c r="GR143" s="47"/>
      <c r="GS143" s="47"/>
      <c r="GT143" s="47"/>
      <c r="GU143" s="47"/>
      <c r="GV143" s="47"/>
      <c r="GW143" s="47"/>
      <c r="GX143" s="47"/>
      <c r="GY143" s="47"/>
      <c r="GZ143" s="47"/>
      <c r="HA143" s="47"/>
      <c r="HB143" s="47"/>
      <c r="HC143" s="47"/>
      <c r="HD143" s="47"/>
      <c r="HE143" s="47"/>
      <c r="HF143" s="47"/>
      <c r="HG143" s="47"/>
      <c r="HH143" s="47"/>
      <c r="HI143" s="47"/>
      <c r="HJ143" s="47"/>
      <c r="HK143" s="47"/>
      <c r="HL143" s="47"/>
      <c r="HM143" s="47"/>
      <c r="HN143" s="47"/>
      <c r="HO143" s="47"/>
      <c r="HP143" s="47"/>
      <c r="HQ143" s="47"/>
      <c r="HR143" s="47"/>
      <c r="HS143" s="47"/>
      <c r="HT143" s="47"/>
      <c r="HU143" s="47"/>
      <c r="HV143" s="47"/>
      <c r="HW143" s="47"/>
      <c r="HX143" s="47"/>
      <c r="HY143" s="47"/>
      <c r="HZ143" s="47"/>
      <c r="IA143" s="47"/>
      <c r="IB143" s="47"/>
      <c r="IC143" s="47"/>
      <c r="ID143" s="47"/>
      <c r="IE143" s="47"/>
      <c r="IF143" s="47"/>
      <c r="IG143" s="47"/>
      <c r="IH143" s="47"/>
      <c r="II143" s="47"/>
      <c r="IJ143" s="47"/>
      <c r="IK143" s="47"/>
      <c r="IL143" s="47"/>
      <c r="IM143" s="47"/>
      <c r="IN143" s="47"/>
      <c r="IO143" s="47"/>
      <c r="IP143" s="47"/>
      <c r="IQ143" s="47"/>
      <c r="IR143" s="47"/>
      <c r="IS143" s="47"/>
      <c r="IT143" s="47"/>
      <c r="IU143" s="47"/>
      <c r="IV143" s="47"/>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F143" s="1"/>
      <c r="NG143" s="1"/>
      <c r="NH143" s="1"/>
      <c r="NI143" s="1"/>
      <c r="NJ143" s="1"/>
    </row>
    <row r="144" spans="1:374" ht="12.75" customHeight="1" x14ac:dyDescent="0.3">
      <c r="A144" s="59"/>
      <c r="B144" s="61"/>
      <c r="C144" s="61"/>
      <c r="D144" s="61"/>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c r="CT144" s="47"/>
      <c r="CU144" s="47"/>
      <c r="CV144" s="47"/>
      <c r="CW144" s="47"/>
      <c r="CX144" s="47"/>
      <c r="CY144" s="47"/>
      <c r="CZ144" s="47"/>
      <c r="DA144" s="47"/>
      <c r="DB144" s="47"/>
      <c r="DC144" s="47"/>
      <c r="DD144" s="47"/>
      <c r="DE144" s="47"/>
      <c r="DF144" s="47"/>
      <c r="DG144" s="47"/>
      <c r="DH144" s="47"/>
      <c r="DI144" s="47"/>
      <c r="DJ144" s="47"/>
      <c r="DK144" s="47"/>
      <c r="DL144" s="47"/>
      <c r="DM144" s="47"/>
      <c r="DN144" s="47"/>
      <c r="DO144" s="47"/>
      <c r="DP144" s="47"/>
      <c r="DQ144" s="47"/>
      <c r="DR144" s="47"/>
      <c r="DS144" s="47"/>
      <c r="DT144" s="47"/>
      <c r="DU144" s="47"/>
      <c r="DV144" s="47"/>
      <c r="DW144" s="47"/>
      <c r="DX144" s="47"/>
      <c r="DY144" s="47"/>
      <c r="DZ144" s="47"/>
      <c r="EA144" s="47"/>
      <c r="EB144" s="47"/>
      <c r="EC144" s="47"/>
      <c r="ED144" s="47"/>
      <c r="EE144" s="47"/>
      <c r="EF144" s="47"/>
      <c r="EG144" s="47"/>
      <c r="EH144" s="47"/>
      <c r="EI144" s="47"/>
      <c r="EJ144" s="47"/>
      <c r="EK144" s="47"/>
      <c r="EL144" s="47"/>
      <c r="EM144" s="47"/>
      <c r="EN144" s="47"/>
      <c r="EO144" s="47"/>
      <c r="EP144" s="47"/>
      <c r="EQ144" s="47"/>
      <c r="ER144" s="47"/>
      <c r="ES144" s="47"/>
      <c r="ET144" s="47"/>
      <c r="EU144" s="47"/>
      <c r="EV144" s="47"/>
      <c r="EW144" s="47"/>
      <c r="EX144" s="47"/>
      <c r="EY144" s="47"/>
      <c r="EZ144" s="47"/>
      <c r="FA144" s="47"/>
      <c r="FB144" s="47"/>
      <c r="FC144" s="47"/>
      <c r="FD144" s="47"/>
      <c r="FE144" s="47"/>
      <c r="FF144" s="47"/>
      <c r="FG144" s="47"/>
      <c r="FH144" s="47"/>
      <c r="FI144" s="47"/>
      <c r="FJ144" s="47"/>
      <c r="FK144" s="47"/>
      <c r="FL144" s="47"/>
      <c r="FM144" s="47"/>
      <c r="FN144" s="47"/>
      <c r="FO144" s="47"/>
      <c r="FP144" s="47"/>
      <c r="FQ144" s="47"/>
      <c r="FR144" s="47"/>
      <c r="FS144" s="47"/>
      <c r="FT144" s="47"/>
      <c r="FU144" s="47"/>
      <c r="FV144" s="47"/>
      <c r="FW144" s="47"/>
      <c r="FX144" s="47"/>
      <c r="FY144" s="47"/>
      <c r="FZ144" s="47"/>
      <c r="GA144" s="47"/>
      <c r="GB144" s="47"/>
      <c r="GC144" s="47"/>
      <c r="GD144" s="47"/>
      <c r="GE144" s="47"/>
      <c r="GF144" s="47"/>
      <c r="GG144" s="47"/>
      <c r="GH144" s="47"/>
      <c r="GI144" s="47"/>
      <c r="GJ144" s="47"/>
      <c r="GK144" s="47"/>
      <c r="GL144" s="47"/>
      <c r="GM144" s="47"/>
      <c r="GN144" s="47"/>
      <c r="GO144" s="47"/>
      <c r="GP144" s="47"/>
      <c r="GQ144" s="47"/>
      <c r="GR144" s="47"/>
      <c r="GS144" s="47"/>
      <c r="GT144" s="47"/>
      <c r="GU144" s="47"/>
      <c r="GV144" s="47"/>
      <c r="GW144" s="47"/>
      <c r="GX144" s="47"/>
      <c r="GY144" s="47"/>
      <c r="GZ144" s="47"/>
      <c r="HA144" s="47"/>
      <c r="HB144" s="47"/>
      <c r="HC144" s="47"/>
      <c r="HD144" s="47"/>
      <c r="HE144" s="47"/>
      <c r="HF144" s="47"/>
      <c r="HG144" s="47"/>
      <c r="HH144" s="47"/>
      <c r="HI144" s="47"/>
      <c r="HJ144" s="47"/>
      <c r="HK144" s="47"/>
      <c r="HL144" s="47"/>
      <c r="HM144" s="47"/>
      <c r="HN144" s="47"/>
      <c r="HO144" s="47"/>
      <c r="HP144" s="47"/>
      <c r="HQ144" s="47"/>
      <c r="HR144" s="47"/>
      <c r="HS144" s="47"/>
      <c r="HT144" s="47"/>
      <c r="HU144" s="47"/>
      <c r="HV144" s="47"/>
      <c r="HW144" s="47"/>
      <c r="HX144" s="47"/>
      <c r="HY144" s="47"/>
      <c r="HZ144" s="47"/>
      <c r="IA144" s="47"/>
      <c r="IB144" s="47"/>
      <c r="IC144" s="47"/>
      <c r="ID144" s="47"/>
      <c r="IE144" s="47"/>
      <c r="IF144" s="47"/>
      <c r="IG144" s="47"/>
      <c r="IH144" s="47"/>
      <c r="II144" s="47"/>
      <c r="IJ144" s="47"/>
      <c r="IK144" s="47"/>
      <c r="IL144" s="47"/>
      <c r="IM144" s="47"/>
      <c r="IN144" s="47"/>
      <c r="IO144" s="47"/>
      <c r="IP144" s="47"/>
      <c r="IQ144" s="47"/>
      <c r="IR144" s="47"/>
      <c r="IS144" s="47"/>
      <c r="IT144" s="47"/>
      <c r="IU144" s="47"/>
      <c r="IV144" s="47"/>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F144" s="1"/>
      <c r="NG144" s="1"/>
      <c r="NH144" s="1"/>
      <c r="NI144" s="1"/>
      <c r="NJ144" s="1"/>
    </row>
    <row r="145" spans="1:374" ht="12.75" customHeight="1" x14ac:dyDescent="0.3">
      <c r="A145" s="59"/>
      <c r="B145" s="61"/>
      <c r="C145" s="61"/>
      <c r="D145" s="61"/>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c r="CT145" s="47"/>
      <c r="CU145" s="47"/>
      <c r="CV145" s="47"/>
      <c r="CW145" s="47"/>
      <c r="CX145" s="47"/>
      <c r="CY145" s="47"/>
      <c r="CZ145" s="47"/>
      <c r="DA145" s="47"/>
      <c r="DB145" s="47"/>
      <c r="DC145" s="47"/>
      <c r="DD145" s="47"/>
      <c r="DE145" s="47"/>
      <c r="DF145" s="47"/>
      <c r="DG145" s="47"/>
      <c r="DH145" s="47"/>
      <c r="DI145" s="47"/>
      <c r="DJ145" s="47"/>
      <c r="DK145" s="47"/>
      <c r="DL145" s="47"/>
      <c r="DM145" s="47"/>
      <c r="DN145" s="47"/>
      <c r="DO145" s="47"/>
      <c r="DP145" s="47"/>
      <c r="DQ145" s="47"/>
      <c r="DR145" s="47"/>
      <c r="DS145" s="47"/>
      <c r="DT145" s="47"/>
      <c r="DU145" s="47"/>
      <c r="DV145" s="47"/>
      <c r="DW145" s="47"/>
      <c r="DX145" s="47"/>
      <c r="DY145" s="47"/>
      <c r="DZ145" s="47"/>
      <c r="EA145" s="47"/>
      <c r="EB145" s="47"/>
      <c r="EC145" s="47"/>
      <c r="ED145" s="47"/>
      <c r="EE145" s="47"/>
      <c r="EF145" s="47"/>
      <c r="EG145" s="47"/>
      <c r="EH145" s="47"/>
      <c r="EI145" s="47"/>
      <c r="EJ145" s="47"/>
      <c r="EK145" s="47"/>
      <c r="EL145" s="47"/>
      <c r="EM145" s="47"/>
      <c r="EN145" s="47"/>
      <c r="EO145" s="47"/>
      <c r="EP145" s="47"/>
      <c r="EQ145" s="47"/>
      <c r="ER145" s="47"/>
      <c r="ES145" s="47"/>
      <c r="ET145" s="47"/>
      <c r="EU145" s="47"/>
      <c r="EV145" s="47"/>
      <c r="EW145" s="47"/>
      <c r="EX145" s="47"/>
      <c r="EY145" s="47"/>
      <c r="EZ145" s="47"/>
      <c r="FA145" s="47"/>
      <c r="FB145" s="47"/>
      <c r="FC145" s="47"/>
      <c r="FD145" s="47"/>
      <c r="FE145" s="47"/>
      <c r="FF145" s="47"/>
      <c r="FG145" s="47"/>
      <c r="FH145" s="47"/>
      <c r="FI145" s="47"/>
      <c r="FJ145" s="47"/>
      <c r="FK145" s="47"/>
      <c r="FL145" s="47"/>
      <c r="FM145" s="47"/>
      <c r="FN145" s="47"/>
      <c r="FO145" s="47"/>
      <c r="FP145" s="47"/>
      <c r="FQ145" s="47"/>
      <c r="FR145" s="47"/>
      <c r="FS145" s="47"/>
      <c r="FT145" s="47"/>
      <c r="FU145" s="47"/>
      <c r="FV145" s="47"/>
      <c r="FW145" s="47"/>
      <c r="FX145" s="47"/>
      <c r="FY145" s="47"/>
      <c r="FZ145" s="47"/>
      <c r="GA145" s="47"/>
      <c r="GB145" s="47"/>
      <c r="GC145" s="47"/>
      <c r="GD145" s="47"/>
      <c r="GE145" s="47"/>
      <c r="GF145" s="47"/>
      <c r="GG145" s="47"/>
      <c r="GH145" s="47"/>
      <c r="GI145" s="47"/>
      <c r="GJ145" s="47"/>
      <c r="GK145" s="47"/>
      <c r="GL145" s="47"/>
      <c r="GM145" s="47"/>
      <c r="GN145" s="47"/>
      <c r="GO145" s="47"/>
      <c r="GP145" s="47"/>
      <c r="GQ145" s="47"/>
      <c r="GR145" s="47"/>
      <c r="GS145" s="47"/>
      <c r="GT145" s="47"/>
      <c r="GU145" s="47"/>
      <c r="GV145" s="47"/>
      <c r="GW145" s="47"/>
      <c r="GX145" s="47"/>
      <c r="GY145" s="47"/>
      <c r="GZ145" s="47"/>
      <c r="HA145" s="47"/>
      <c r="HB145" s="47"/>
      <c r="HC145" s="47"/>
      <c r="HD145" s="47"/>
      <c r="HE145" s="47"/>
      <c r="HF145" s="47"/>
      <c r="HG145" s="47"/>
      <c r="HH145" s="47"/>
      <c r="HI145" s="47"/>
      <c r="HJ145" s="47"/>
      <c r="HK145" s="47"/>
      <c r="HL145" s="47"/>
      <c r="HM145" s="47"/>
      <c r="HN145" s="47"/>
      <c r="HO145" s="47"/>
      <c r="HP145" s="47"/>
      <c r="HQ145" s="47"/>
      <c r="HR145" s="47"/>
      <c r="HS145" s="47"/>
      <c r="HT145" s="47"/>
      <c r="HU145" s="47"/>
      <c r="HV145" s="47"/>
      <c r="HW145" s="47"/>
      <c r="HX145" s="47"/>
      <c r="HY145" s="47"/>
      <c r="HZ145" s="47"/>
      <c r="IA145" s="47"/>
      <c r="IB145" s="47"/>
      <c r="IC145" s="47"/>
      <c r="ID145" s="47"/>
      <c r="IE145" s="47"/>
      <c r="IF145" s="47"/>
      <c r="IG145" s="47"/>
      <c r="IH145" s="47"/>
      <c r="II145" s="47"/>
      <c r="IJ145" s="47"/>
      <c r="IK145" s="47"/>
      <c r="IL145" s="47"/>
      <c r="IM145" s="47"/>
      <c r="IN145" s="47"/>
      <c r="IO145" s="47"/>
      <c r="IP145" s="47"/>
      <c r="IQ145" s="47"/>
      <c r="IR145" s="47"/>
      <c r="IS145" s="47"/>
      <c r="IT145" s="47"/>
      <c r="IU145" s="47"/>
      <c r="IV145" s="47"/>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F145" s="1"/>
      <c r="NG145" s="1"/>
      <c r="NH145" s="1"/>
      <c r="NI145" s="1"/>
      <c r="NJ145" s="1"/>
    </row>
    <row r="146" spans="1:374" ht="12.75" customHeight="1" x14ac:dyDescent="0.3">
      <c r="A146" s="59"/>
      <c r="B146" s="61"/>
      <c r="C146" s="61"/>
      <c r="D146" s="61"/>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c r="CT146" s="47"/>
      <c r="CU146" s="47"/>
      <c r="CV146" s="47"/>
      <c r="CW146" s="47"/>
      <c r="CX146" s="47"/>
      <c r="CY146" s="47"/>
      <c r="CZ146" s="47"/>
      <c r="DA146" s="47"/>
      <c r="DB146" s="47"/>
      <c r="DC146" s="47"/>
      <c r="DD146" s="47"/>
      <c r="DE146" s="47"/>
      <c r="DF146" s="47"/>
      <c r="DG146" s="47"/>
      <c r="DH146" s="47"/>
      <c r="DI146" s="47"/>
      <c r="DJ146" s="47"/>
      <c r="DK146" s="47"/>
      <c r="DL146" s="47"/>
      <c r="DM146" s="47"/>
      <c r="DN146" s="47"/>
      <c r="DO146" s="47"/>
      <c r="DP146" s="47"/>
      <c r="DQ146" s="47"/>
      <c r="DR146" s="47"/>
      <c r="DS146" s="47"/>
      <c r="DT146" s="47"/>
      <c r="DU146" s="47"/>
      <c r="DV146" s="47"/>
      <c r="DW146" s="47"/>
      <c r="DX146" s="47"/>
      <c r="DY146" s="47"/>
      <c r="DZ146" s="47"/>
      <c r="EA146" s="47"/>
      <c r="EB146" s="47"/>
      <c r="EC146" s="47"/>
      <c r="ED146" s="47"/>
      <c r="EE146" s="47"/>
      <c r="EF146" s="47"/>
      <c r="EG146" s="47"/>
      <c r="EH146" s="47"/>
      <c r="EI146" s="47"/>
      <c r="EJ146" s="47"/>
      <c r="EK146" s="47"/>
      <c r="EL146" s="47"/>
      <c r="EM146" s="47"/>
      <c r="EN146" s="47"/>
      <c r="EO146" s="47"/>
      <c r="EP146" s="47"/>
      <c r="EQ146" s="47"/>
      <c r="ER146" s="47"/>
      <c r="ES146" s="47"/>
      <c r="ET146" s="47"/>
      <c r="EU146" s="47"/>
      <c r="EV146" s="47"/>
      <c r="EW146" s="47"/>
      <c r="EX146" s="47"/>
      <c r="EY146" s="47"/>
      <c r="EZ146" s="47"/>
      <c r="FA146" s="47"/>
      <c r="FB146" s="47"/>
      <c r="FC146" s="47"/>
      <c r="FD146" s="47"/>
      <c r="FE146" s="47"/>
      <c r="FF146" s="47"/>
      <c r="FG146" s="47"/>
      <c r="FH146" s="47"/>
      <c r="FI146" s="47"/>
      <c r="FJ146" s="47"/>
      <c r="FK146" s="47"/>
      <c r="FL146" s="47"/>
      <c r="FM146" s="47"/>
      <c r="FN146" s="47"/>
      <c r="FO146" s="47"/>
      <c r="FP146" s="47"/>
      <c r="FQ146" s="47"/>
      <c r="FR146" s="47"/>
      <c r="FS146" s="47"/>
      <c r="FT146" s="47"/>
      <c r="FU146" s="47"/>
      <c r="FV146" s="47"/>
      <c r="FW146" s="47"/>
      <c r="FX146" s="47"/>
      <c r="FY146" s="47"/>
      <c r="FZ146" s="47"/>
      <c r="GA146" s="47"/>
      <c r="GB146" s="47"/>
      <c r="GC146" s="47"/>
      <c r="GD146" s="47"/>
      <c r="GE146" s="47"/>
      <c r="GF146" s="47"/>
      <c r="GG146" s="47"/>
      <c r="GH146" s="47"/>
      <c r="GI146" s="47"/>
      <c r="GJ146" s="47"/>
      <c r="GK146" s="47"/>
      <c r="GL146" s="47"/>
      <c r="GM146" s="47"/>
      <c r="GN146" s="47"/>
      <c r="GO146" s="47"/>
      <c r="GP146" s="47"/>
      <c r="GQ146" s="47"/>
      <c r="GR146" s="47"/>
      <c r="GS146" s="47"/>
      <c r="GT146" s="47"/>
      <c r="GU146" s="47"/>
      <c r="GV146" s="47"/>
      <c r="GW146" s="47"/>
      <c r="GX146" s="47"/>
      <c r="GY146" s="47"/>
      <c r="GZ146" s="47"/>
      <c r="HA146" s="47"/>
      <c r="HB146" s="47"/>
      <c r="HC146" s="47"/>
      <c r="HD146" s="47"/>
      <c r="HE146" s="47"/>
      <c r="HF146" s="47"/>
      <c r="HG146" s="47"/>
      <c r="HH146" s="47"/>
      <c r="HI146" s="47"/>
      <c r="HJ146" s="47"/>
      <c r="HK146" s="47"/>
      <c r="HL146" s="47"/>
      <c r="HM146" s="47"/>
      <c r="HN146" s="47"/>
      <c r="HO146" s="47"/>
      <c r="HP146" s="47"/>
      <c r="HQ146" s="47"/>
      <c r="HR146" s="47"/>
      <c r="HS146" s="47"/>
      <c r="HT146" s="47"/>
      <c r="HU146" s="47"/>
      <c r="HV146" s="47"/>
      <c r="HW146" s="47"/>
      <c r="HX146" s="47"/>
      <c r="HY146" s="47"/>
      <c r="HZ146" s="47"/>
      <c r="IA146" s="47"/>
      <c r="IB146" s="47"/>
      <c r="IC146" s="47"/>
      <c r="ID146" s="47"/>
      <c r="IE146" s="47"/>
      <c r="IF146" s="47"/>
      <c r="IG146" s="47"/>
      <c r="IH146" s="47"/>
      <c r="II146" s="47"/>
      <c r="IJ146" s="47"/>
      <c r="IK146" s="47"/>
      <c r="IL146" s="47"/>
      <c r="IM146" s="47"/>
      <c r="IN146" s="47"/>
      <c r="IO146" s="47"/>
      <c r="IP146" s="47"/>
      <c r="IQ146" s="47"/>
      <c r="IR146" s="47"/>
      <c r="IS146" s="47"/>
      <c r="IT146" s="47"/>
      <c r="IU146" s="47"/>
      <c r="IV146" s="47"/>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F146" s="1"/>
      <c r="NG146" s="1"/>
      <c r="NH146" s="1"/>
      <c r="NI146" s="1"/>
      <c r="NJ146" s="1"/>
    </row>
    <row r="147" spans="1:374" ht="12.75" customHeight="1" x14ac:dyDescent="0.3">
      <c r="A147" s="59"/>
      <c r="B147" s="61"/>
      <c r="C147" s="61"/>
      <c r="D147" s="61"/>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c r="CT147" s="47"/>
      <c r="CU147" s="47"/>
      <c r="CV147" s="47"/>
      <c r="CW147" s="47"/>
      <c r="CX147" s="47"/>
      <c r="CY147" s="47"/>
      <c r="CZ147" s="47"/>
      <c r="DA147" s="47"/>
      <c r="DB147" s="47"/>
      <c r="DC147" s="47"/>
      <c r="DD147" s="47"/>
      <c r="DE147" s="47"/>
      <c r="DF147" s="47"/>
      <c r="DG147" s="47"/>
      <c r="DH147" s="47"/>
      <c r="DI147" s="47"/>
      <c r="DJ147" s="47"/>
      <c r="DK147" s="47"/>
      <c r="DL147" s="47"/>
      <c r="DM147" s="47"/>
      <c r="DN147" s="47"/>
      <c r="DO147" s="47"/>
      <c r="DP147" s="47"/>
      <c r="DQ147" s="47"/>
      <c r="DR147" s="47"/>
      <c r="DS147" s="47"/>
      <c r="DT147" s="47"/>
      <c r="DU147" s="47"/>
      <c r="DV147" s="47"/>
      <c r="DW147" s="47"/>
      <c r="DX147" s="47"/>
      <c r="DY147" s="47"/>
      <c r="DZ147" s="47"/>
      <c r="EA147" s="47"/>
      <c r="EB147" s="47"/>
      <c r="EC147" s="47"/>
      <c r="ED147" s="47"/>
      <c r="EE147" s="47"/>
      <c r="EF147" s="47"/>
      <c r="EG147" s="47"/>
      <c r="EH147" s="47"/>
      <c r="EI147" s="47"/>
      <c r="EJ147" s="47"/>
      <c r="EK147" s="47"/>
      <c r="EL147" s="47"/>
      <c r="EM147" s="47"/>
      <c r="EN147" s="47"/>
      <c r="EO147" s="47"/>
      <c r="EP147" s="47"/>
      <c r="EQ147" s="47"/>
      <c r="ER147" s="47"/>
      <c r="ES147" s="47"/>
      <c r="ET147" s="47"/>
      <c r="EU147" s="47"/>
      <c r="EV147" s="47"/>
      <c r="EW147" s="47"/>
      <c r="EX147" s="47"/>
      <c r="EY147" s="47"/>
      <c r="EZ147" s="47"/>
      <c r="FA147" s="47"/>
      <c r="FB147" s="47"/>
      <c r="FC147" s="47"/>
      <c r="FD147" s="47"/>
      <c r="FE147" s="47"/>
      <c r="FF147" s="47"/>
      <c r="FG147" s="47"/>
      <c r="FH147" s="47"/>
      <c r="FI147" s="47"/>
      <c r="FJ147" s="47"/>
      <c r="FK147" s="47"/>
      <c r="FL147" s="47"/>
      <c r="FM147" s="47"/>
      <c r="FN147" s="47"/>
      <c r="FO147" s="47"/>
      <c r="FP147" s="47"/>
      <c r="FQ147" s="47"/>
      <c r="FR147" s="47"/>
      <c r="FS147" s="47"/>
      <c r="FT147" s="47"/>
      <c r="FU147" s="47"/>
      <c r="FV147" s="47"/>
      <c r="FW147" s="47"/>
      <c r="FX147" s="47"/>
      <c r="FY147" s="47"/>
      <c r="FZ147" s="47"/>
      <c r="GA147" s="47"/>
      <c r="GB147" s="47"/>
      <c r="GC147" s="47"/>
      <c r="GD147" s="47"/>
      <c r="GE147" s="47"/>
      <c r="GF147" s="47"/>
      <c r="GG147" s="47"/>
      <c r="GH147" s="47"/>
      <c r="GI147" s="47"/>
      <c r="GJ147" s="47"/>
      <c r="GK147" s="47"/>
      <c r="GL147" s="47"/>
      <c r="GM147" s="47"/>
      <c r="GN147" s="47"/>
      <c r="GO147" s="47"/>
      <c r="GP147" s="47"/>
      <c r="GQ147" s="47"/>
      <c r="GR147" s="47"/>
      <c r="GS147" s="47"/>
      <c r="GT147" s="47"/>
      <c r="GU147" s="47"/>
      <c r="GV147" s="47"/>
      <c r="GW147" s="47"/>
      <c r="GX147" s="47"/>
      <c r="GY147" s="47"/>
      <c r="GZ147" s="47"/>
      <c r="HA147" s="47"/>
      <c r="HB147" s="47"/>
      <c r="HC147" s="47"/>
      <c r="HD147" s="47"/>
      <c r="HE147" s="47"/>
      <c r="HF147" s="47"/>
      <c r="HG147" s="47"/>
      <c r="HH147" s="47"/>
      <c r="HI147" s="47"/>
      <c r="HJ147" s="47"/>
      <c r="HK147" s="47"/>
      <c r="HL147" s="47"/>
      <c r="HM147" s="47"/>
      <c r="HN147" s="47"/>
      <c r="HO147" s="47"/>
      <c r="HP147" s="47"/>
      <c r="HQ147" s="47"/>
      <c r="HR147" s="47"/>
      <c r="HS147" s="47"/>
      <c r="HT147" s="47"/>
      <c r="HU147" s="47"/>
      <c r="HV147" s="47"/>
      <c r="HW147" s="47"/>
      <c r="HX147" s="47"/>
      <c r="HY147" s="47"/>
      <c r="HZ147" s="47"/>
      <c r="IA147" s="47"/>
      <c r="IB147" s="47"/>
      <c r="IC147" s="47"/>
      <c r="ID147" s="47"/>
      <c r="IE147" s="47"/>
      <c r="IF147" s="47"/>
      <c r="IG147" s="47"/>
      <c r="IH147" s="47"/>
      <c r="II147" s="47"/>
      <c r="IJ147" s="47"/>
      <c r="IK147" s="47"/>
      <c r="IL147" s="47"/>
      <c r="IM147" s="47"/>
      <c r="IN147" s="47"/>
      <c r="IO147" s="47"/>
      <c r="IP147" s="47"/>
      <c r="IQ147" s="47"/>
      <c r="IR147" s="47"/>
      <c r="IS147" s="47"/>
      <c r="IT147" s="47"/>
      <c r="IU147" s="47"/>
      <c r="IV147" s="47"/>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F147" s="1"/>
      <c r="NG147" s="1"/>
      <c r="NH147" s="1"/>
      <c r="NI147" s="1"/>
      <c r="NJ147" s="1"/>
    </row>
    <row r="148" spans="1:374" ht="12.75" customHeight="1" x14ac:dyDescent="0.3">
      <c r="A148" s="59"/>
      <c r="B148" s="61"/>
      <c r="C148" s="61"/>
      <c r="D148" s="61"/>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c r="CT148" s="47"/>
      <c r="CU148" s="47"/>
      <c r="CV148" s="47"/>
      <c r="CW148" s="47"/>
      <c r="CX148" s="47"/>
      <c r="CY148" s="47"/>
      <c r="CZ148" s="47"/>
      <c r="DA148" s="47"/>
      <c r="DB148" s="47"/>
      <c r="DC148" s="47"/>
      <c r="DD148" s="47"/>
      <c r="DE148" s="47"/>
      <c r="DF148" s="47"/>
      <c r="DG148" s="47"/>
      <c r="DH148" s="47"/>
      <c r="DI148" s="47"/>
      <c r="DJ148" s="47"/>
      <c r="DK148" s="47"/>
      <c r="DL148" s="47"/>
      <c r="DM148" s="47"/>
      <c r="DN148" s="47"/>
      <c r="DO148" s="47"/>
      <c r="DP148" s="47"/>
      <c r="DQ148" s="47"/>
      <c r="DR148" s="47"/>
      <c r="DS148" s="47"/>
      <c r="DT148" s="47"/>
      <c r="DU148" s="47"/>
      <c r="DV148" s="47"/>
      <c r="DW148" s="47"/>
      <c r="DX148" s="47"/>
      <c r="DY148" s="47"/>
      <c r="DZ148" s="47"/>
      <c r="EA148" s="47"/>
      <c r="EB148" s="47"/>
      <c r="EC148" s="47"/>
      <c r="ED148" s="47"/>
      <c r="EE148" s="47"/>
      <c r="EF148" s="47"/>
      <c r="EG148" s="47"/>
      <c r="EH148" s="47"/>
      <c r="EI148" s="47"/>
      <c r="EJ148" s="47"/>
      <c r="EK148" s="47"/>
      <c r="EL148" s="47"/>
      <c r="EM148" s="47"/>
      <c r="EN148" s="47"/>
      <c r="EO148" s="47"/>
      <c r="EP148" s="47"/>
      <c r="EQ148" s="47"/>
      <c r="ER148" s="47"/>
      <c r="ES148" s="47"/>
      <c r="ET148" s="47"/>
      <c r="EU148" s="47"/>
      <c r="EV148" s="47"/>
      <c r="EW148" s="47"/>
      <c r="EX148" s="47"/>
      <c r="EY148" s="47"/>
      <c r="EZ148" s="47"/>
      <c r="FA148" s="47"/>
      <c r="FB148" s="47"/>
      <c r="FC148" s="47"/>
      <c r="FD148" s="47"/>
      <c r="FE148" s="47"/>
      <c r="FF148" s="47"/>
      <c r="FG148" s="47"/>
      <c r="FH148" s="47"/>
      <c r="FI148" s="47"/>
      <c r="FJ148" s="47"/>
      <c r="FK148" s="47"/>
      <c r="FL148" s="47"/>
      <c r="FM148" s="47"/>
      <c r="FN148" s="47"/>
      <c r="FO148" s="47"/>
      <c r="FP148" s="47"/>
      <c r="FQ148" s="47"/>
      <c r="FR148" s="47"/>
      <c r="FS148" s="47"/>
      <c r="FT148" s="47"/>
      <c r="FU148" s="47"/>
      <c r="FV148" s="47"/>
      <c r="FW148" s="47"/>
      <c r="FX148" s="47"/>
      <c r="FY148" s="47"/>
      <c r="FZ148" s="47"/>
      <c r="GA148" s="47"/>
      <c r="GB148" s="47"/>
      <c r="GC148" s="47"/>
      <c r="GD148" s="47"/>
      <c r="GE148" s="47"/>
      <c r="GF148" s="47"/>
      <c r="GG148" s="47"/>
      <c r="GH148" s="47"/>
      <c r="GI148" s="47"/>
      <c r="GJ148" s="47"/>
      <c r="GK148" s="47"/>
      <c r="GL148" s="47"/>
      <c r="GM148" s="47"/>
      <c r="GN148" s="47"/>
      <c r="GO148" s="47"/>
      <c r="GP148" s="47"/>
      <c r="GQ148" s="47"/>
      <c r="GR148" s="47"/>
      <c r="GS148" s="47"/>
      <c r="GT148" s="47"/>
      <c r="GU148" s="47"/>
      <c r="GV148" s="47"/>
      <c r="GW148" s="47"/>
      <c r="GX148" s="47"/>
      <c r="GY148" s="47"/>
      <c r="GZ148" s="47"/>
      <c r="HA148" s="47"/>
      <c r="HB148" s="47"/>
      <c r="HC148" s="47"/>
      <c r="HD148" s="47"/>
      <c r="HE148" s="47"/>
      <c r="HF148" s="47"/>
      <c r="HG148" s="47"/>
      <c r="HH148" s="47"/>
      <c r="HI148" s="47"/>
      <c r="HJ148" s="47"/>
      <c r="HK148" s="47"/>
      <c r="HL148" s="47"/>
      <c r="HM148" s="47"/>
      <c r="HN148" s="47"/>
      <c r="HO148" s="47"/>
      <c r="HP148" s="47"/>
      <c r="HQ148" s="47"/>
      <c r="HR148" s="47"/>
      <c r="HS148" s="47"/>
      <c r="HT148" s="47"/>
      <c r="HU148" s="47"/>
      <c r="HV148" s="47"/>
      <c r="HW148" s="47"/>
      <c r="HX148" s="47"/>
      <c r="HY148" s="47"/>
      <c r="HZ148" s="47"/>
      <c r="IA148" s="47"/>
      <c r="IB148" s="47"/>
      <c r="IC148" s="47"/>
      <c r="ID148" s="47"/>
      <c r="IE148" s="47"/>
      <c r="IF148" s="47"/>
      <c r="IG148" s="47"/>
      <c r="IH148" s="47"/>
      <c r="II148" s="47"/>
      <c r="IJ148" s="47"/>
      <c r="IK148" s="47"/>
      <c r="IL148" s="47"/>
      <c r="IM148" s="47"/>
      <c r="IN148" s="47"/>
      <c r="IO148" s="47"/>
      <c r="IP148" s="47"/>
      <c r="IQ148" s="47"/>
      <c r="IR148" s="47"/>
      <c r="IS148" s="47"/>
      <c r="IT148" s="47"/>
      <c r="IU148" s="47"/>
      <c r="IV148" s="47"/>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F148" s="1"/>
      <c r="NG148" s="1"/>
      <c r="NH148" s="1"/>
      <c r="NI148" s="1"/>
      <c r="NJ148" s="1"/>
    </row>
    <row r="149" spans="1:374" ht="12.75" customHeight="1" x14ac:dyDescent="0.3">
      <c r="A149" s="59"/>
      <c r="B149" s="61"/>
      <c r="C149" s="61"/>
      <c r="D149" s="61"/>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c r="CT149" s="47"/>
      <c r="CU149" s="47"/>
      <c r="CV149" s="47"/>
      <c r="CW149" s="47"/>
      <c r="CX149" s="47"/>
      <c r="CY149" s="47"/>
      <c r="CZ149" s="47"/>
      <c r="DA149" s="47"/>
      <c r="DB149" s="47"/>
      <c r="DC149" s="47"/>
      <c r="DD149" s="47"/>
      <c r="DE149" s="47"/>
      <c r="DF149" s="47"/>
      <c r="DG149" s="47"/>
      <c r="DH149" s="47"/>
      <c r="DI149" s="47"/>
      <c r="DJ149" s="47"/>
      <c r="DK149" s="47"/>
      <c r="DL149" s="47"/>
      <c r="DM149" s="47"/>
      <c r="DN149" s="47"/>
      <c r="DO149" s="47"/>
      <c r="DP149" s="47"/>
      <c r="DQ149" s="47"/>
      <c r="DR149" s="47"/>
      <c r="DS149" s="47"/>
      <c r="DT149" s="47"/>
      <c r="DU149" s="47"/>
      <c r="DV149" s="47"/>
      <c r="DW149" s="47"/>
      <c r="DX149" s="47"/>
      <c r="DY149" s="47"/>
      <c r="DZ149" s="47"/>
      <c r="EA149" s="47"/>
      <c r="EB149" s="47"/>
      <c r="EC149" s="47"/>
      <c r="ED149" s="47"/>
      <c r="EE149" s="47"/>
      <c r="EF149" s="47"/>
      <c r="EG149" s="47"/>
      <c r="EH149" s="47"/>
      <c r="EI149" s="47"/>
      <c r="EJ149" s="47"/>
      <c r="EK149" s="47"/>
      <c r="EL149" s="47"/>
      <c r="EM149" s="47"/>
      <c r="EN149" s="47"/>
      <c r="EO149" s="47"/>
      <c r="EP149" s="47"/>
      <c r="EQ149" s="47"/>
      <c r="ER149" s="47"/>
      <c r="ES149" s="47"/>
      <c r="ET149" s="47"/>
      <c r="EU149" s="47"/>
      <c r="EV149" s="47"/>
      <c r="EW149" s="47"/>
      <c r="EX149" s="47"/>
      <c r="EY149" s="47"/>
      <c r="EZ149" s="47"/>
      <c r="FA149" s="47"/>
      <c r="FB149" s="47"/>
      <c r="FC149" s="47"/>
      <c r="FD149" s="47"/>
      <c r="FE149" s="47"/>
      <c r="FF149" s="47"/>
      <c r="FG149" s="47"/>
      <c r="FH149" s="47"/>
      <c r="FI149" s="47"/>
      <c r="FJ149" s="47"/>
      <c r="FK149" s="47"/>
      <c r="FL149" s="47"/>
      <c r="FM149" s="47"/>
      <c r="FN149" s="47"/>
      <c r="FO149" s="47"/>
      <c r="FP149" s="47"/>
      <c r="FQ149" s="47"/>
      <c r="FR149" s="47"/>
      <c r="FS149" s="47"/>
      <c r="FT149" s="47"/>
      <c r="FU149" s="47"/>
      <c r="FV149" s="47"/>
      <c r="FW149" s="47"/>
      <c r="FX149" s="47"/>
      <c r="FY149" s="47"/>
      <c r="FZ149" s="47"/>
      <c r="GA149" s="47"/>
      <c r="GB149" s="47"/>
      <c r="GC149" s="47"/>
      <c r="GD149" s="47"/>
      <c r="GE149" s="47"/>
      <c r="GF149" s="47"/>
      <c r="GG149" s="47"/>
      <c r="GH149" s="47"/>
      <c r="GI149" s="47"/>
      <c r="GJ149" s="47"/>
      <c r="GK149" s="47"/>
      <c r="GL149" s="47"/>
      <c r="GM149" s="47"/>
      <c r="GN149" s="47"/>
      <c r="GO149" s="47"/>
      <c r="GP149" s="47"/>
      <c r="GQ149" s="47"/>
      <c r="GR149" s="47"/>
      <c r="GS149" s="47"/>
      <c r="GT149" s="47"/>
      <c r="GU149" s="47"/>
      <c r="GV149" s="47"/>
      <c r="GW149" s="47"/>
      <c r="GX149" s="47"/>
      <c r="GY149" s="47"/>
      <c r="GZ149" s="47"/>
      <c r="HA149" s="47"/>
      <c r="HB149" s="47"/>
      <c r="HC149" s="47"/>
      <c r="HD149" s="47"/>
      <c r="HE149" s="47"/>
      <c r="HF149" s="47"/>
      <c r="HG149" s="47"/>
      <c r="HH149" s="47"/>
      <c r="HI149" s="47"/>
      <c r="HJ149" s="47"/>
      <c r="HK149" s="47"/>
      <c r="HL149" s="47"/>
      <c r="HM149" s="47"/>
      <c r="HN149" s="47"/>
      <c r="HO149" s="47"/>
      <c r="HP149" s="47"/>
      <c r="HQ149" s="47"/>
      <c r="HR149" s="47"/>
      <c r="HS149" s="47"/>
      <c r="HT149" s="47"/>
      <c r="HU149" s="47"/>
      <c r="HV149" s="47"/>
      <c r="HW149" s="47"/>
      <c r="HX149" s="47"/>
      <c r="HY149" s="47"/>
      <c r="HZ149" s="47"/>
      <c r="IA149" s="47"/>
      <c r="IB149" s="47"/>
      <c r="IC149" s="47"/>
      <c r="ID149" s="47"/>
      <c r="IE149" s="47"/>
      <c r="IF149" s="47"/>
      <c r="IG149" s="47"/>
      <c r="IH149" s="47"/>
      <c r="II149" s="47"/>
      <c r="IJ149" s="47"/>
      <c r="IK149" s="47"/>
      <c r="IL149" s="47"/>
      <c r="IM149" s="47"/>
      <c r="IN149" s="47"/>
      <c r="IO149" s="47"/>
      <c r="IP149" s="47"/>
      <c r="IQ149" s="47"/>
      <c r="IR149" s="47"/>
      <c r="IS149" s="47"/>
      <c r="IT149" s="47"/>
      <c r="IU149" s="47"/>
      <c r="IV149" s="47"/>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F149" s="1"/>
      <c r="NG149" s="1"/>
      <c r="NH149" s="1"/>
      <c r="NI149" s="1"/>
      <c r="NJ149" s="1"/>
    </row>
    <row r="150" spans="1:374" ht="12.75" customHeight="1" x14ac:dyDescent="0.3">
      <c r="A150" s="59"/>
      <c r="B150" s="61"/>
      <c r="C150" s="61"/>
      <c r="D150" s="61"/>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c r="CT150" s="47"/>
      <c r="CU150" s="47"/>
      <c r="CV150" s="47"/>
      <c r="CW150" s="47"/>
      <c r="CX150" s="47"/>
      <c r="CY150" s="47"/>
      <c r="CZ150" s="47"/>
      <c r="DA150" s="47"/>
      <c r="DB150" s="47"/>
      <c r="DC150" s="47"/>
      <c r="DD150" s="47"/>
      <c r="DE150" s="47"/>
      <c r="DF150" s="47"/>
      <c r="DG150" s="47"/>
      <c r="DH150" s="47"/>
      <c r="DI150" s="47"/>
      <c r="DJ150" s="47"/>
      <c r="DK150" s="47"/>
      <c r="DL150" s="47"/>
      <c r="DM150" s="47"/>
      <c r="DN150" s="47"/>
      <c r="DO150" s="47"/>
      <c r="DP150" s="47"/>
      <c r="DQ150" s="47"/>
      <c r="DR150" s="47"/>
      <c r="DS150" s="47"/>
      <c r="DT150" s="47"/>
      <c r="DU150" s="47"/>
      <c r="DV150" s="47"/>
      <c r="DW150" s="47"/>
      <c r="DX150" s="47"/>
      <c r="DY150" s="47"/>
      <c r="DZ150" s="47"/>
      <c r="EA150" s="47"/>
      <c r="EB150" s="47"/>
      <c r="EC150" s="47"/>
      <c r="ED150" s="47"/>
      <c r="EE150" s="47"/>
      <c r="EF150" s="47"/>
      <c r="EG150" s="47"/>
      <c r="EH150" s="47"/>
      <c r="EI150" s="47"/>
      <c r="EJ150" s="47"/>
      <c r="EK150" s="47"/>
      <c r="EL150" s="47"/>
      <c r="EM150" s="47"/>
      <c r="EN150" s="47"/>
      <c r="EO150" s="47"/>
      <c r="EP150" s="47"/>
      <c r="EQ150" s="47"/>
      <c r="ER150" s="47"/>
      <c r="ES150" s="47"/>
      <c r="ET150" s="47"/>
      <c r="EU150" s="47"/>
      <c r="EV150" s="47"/>
      <c r="EW150" s="47"/>
      <c r="EX150" s="47"/>
      <c r="EY150" s="47"/>
      <c r="EZ150" s="47"/>
      <c r="FA150" s="47"/>
      <c r="FB150" s="47"/>
      <c r="FC150" s="47"/>
      <c r="FD150" s="47"/>
      <c r="FE150" s="47"/>
      <c r="FF150" s="47"/>
      <c r="FG150" s="47"/>
      <c r="FH150" s="47"/>
      <c r="FI150" s="47"/>
      <c r="FJ150" s="47"/>
      <c r="FK150" s="47"/>
      <c r="FL150" s="47"/>
      <c r="FM150" s="47"/>
      <c r="FN150" s="47"/>
      <c r="FO150" s="47"/>
      <c r="FP150" s="47"/>
      <c r="FQ150" s="47"/>
      <c r="FR150" s="47"/>
      <c r="FS150" s="47"/>
      <c r="FT150" s="47"/>
      <c r="FU150" s="47"/>
      <c r="FV150" s="47"/>
      <c r="FW150" s="47"/>
      <c r="FX150" s="47"/>
      <c r="FY150" s="47"/>
      <c r="FZ150" s="47"/>
      <c r="GA150" s="47"/>
      <c r="GB150" s="47"/>
      <c r="GC150" s="47"/>
      <c r="GD150" s="47"/>
      <c r="GE150" s="47"/>
      <c r="GF150" s="47"/>
      <c r="GG150" s="47"/>
      <c r="GH150" s="47"/>
      <c r="GI150" s="47"/>
      <c r="GJ150" s="47"/>
      <c r="GK150" s="47"/>
      <c r="GL150" s="47"/>
      <c r="GM150" s="47"/>
      <c r="GN150" s="47"/>
      <c r="GO150" s="47"/>
      <c r="GP150" s="47"/>
      <c r="GQ150" s="47"/>
      <c r="GR150" s="47"/>
      <c r="GS150" s="47"/>
      <c r="GT150" s="47"/>
      <c r="GU150" s="47"/>
      <c r="GV150" s="47"/>
      <c r="GW150" s="47"/>
      <c r="GX150" s="47"/>
      <c r="GY150" s="47"/>
      <c r="GZ150" s="47"/>
      <c r="HA150" s="47"/>
      <c r="HB150" s="47"/>
      <c r="HC150" s="47"/>
      <c r="HD150" s="47"/>
      <c r="HE150" s="47"/>
      <c r="HF150" s="47"/>
      <c r="HG150" s="47"/>
      <c r="HH150" s="47"/>
      <c r="HI150" s="47"/>
      <c r="HJ150" s="47"/>
      <c r="HK150" s="47"/>
      <c r="HL150" s="47"/>
      <c r="HM150" s="47"/>
      <c r="HN150" s="47"/>
      <c r="HO150" s="47"/>
      <c r="HP150" s="47"/>
      <c r="HQ150" s="47"/>
      <c r="HR150" s="47"/>
      <c r="HS150" s="47"/>
      <c r="HT150" s="47"/>
      <c r="HU150" s="47"/>
      <c r="HV150" s="47"/>
      <c r="HW150" s="47"/>
      <c r="HX150" s="47"/>
      <c r="HY150" s="47"/>
      <c r="HZ150" s="47"/>
      <c r="IA150" s="47"/>
      <c r="IB150" s="47"/>
      <c r="IC150" s="47"/>
      <c r="ID150" s="47"/>
      <c r="IE150" s="47"/>
      <c r="IF150" s="47"/>
      <c r="IG150" s="47"/>
      <c r="IH150" s="47"/>
      <c r="II150" s="47"/>
      <c r="IJ150" s="47"/>
      <c r="IK150" s="47"/>
      <c r="IL150" s="47"/>
      <c r="IM150" s="47"/>
      <c r="IN150" s="47"/>
      <c r="IO150" s="47"/>
      <c r="IP150" s="47"/>
      <c r="IQ150" s="47"/>
      <c r="IR150" s="47"/>
      <c r="IS150" s="47"/>
      <c r="IT150" s="47"/>
      <c r="IU150" s="47"/>
      <c r="IV150" s="47"/>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F150" s="1"/>
      <c r="NG150" s="1"/>
      <c r="NH150" s="1"/>
      <c r="NI150" s="1"/>
      <c r="NJ150" s="1"/>
    </row>
    <row r="151" spans="1:374" ht="12.75" customHeight="1" x14ac:dyDescent="0.3">
      <c r="A151" s="59"/>
      <c r="B151" s="61"/>
      <c r="C151" s="61"/>
      <c r="D151" s="61"/>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c r="CT151" s="47"/>
      <c r="CU151" s="47"/>
      <c r="CV151" s="47"/>
      <c r="CW151" s="47"/>
      <c r="CX151" s="47"/>
      <c r="CY151" s="47"/>
      <c r="CZ151" s="47"/>
      <c r="DA151" s="47"/>
      <c r="DB151" s="47"/>
      <c r="DC151" s="47"/>
      <c r="DD151" s="47"/>
      <c r="DE151" s="47"/>
      <c r="DF151" s="47"/>
      <c r="DG151" s="47"/>
      <c r="DH151" s="47"/>
      <c r="DI151" s="47"/>
      <c r="DJ151" s="47"/>
      <c r="DK151" s="47"/>
      <c r="DL151" s="47"/>
      <c r="DM151" s="47"/>
      <c r="DN151" s="47"/>
      <c r="DO151" s="47"/>
      <c r="DP151" s="47"/>
      <c r="DQ151" s="47"/>
      <c r="DR151" s="47"/>
      <c r="DS151" s="47"/>
      <c r="DT151" s="47"/>
      <c r="DU151" s="47"/>
      <c r="DV151" s="47"/>
      <c r="DW151" s="47"/>
      <c r="DX151" s="47"/>
      <c r="DY151" s="47"/>
      <c r="DZ151" s="47"/>
      <c r="EA151" s="47"/>
      <c r="EB151" s="47"/>
      <c r="EC151" s="47"/>
      <c r="ED151" s="47"/>
      <c r="EE151" s="47"/>
      <c r="EF151" s="47"/>
      <c r="EG151" s="47"/>
      <c r="EH151" s="47"/>
      <c r="EI151" s="47"/>
      <c r="EJ151" s="47"/>
      <c r="EK151" s="47"/>
      <c r="EL151" s="47"/>
      <c r="EM151" s="47"/>
      <c r="EN151" s="47"/>
      <c r="EO151" s="47"/>
      <c r="EP151" s="47"/>
      <c r="EQ151" s="47"/>
      <c r="ER151" s="47"/>
      <c r="ES151" s="47"/>
      <c r="ET151" s="47"/>
      <c r="EU151" s="47"/>
      <c r="EV151" s="47"/>
      <c r="EW151" s="47"/>
      <c r="EX151" s="47"/>
      <c r="EY151" s="47"/>
      <c r="EZ151" s="47"/>
      <c r="FA151" s="47"/>
      <c r="FB151" s="47"/>
      <c r="FC151" s="47"/>
      <c r="FD151" s="47"/>
      <c r="FE151" s="47"/>
      <c r="FF151" s="47"/>
      <c r="FG151" s="47"/>
      <c r="FH151" s="47"/>
      <c r="FI151" s="47"/>
      <c r="FJ151" s="47"/>
      <c r="FK151" s="47"/>
      <c r="FL151" s="47"/>
      <c r="FM151" s="47"/>
      <c r="FN151" s="47"/>
      <c r="FO151" s="47"/>
      <c r="FP151" s="47"/>
      <c r="FQ151" s="47"/>
      <c r="FR151" s="47"/>
      <c r="FS151" s="47"/>
      <c r="FT151" s="47"/>
      <c r="FU151" s="47"/>
      <c r="FV151" s="47"/>
      <c r="FW151" s="47"/>
      <c r="FX151" s="47"/>
      <c r="FY151" s="47"/>
      <c r="FZ151" s="47"/>
      <c r="GA151" s="47"/>
      <c r="GB151" s="47"/>
      <c r="GC151" s="47"/>
      <c r="GD151" s="47"/>
      <c r="GE151" s="47"/>
      <c r="GF151" s="47"/>
      <c r="GG151" s="47"/>
      <c r="GH151" s="47"/>
      <c r="GI151" s="47"/>
      <c r="GJ151" s="47"/>
      <c r="GK151" s="47"/>
      <c r="GL151" s="47"/>
      <c r="GM151" s="47"/>
      <c r="GN151" s="47"/>
      <c r="GO151" s="47"/>
      <c r="GP151" s="47"/>
      <c r="GQ151" s="47"/>
      <c r="GR151" s="47"/>
      <c r="GS151" s="47"/>
      <c r="GT151" s="47"/>
      <c r="GU151" s="47"/>
      <c r="GV151" s="47"/>
      <c r="GW151" s="47"/>
      <c r="GX151" s="47"/>
      <c r="GY151" s="47"/>
      <c r="GZ151" s="47"/>
      <c r="HA151" s="47"/>
      <c r="HB151" s="47"/>
      <c r="HC151" s="47"/>
      <c r="HD151" s="47"/>
      <c r="HE151" s="47"/>
      <c r="HF151" s="47"/>
      <c r="HG151" s="47"/>
      <c r="HH151" s="47"/>
      <c r="HI151" s="47"/>
      <c r="HJ151" s="47"/>
      <c r="HK151" s="47"/>
      <c r="HL151" s="47"/>
      <c r="HM151" s="47"/>
      <c r="HN151" s="47"/>
      <c r="HO151" s="47"/>
      <c r="HP151" s="47"/>
      <c r="HQ151" s="47"/>
      <c r="HR151" s="47"/>
      <c r="HS151" s="47"/>
      <c r="HT151" s="47"/>
      <c r="HU151" s="47"/>
      <c r="HV151" s="47"/>
      <c r="HW151" s="47"/>
      <c r="HX151" s="47"/>
      <c r="HY151" s="47"/>
      <c r="HZ151" s="47"/>
      <c r="IA151" s="47"/>
      <c r="IB151" s="47"/>
      <c r="IC151" s="47"/>
      <c r="ID151" s="47"/>
      <c r="IE151" s="47"/>
      <c r="IF151" s="47"/>
      <c r="IG151" s="47"/>
      <c r="IH151" s="47"/>
      <c r="II151" s="47"/>
      <c r="IJ151" s="47"/>
      <c r="IK151" s="47"/>
      <c r="IL151" s="47"/>
      <c r="IM151" s="47"/>
      <c r="IN151" s="47"/>
      <c r="IO151" s="47"/>
      <c r="IP151" s="47"/>
      <c r="IQ151" s="47"/>
      <c r="IR151" s="47"/>
      <c r="IS151" s="47"/>
      <c r="IT151" s="47"/>
      <c r="IU151" s="47"/>
      <c r="IV151" s="47"/>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F151" s="1"/>
      <c r="NG151" s="1"/>
      <c r="NH151" s="1"/>
      <c r="NI151" s="1"/>
      <c r="NJ151" s="1"/>
    </row>
    <row r="152" spans="1:374" ht="12.75" customHeight="1" x14ac:dyDescent="0.3">
      <c r="A152" s="59"/>
      <c r="B152" s="61"/>
      <c r="C152" s="61"/>
      <c r="D152" s="61"/>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c r="CT152" s="47"/>
      <c r="CU152" s="47"/>
      <c r="CV152" s="47"/>
      <c r="CW152" s="47"/>
      <c r="CX152" s="47"/>
      <c r="CY152" s="47"/>
      <c r="CZ152" s="47"/>
      <c r="DA152" s="47"/>
      <c r="DB152" s="47"/>
      <c r="DC152" s="47"/>
      <c r="DD152" s="47"/>
      <c r="DE152" s="47"/>
      <c r="DF152" s="47"/>
      <c r="DG152" s="47"/>
      <c r="DH152" s="47"/>
      <c r="DI152" s="47"/>
      <c r="DJ152" s="47"/>
      <c r="DK152" s="47"/>
      <c r="DL152" s="47"/>
      <c r="DM152" s="47"/>
      <c r="DN152" s="47"/>
      <c r="DO152" s="47"/>
      <c r="DP152" s="47"/>
      <c r="DQ152" s="47"/>
      <c r="DR152" s="47"/>
      <c r="DS152" s="47"/>
      <c r="DT152" s="47"/>
      <c r="DU152" s="47"/>
      <c r="DV152" s="47"/>
      <c r="DW152" s="47"/>
      <c r="DX152" s="47"/>
      <c r="DY152" s="47"/>
      <c r="DZ152" s="47"/>
      <c r="EA152" s="47"/>
      <c r="EB152" s="47"/>
      <c r="EC152" s="47"/>
      <c r="ED152" s="47"/>
      <c r="EE152" s="47"/>
      <c r="EF152" s="47"/>
      <c r="EG152" s="47"/>
      <c r="EH152" s="47"/>
      <c r="EI152" s="47"/>
      <c r="EJ152" s="47"/>
      <c r="EK152" s="47"/>
      <c r="EL152" s="47"/>
      <c r="EM152" s="47"/>
      <c r="EN152" s="47"/>
      <c r="EO152" s="47"/>
      <c r="EP152" s="47"/>
      <c r="EQ152" s="47"/>
      <c r="ER152" s="47"/>
      <c r="ES152" s="47"/>
      <c r="ET152" s="47"/>
      <c r="EU152" s="47"/>
      <c r="EV152" s="47"/>
      <c r="EW152" s="47"/>
      <c r="EX152" s="47"/>
      <c r="EY152" s="47"/>
      <c r="EZ152" s="47"/>
      <c r="FA152" s="47"/>
      <c r="FB152" s="47"/>
      <c r="FC152" s="47"/>
      <c r="FD152" s="47"/>
      <c r="FE152" s="47"/>
      <c r="FF152" s="47"/>
      <c r="FG152" s="47"/>
      <c r="FH152" s="47"/>
      <c r="FI152" s="47"/>
      <c r="FJ152" s="47"/>
      <c r="FK152" s="47"/>
      <c r="FL152" s="47"/>
      <c r="FM152" s="47"/>
      <c r="FN152" s="47"/>
      <c r="FO152" s="47"/>
      <c r="FP152" s="47"/>
      <c r="FQ152" s="47"/>
      <c r="FR152" s="47"/>
      <c r="FS152" s="47"/>
      <c r="FT152" s="47"/>
      <c r="FU152" s="47"/>
      <c r="FV152" s="47"/>
      <c r="FW152" s="47"/>
      <c r="FX152" s="47"/>
      <c r="FY152" s="47"/>
      <c r="FZ152" s="47"/>
      <c r="GA152" s="47"/>
      <c r="GB152" s="47"/>
      <c r="GC152" s="47"/>
      <c r="GD152" s="47"/>
      <c r="GE152" s="47"/>
      <c r="GF152" s="47"/>
      <c r="GG152" s="47"/>
      <c r="GH152" s="47"/>
      <c r="GI152" s="47"/>
      <c r="GJ152" s="47"/>
      <c r="GK152" s="47"/>
      <c r="GL152" s="47"/>
      <c r="GM152" s="47"/>
      <c r="GN152" s="47"/>
      <c r="GO152" s="47"/>
      <c r="GP152" s="47"/>
      <c r="GQ152" s="47"/>
      <c r="GR152" s="47"/>
      <c r="GS152" s="47"/>
      <c r="GT152" s="47"/>
      <c r="GU152" s="47"/>
      <c r="GV152" s="47"/>
      <c r="GW152" s="47"/>
      <c r="GX152" s="47"/>
      <c r="GY152" s="47"/>
      <c r="GZ152" s="47"/>
      <c r="HA152" s="47"/>
      <c r="HB152" s="47"/>
      <c r="HC152" s="47"/>
      <c r="HD152" s="47"/>
      <c r="HE152" s="47"/>
      <c r="HF152" s="47"/>
      <c r="HG152" s="47"/>
      <c r="HH152" s="47"/>
      <c r="HI152" s="47"/>
      <c r="HJ152" s="47"/>
      <c r="HK152" s="47"/>
      <c r="HL152" s="47"/>
      <c r="HM152" s="47"/>
      <c r="HN152" s="47"/>
      <c r="HO152" s="47"/>
      <c r="HP152" s="47"/>
      <c r="HQ152" s="47"/>
      <c r="HR152" s="47"/>
      <c r="HS152" s="47"/>
      <c r="HT152" s="47"/>
      <c r="HU152" s="47"/>
      <c r="HV152" s="47"/>
      <c r="HW152" s="47"/>
      <c r="HX152" s="47"/>
      <c r="HY152" s="47"/>
      <c r="HZ152" s="47"/>
      <c r="IA152" s="47"/>
      <c r="IB152" s="47"/>
      <c r="IC152" s="47"/>
      <c r="ID152" s="47"/>
      <c r="IE152" s="47"/>
      <c r="IF152" s="47"/>
      <c r="IG152" s="47"/>
      <c r="IH152" s="47"/>
      <c r="II152" s="47"/>
      <c r="IJ152" s="47"/>
      <c r="IK152" s="47"/>
      <c r="IL152" s="47"/>
      <c r="IM152" s="47"/>
      <c r="IN152" s="47"/>
      <c r="IO152" s="47"/>
      <c r="IP152" s="47"/>
      <c r="IQ152" s="47"/>
      <c r="IR152" s="47"/>
      <c r="IS152" s="47"/>
      <c r="IT152" s="47"/>
      <c r="IU152" s="47"/>
      <c r="IV152" s="47"/>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F152" s="1"/>
      <c r="NG152" s="1"/>
      <c r="NH152" s="1"/>
      <c r="NI152" s="1"/>
      <c r="NJ152" s="1"/>
    </row>
    <row r="153" spans="1:374" ht="12.75" customHeight="1" x14ac:dyDescent="0.3">
      <c r="A153" s="59"/>
      <c r="B153" s="61"/>
      <c r="C153" s="61"/>
      <c r="D153" s="61"/>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c r="CT153" s="47"/>
      <c r="CU153" s="47"/>
      <c r="CV153" s="47"/>
      <c r="CW153" s="47"/>
      <c r="CX153" s="47"/>
      <c r="CY153" s="47"/>
      <c r="CZ153" s="47"/>
      <c r="DA153" s="47"/>
      <c r="DB153" s="47"/>
      <c r="DC153" s="47"/>
      <c r="DD153" s="47"/>
      <c r="DE153" s="47"/>
      <c r="DF153" s="47"/>
      <c r="DG153" s="47"/>
      <c r="DH153" s="47"/>
      <c r="DI153" s="47"/>
      <c r="DJ153" s="47"/>
      <c r="DK153" s="47"/>
      <c r="DL153" s="47"/>
      <c r="DM153" s="47"/>
      <c r="DN153" s="47"/>
      <c r="DO153" s="47"/>
      <c r="DP153" s="47"/>
      <c r="DQ153" s="47"/>
      <c r="DR153" s="47"/>
      <c r="DS153" s="47"/>
      <c r="DT153" s="47"/>
      <c r="DU153" s="47"/>
      <c r="DV153" s="47"/>
      <c r="DW153" s="47"/>
      <c r="DX153" s="47"/>
      <c r="DY153" s="47"/>
      <c r="DZ153" s="47"/>
      <c r="EA153" s="47"/>
      <c r="EB153" s="47"/>
      <c r="EC153" s="47"/>
      <c r="ED153" s="47"/>
      <c r="EE153" s="47"/>
      <c r="EF153" s="47"/>
      <c r="EG153" s="47"/>
      <c r="EH153" s="47"/>
      <c r="EI153" s="47"/>
      <c r="EJ153" s="47"/>
      <c r="EK153" s="47"/>
      <c r="EL153" s="47"/>
      <c r="EM153" s="47"/>
      <c r="EN153" s="47"/>
      <c r="EO153" s="47"/>
      <c r="EP153" s="47"/>
      <c r="EQ153" s="47"/>
      <c r="ER153" s="47"/>
      <c r="ES153" s="47"/>
      <c r="ET153" s="47"/>
      <c r="EU153" s="47"/>
      <c r="EV153" s="47"/>
      <c r="EW153" s="47"/>
      <c r="EX153" s="47"/>
      <c r="EY153" s="47"/>
      <c r="EZ153" s="47"/>
      <c r="FA153" s="47"/>
      <c r="FB153" s="47"/>
      <c r="FC153" s="47"/>
      <c r="FD153" s="47"/>
      <c r="FE153" s="47"/>
      <c r="FF153" s="47"/>
      <c r="FG153" s="47"/>
      <c r="FH153" s="47"/>
      <c r="FI153" s="47"/>
      <c r="FJ153" s="47"/>
      <c r="FK153" s="47"/>
      <c r="FL153" s="47"/>
      <c r="FM153" s="47"/>
      <c r="FN153" s="47"/>
      <c r="FO153" s="47"/>
      <c r="FP153" s="47"/>
      <c r="FQ153" s="47"/>
      <c r="FR153" s="47"/>
      <c r="FS153" s="47"/>
      <c r="FT153" s="47"/>
      <c r="FU153" s="47"/>
      <c r="FV153" s="47"/>
      <c r="FW153" s="47"/>
      <c r="FX153" s="47"/>
      <c r="FY153" s="47"/>
      <c r="FZ153" s="47"/>
      <c r="GA153" s="47"/>
      <c r="GB153" s="47"/>
      <c r="GC153" s="47"/>
      <c r="GD153" s="47"/>
      <c r="GE153" s="47"/>
      <c r="GF153" s="47"/>
      <c r="GG153" s="47"/>
      <c r="GH153" s="47"/>
      <c r="GI153" s="47"/>
      <c r="GJ153" s="47"/>
      <c r="GK153" s="47"/>
      <c r="GL153" s="47"/>
      <c r="GM153" s="47"/>
      <c r="GN153" s="47"/>
      <c r="GO153" s="47"/>
      <c r="GP153" s="47"/>
      <c r="GQ153" s="47"/>
      <c r="GR153" s="47"/>
      <c r="GS153" s="47"/>
      <c r="GT153" s="47"/>
      <c r="GU153" s="47"/>
      <c r="GV153" s="47"/>
      <c r="GW153" s="47"/>
      <c r="GX153" s="47"/>
      <c r="GY153" s="47"/>
      <c r="GZ153" s="47"/>
      <c r="HA153" s="47"/>
      <c r="HB153" s="47"/>
      <c r="HC153" s="47"/>
      <c r="HD153" s="47"/>
      <c r="HE153" s="47"/>
      <c r="HF153" s="47"/>
      <c r="HG153" s="47"/>
      <c r="HH153" s="47"/>
      <c r="HI153" s="47"/>
      <c r="HJ153" s="47"/>
      <c r="HK153" s="47"/>
      <c r="HL153" s="47"/>
      <c r="HM153" s="47"/>
      <c r="HN153" s="47"/>
      <c r="HO153" s="47"/>
      <c r="HP153" s="47"/>
      <c r="HQ153" s="47"/>
      <c r="HR153" s="47"/>
      <c r="HS153" s="47"/>
      <c r="HT153" s="47"/>
      <c r="HU153" s="47"/>
      <c r="HV153" s="47"/>
      <c r="HW153" s="47"/>
      <c r="HX153" s="47"/>
      <c r="HY153" s="47"/>
      <c r="HZ153" s="47"/>
      <c r="IA153" s="47"/>
      <c r="IB153" s="47"/>
      <c r="IC153" s="47"/>
      <c r="ID153" s="47"/>
      <c r="IE153" s="47"/>
      <c r="IF153" s="47"/>
      <c r="IG153" s="47"/>
      <c r="IH153" s="47"/>
      <c r="II153" s="47"/>
      <c r="IJ153" s="47"/>
      <c r="IK153" s="47"/>
      <c r="IL153" s="47"/>
      <c r="IM153" s="47"/>
      <c r="IN153" s="47"/>
      <c r="IO153" s="47"/>
      <c r="IP153" s="47"/>
      <c r="IQ153" s="47"/>
      <c r="IR153" s="47"/>
      <c r="IS153" s="47"/>
      <c r="IT153" s="47"/>
      <c r="IU153" s="47"/>
      <c r="IV153" s="47"/>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F153" s="1"/>
      <c r="NG153" s="1"/>
      <c r="NH153" s="1"/>
      <c r="NI153" s="1"/>
      <c r="NJ153" s="1"/>
    </row>
    <row r="154" spans="1:374" ht="12.75" customHeight="1" x14ac:dyDescent="0.3">
      <c r="A154" s="59"/>
      <c r="B154" s="61"/>
      <c r="C154" s="61"/>
      <c r="D154" s="61"/>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c r="CT154" s="47"/>
      <c r="CU154" s="47"/>
      <c r="CV154" s="47"/>
      <c r="CW154" s="47"/>
      <c r="CX154" s="47"/>
      <c r="CY154" s="47"/>
      <c r="CZ154" s="47"/>
      <c r="DA154" s="47"/>
      <c r="DB154" s="47"/>
      <c r="DC154" s="47"/>
      <c r="DD154" s="47"/>
      <c r="DE154" s="47"/>
      <c r="DF154" s="47"/>
      <c r="DG154" s="47"/>
      <c r="DH154" s="47"/>
      <c r="DI154" s="47"/>
      <c r="DJ154" s="47"/>
      <c r="DK154" s="47"/>
      <c r="DL154" s="47"/>
      <c r="DM154" s="47"/>
      <c r="DN154" s="47"/>
      <c r="DO154" s="47"/>
      <c r="DP154" s="47"/>
      <c r="DQ154" s="47"/>
      <c r="DR154" s="47"/>
      <c r="DS154" s="47"/>
      <c r="DT154" s="47"/>
      <c r="DU154" s="47"/>
      <c r="DV154" s="47"/>
      <c r="DW154" s="47"/>
      <c r="DX154" s="47"/>
      <c r="DY154" s="47"/>
      <c r="DZ154" s="47"/>
      <c r="EA154" s="47"/>
      <c r="EB154" s="47"/>
      <c r="EC154" s="47"/>
      <c r="ED154" s="47"/>
      <c r="EE154" s="47"/>
      <c r="EF154" s="47"/>
      <c r="EG154" s="47"/>
      <c r="EH154" s="47"/>
      <c r="EI154" s="47"/>
      <c r="EJ154" s="47"/>
      <c r="EK154" s="47"/>
      <c r="EL154" s="47"/>
      <c r="EM154" s="47"/>
      <c r="EN154" s="47"/>
      <c r="EO154" s="47"/>
      <c r="EP154" s="47"/>
      <c r="EQ154" s="47"/>
      <c r="ER154" s="47"/>
      <c r="ES154" s="47"/>
      <c r="ET154" s="47"/>
      <c r="EU154" s="47"/>
      <c r="EV154" s="47"/>
      <c r="EW154" s="47"/>
      <c r="EX154" s="47"/>
      <c r="EY154" s="47"/>
      <c r="EZ154" s="47"/>
      <c r="FA154" s="47"/>
      <c r="FB154" s="47"/>
      <c r="FC154" s="47"/>
      <c r="FD154" s="47"/>
      <c r="FE154" s="47"/>
      <c r="FF154" s="47"/>
      <c r="FG154" s="47"/>
      <c r="FH154" s="47"/>
      <c r="FI154" s="47"/>
      <c r="FJ154" s="47"/>
      <c r="FK154" s="47"/>
      <c r="FL154" s="47"/>
      <c r="FM154" s="47"/>
      <c r="FN154" s="47"/>
      <c r="FO154" s="47"/>
      <c r="FP154" s="47"/>
      <c r="FQ154" s="47"/>
      <c r="FR154" s="47"/>
      <c r="FS154" s="47"/>
      <c r="FT154" s="47"/>
      <c r="FU154" s="47"/>
      <c r="FV154" s="47"/>
      <c r="FW154" s="47"/>
      <c r="FX154" s="47"/>
      <c r="FY154" s="47"/>
      <c r="FZ154" s="47"/>
      <c r="GA154" s="47"/>
      <c r="GB154" s="47"/>
      <c r="GC154" s="47"/>
      <c r="GD154" s="47"/>
      <c r="GE154" s="47"/>
      <c r="GF154" s="47"/>
      <c r="GG154" s="47"/>
      <c r="GH154" s="47"/>
      <c r="GI154" s="47"/>
      <c r="GJ154" s="47"/>
      <c r="GK154" s="47"/>
      <c r="GL154" s="47"/>
      <c r="GM154" s="47"/>
      <c r="GN154" s="47"/>
      <c r="GO154" s="47"/>
      <c r="GP154" s="47"/>
      <c r="GQ154" s="47"/>
      <c r="GR154" s="47"/>
      <c r="GS154" s="47"/>
      <c r="GT154" s="47"/>
      <c r="GU154" s="47"/>
      <c r="GV154" s="47"/>
      <c r="GW154" s="47"/>
      <c r="GX154" s="47"/>
      <c r="GY154" s="47"/>
      <c r="GZ154" s="47"/>
      <c r="HA154" s="47"/>
      <c r="HB154" s="47"/>
      <c r="HC154" s="47"/>
      <c r="HD154" s="47"/>
      <c r="HE154" s="47"/>
      <c r="HF154" s="47"/>
      <c r="HG154" s="47"/>
      <c r="HH154" s="47"/>
      <c r="HI154" s="47"/>
      <c r="HJ154" s="47"/>
      <c r="HK154" s="47"/>
      <c r="HL154" s="47"/>
      <c r="HM154" s="47"/>
      <c r="HN154" s="47"/>
      <c r="HO154" s="47"/>
      <c r="HP154" s="47"/>
      <c r="HQ154" s="47"/>
      <c r="HR154" s="47"/>
      <c r="HS154" s="47"/>
      <c r="HT154" s="47"/>
      <c r="HU154" s="47"/>
      <c r="HV154" s="47"/>
      <c r="HW154" s="47"/>
      <c r="HX154" s="47"/>
      <c r="HY154" s="47"/>
      <c r="HZ154" s="47"/>
      <c r="IA154" s="47"/>
      <c r="IB154" s="47"/>
      <c r="IC154" s="47"/>
      <c r="ID154" s="47"/>
      <c r="IE154" s="47"/>
      <c r="IF154" s="47"/>
      <c r="IG154" s="47"/>
      <c r="IH154" s="47"/>
      <c r="II154" s="47"/>
      <c r="IJ154" s="47"/>
      <c r="IK154" s="47"/>
      <c r="IL154" s="47"/>
      <c r="IM154" s="47"/>
      <c r="IN154" s="47"/>
      <c r="IO154" s="47"/>
      <c r="IP154" s="47"/>
      <c r="IQ154" s="47"/>
      <c r="IR154" s="47"/>
      <c r="IS154" s="47"/>
      <c r="IT154" s="47"/>
      <c r="IU154" s="47"/>
      <c r="IV154" s="47"/>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F154" s="1"/>
      <c r="NG154" s="1"/>
      <c r="NH154" s="1"/>
      <c r="NI154" s="1"/>
      <c r="NJ154" s="1"/>
    </row>
    <row r="155" spans="1:374" ht="12.75" customHeight="1" x14ac:dyDescent="0.3">
      <c r="A155" s="59"/>
      <c r="B155" s="61"/>
      <c r="C155" s="61"/>
      <c r="D155" s="61"/>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c r="CT155" s="47"/>
      <c r="CU155" s="47"/>
      <c r="CV155" s="47"/>
      <c r="CW155" s="47"/>
      <c r="CX155" s="47"/>
      <c r="CY155" s="47"/>
      <c r="CZ155" s="47"/>
      <c r="DA155" s="47"/>
      <c r="DB155" s="47"/>
      <c r="DC155" s="47"/>
      <c r="DD155" s="47"/>
      <c r="DE155" s="47"/>
      <c r="DF155" s="47"/>
      <c r="DG155" s="47"/>
      <c r="DH155" s="47"/>
      <c r="DI155" s="47"/>
      <c r="DJ155" s="47"/>
      <c r="DK155" s="47"/>
      <c r="DL155" s="47"/>
      <c r="DM155" s="47"/>
      <c r="DN155" s="47"/>
      <c r="DO155" s="47"/>
      <c r="DP155" s="47"/>
      <c r="DQ155" s="47"/>
      <c r="DR155" s="47"/>
      <c r="DS155" s="47"/>
      <c r="DT155" s="47"/>
      <c r="DU155" s="47"/>
      <c r="DV155" s="47"/>
      <c r="DW155" s="47"/>
      <c r="DX155" s="47"/>
      <c r="DY155" s="47"/>
      <c r="DZ155" s="47"/>
      <c r="EA155" s="47"/>
      <c r="EB155" s="47"/>
      <c r="EC155" s="47"/>
      <c r="ED155" s="47"/>
      <c r="EE155" s="47"/>
      <c r="EF155" s="47"/>
      <c r="EG155" s="47"/>
      <c r="EH155" s="47"/>
      <c r="EI155" s="47"/>
      <c r="EJ155" s="47"/>
      <c r="EK155" s="47"/>
      <c r="EL155" s="47"/>
      <c r="EM155" s="47"/>
      <c r="EN155" s="47"/>
      <c r="EO155" s="47"/>
      <c r="EP155" s="47"/>
      <c r="EQ155" s="47"/>
      <c r="ER155" s="47"/>
      <c r="ES155" s="47"/>
      <c r="ET155" s="47"/>
      <c r="EU155" s="47"/>
      <c r="EV155" s="47"/>
      <c r="EW155" s="47"/>
      <c r="EX155" s="47"/>
      <c r="EY155" s="47"/>
      <c r="EZ155" s="47"/>
      <c r="FA155" s="47"/>
      <c r="FB155" s="47"/>
      <c r="FC155" s="47"/>
      <c r="FD155" s="47"/>
      <c r="FE155" s="47"/>
      <c r="FF155" s="47"/>
      <c r="FG155" s="47"/>
      <c r="FH155" s="47"/>
      <c r="FI155" s="47"/>
      <c r="FJ155" s="47"/>
      <c r="FK155" s="47"/>
      <c r="FL155" s="47"/>
      <c r="FM155" s="47"/>
      <c r="FN155" s="47"/>
      <c r="FO155" s="47"/>
      <c r="FP155" s="47"/>
      <c r="FQ155" s="47"/>
      <c r="FR155" s="47"/>
      <c r="FS155" s="47"/>
      <c r="FT155" s="47"/>
      <c r="FU155" s="47"/>
      <c r="FV155" s="47"/>
      <c r="FW155" s="47"/>
      <c r="FX155" s="47"/>
      <c r="FY155" s="47"/>
      <c r="FZ155" s="47"/>
      <c r="GA155" s="47"/>
      <c r="GB155" s="47"/>
      <c r="GC155" s="47"/>
      <c r="GD155" s="47"/>
      <c r="GE155" s="47"/>
      <c r="GF155" s="47"/>
      <c r="GG155" s="47"/>
      <c r="GH155" s="47"/>
      <c r="GI155" s="47"/>
      <c r="GJ155" s="47"/>
      <c r="GK155" s="47"/>
      <c r="GL155" s="47"/>
      <c r="GM155" s="47"/>
      <c r="GN155" s="47"/>
      <c r="GO155" s="47"/>
      <c r="GP155" s="47"/>
      <c r="GQ155" s="47"/>
      <c r="GR155" s="47"/>
      <c r="GS155" s="47"/>
      <c r="GT155" s="47"/>
      <c r="GU155" s="47"/>
      <c r="GV155" s="47"/>
      <c r="GW155" s="47"/>
      <c r="GX155" s="47"/>
      <c r="GY155" s="47"/>
      <c r="GZ155" s="47"/>
      <c r="HA155" s="47"/>
      <c r="HB155" s="47"/>
      <c r="HC155" s="47"/>
      <c r="HD155" s="47"/>
      <c r="HE155" s="47"/>
      <c r="HF155" s="47"/>
      <c r="HG155" s="47"/>
      <c r="HH155" s="47"/>
      <c r="HI155" s="47"/>
      <c r="HJ155" s="47"/>
      <c r="HK155" s="47"/>
      <c r="HL155" s="47"/>
      <c r="HM155" s="47"/>
      <c r="HN155" s="47"/>
      <c r="HO155" s="47"/>
      <c r="HP155" s="47"/>
      <c r="HQ155" s="47"/>
      <c r="HR155" s="47"/>
      <c r="HS155" s="47"/>
      <c r="HT155" s="47"/>
      <c r="HU155" s="47"/>
      <c r="HV155" s="47"/>
      <c r="HW155" s="47"/>
      <c r="HX155" s="47"/>
      <c r="HY155" s="47"/>
      <c r="HZ155" s="47"/>
      <c r="IA155" s="47"/>
      <c r="IB155" s="47"/>
      <c r="IC155" s="47"/>
      <c r="ID155" s="47"/>
      <c r="IE155" s="47"/>
      <c r="IF155" s="47"/>
      <c r="IG155" s="47"/>
      <c r="IH155" s="47"/>
      <c r="II155" s="47"/>
      <c r="IJ155" s="47"/>
      <c r="IK155" s="47"/>
      <c r="IL155" s="47"/>
      <c r="IM155" s="47"/>
      <c r="IN155" s="47"/>
      <c r="IO155" s="47"/>
      <c r="IP155" s="47"/>
      <c r="IQ155" s="47"/>
      <c r="IR155" s="47"/>
      <c r="IS155" s="47"/>
      <c r="IT155" s="47"/>
      <c r="IU155" s="47"/>
      <c r="IV155" s="47"/>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F155" s="1"/>
      <c r="NG155" s="1"/>
      <c r="NH155" s="1"/>
      <c r="NI155" s="1"/>
      <c r="NJ155" s="1"/>
    </row>
    <row r="156" spans="1:374" ht="12.75" customHeight="1" x14ac:dyDescent="0.3">
      <c r="A156" s="59"/>
      <c r="B156" s="61"/>
      <c r="C156" s="61"/>
      <c r="D156" s="61"/>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c r="CT156" s="47"/>
      <c r="CU156" s="47"/>
      <c r="CV156" s="47"/>
      <c r="CW156" s="47"/>
      <c r="CX156" s="47"/>
      <c r="CY156" s="47"/>
      <c r="CZ156" s="47"/>
      <c r="DA156" s="47"/>
      <c r="DB156" s="47"/>
      <c r="DC156" s="47"/>
      <c r="DD156" s="47"/>
      <c r="DE156" s="47"/>
      <c r="DF156" s="47"/>
      <c r="DG156" s="47"/>
      <c r="DH156" s="47"/>
      <c r="DI156" s="47"/>
      <c r="DJ156" s="47"/>
      <c r="DK156" s="47"/>
      <c r="DL156" s="47"/>
      <c r="DM156" s="47"/>
      <c r="DN156" s="47"/>
      <c r="DO156" s="47"/>
      <c r="DP156" s="47"/>
      <c r="DQ156" s="47"/>
      <c r="DR156" s="47"/>
      <c r="DS156" s="47"/>
      <c r="DT156" s="47"/>
      <c r="DU156" s="47"/>
      <c r="DV156" s="47"/>
      <c r="DW156" s="47"/>
      <c r="DX156" s="47"/>
      <c r="DY156" s="47"/>
      <c r="DZ156" s="47"/>
      <c r="EA156" s="47"/>
      <c r="EB156" s="47"/>
      <c r="EC156" s="47"/>
      <c r="ED156" s="47"/>
      <c r="EE156" s="47"/>
      <c r="EF156" s="47"/>
      <c r="EG156" s="47"/>
      <c r="EH156" s="47"/>
      <c r="EI156" s="47"/>
      <c r="EJ156" s="47"/>
      <c r="EK156" s="47"/>
      <c r="EL156" s="47"/>
      <c r="EM156" s="47"/>
      <c r="EN156" s="47"/>
      <c r="EO156" s="47"/>
      <c r="EP156" s="47"/>
      <c r="EQ156" s="47"/>
      <c r="ER156" s="47"/>
      <c r="ES156" s="47"/>
      <c r="ET156" s="47"/>
      <c r="EU156" s="47"/>
      <c r="EV156" s="47"/>
      <c r="EW156" s="47"/>
      <c r="EX156" s="47"/>
      <c r="EY156" s="47"/>
      <c r="EZ156" s="47"/>
      <c r="FA156" s="47"/>
      <c r="FB156" s="47"/>
      <c r="FC156" s="47"/>
      <c r="FD156" s="47"/>
      <c r="FE156" s="47"/>
      <c r="FF156" s="47"/>
      <c r="FG156" s="47"/>
      <c r="FH156" s="47"/>
      <c r="FI156" s="47"/>
      <c r="FJ156" s="47"/>
      <c r="FK156" s="47"/>
      <c r="FL156" s="47"/>
      <c r="FM156" s="47"/>
      <c r="FN156" s="47"/>
      <c r="FO156" s="47"/>
      <c r="FP156" s="47"/>
      <c r="FQ156" s="47"/>
      <c r="FR156" s="47"/>
      <c r="FS156" s="47"/>
      <c r="FT156" s="47"/>
      <c r="FU156" s="47"/>
      <c r="FV156" s="47"/>
      <c r="FW156" s="47"/>
      <c r="FX156" s="47"/>
      <c r="FY156" s="47"/>
      <c r="FZ156" s="47"/>
      <c r="GA156" s="47"/>
      <c r="GB156" s="47"/>
      <c r="GC156" s="47"/>
      <c r="GD156" s="47"/>
      <c r="GE156" s="47"/>
      <c r="GF156" s="47"/>
      <c r="GG156" s="47"/>
      <c r="GH156" s="47"/>
      <c r="GI156" s="47"/>
      <c r="GJ156" s="47"/>
      <c r="GK156" s="47"/>
      <c r="GL156" s="47"/>
      <c r="GM156" s="47"/>
      <c r="GN156" s="47"/>
      <c r="GO156" s="47"/>
      <c r="GP156" s="47"/>
      <c r="GQ156" s="47"/>
      <c r="GR156" s="47"/>
      <c r="GS156" s="47"/>
      <c r="GT156" s="47"/>
      <c r="GU156" s="47"/>
      <c r="GV156" s="47"/>
      <c r="GW156" s="47"/>
      <c r="GX156" s="47"/>
      <c r="GY156" s="47"/>
      <c r="GZ156" s="47"/>
      <c r="HA156" s="47"/>
      <c r="HB156" s="47"/>
      <c r="HC156" s="47"/>
      <c r="HD156" s="47"/>
      <c r="HE156" s="47"/>
      <c r="HF156" s="47"/>
      <c r="HG156" s="47"/>
      <c r="HH156" s="47"/>
      <c r="HI156" s="47"/>
      <c r="HJ156" s="47"/>
      <c r="HK156" s="47"/>
      <c r="HL156" s="47"/>
      <c r="HM156" s="47"/>
      <c r="HN156" s="47"/>
      <c r="HO156" s="47"/>
      <c r="HP156" s="47"/>
      <c r="HQ156" s="47"/>
      <c r="HR156" s="47"/>
      <c r="HS156" s="47"/>
      <c r="HT156" s="47"/>
      <c r="HU156" s="47"/>
      <c r="HV156" s="47"/>
      <c r="HW156" s="47"/>
      <c r="HX156" s="47"/>
      <c r="HY156" s="47"/>
      <c r="HZ156" s="47"/>
      <c r="IA156" s="47"/>
      <c r="IB156" s="47"/>
      <c r="IC156" s="47"/>
      <c r="ID156" s="47"/>
      <c r="IE156" s="47"/>
      <c r="IF156" s="47"/>
      <c r="IG156" s="47"/>
      <c r="IH156" s="47"/>
      <c r="II156" s="47"/>
      <c r="IJ156" s="47"/>
      <c r="IK156" s="47"/>
      <c r="IL156" s="47"/>
      <c r="IM156" s="47"/>
      <c r="IN156" s="47"/>
      <c r="IO156" s="47"/>
      <c r="IP156" s="47"/>
      <c r="IQ156" s="47"/>
      <c r="IR156" s="47"/>
      <c r="IS156" s="47"/>
      <c r="IT156" s="47"/>
      <c r="IU156" s="47"/>
      <c r="IV156" s="47"/>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F156" s="1"/>
      <c r="NG156" s="1"/>
      <c r="NH156" s="1"/>
      <c r="NI156" s="1"/>
      <c r="NJ156" s="1"/>
    </row>
    <row r="157" spans="1:374" ht="12.75" customHeight="1" x14ac:dyDescent="0.3">
      <c r="A157" s="59"/>
      <c r="B157" s="61"/>
      <c r="C157" s="61"/>
      <c r="D157" s="61"/>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c r="CT157" s="47"/>
      <c r="CU157" s="47"/>
      <c r="CV157" s="47"/>
      <c r="CW157" s="47"/>
      <c r="CX157" s="47"/>
      <c r="CY157" s="47"/>
      <c r="CZ157" s="47"/>
      <c r="DA157" s="47"/>
      <c r="DB157" s="47"/>
      <c r="DC157" s="47"/>
      <c r="DD157" s="47"/>
      <c r="DE157" s="47"/>
      <c r="DF157" s="47"/>
      <c r="DG157" s="47"/>
      <c r="DH157" s="47"/>
      <c r="DI157" s="47"/>
      <c r="DJ157" s="47"/>
      <c r="DK157" s="47"/>
      <c r="DL157" s="47"/>
      <c r="DM157" s="47"/>
      <c r="DN157" s="47"/>
      <c r="DO157" s="47"/>
      <c r="DP157" s="47"/>
      <c r="DQ157" s="47"/>
      <c r="DR157" s="47"/>
      <c r="DS157" s="47"/>
      <c r="DT157" s="47"/>
      <c r="DU157" s="47"/>
      <c r="DV157" s="47"/>
      <c r="DW157" s="47"/>
      <c r="DX157" s="47"/>
      <c r="DY157" s="47"/>
      <c r="DZ157" s="47"/>
      <c r="EA157" s="47"/>
      <c r="EB157" s="47"/>
      <c r="EC157" s="47"/>
      <c r="ED157" s="47"/>
      <c r="EE157" s="47"/>
      <c r="EF157" s="47"/>
      <c r="EG157" s="47"/>
      <c r="EH157" s="47"/>
      <c r="EI157" s="47"/>
      <c r="EJ157" s="47"/>
      <c r="EK157" s="47"/>
      <c r="EL157" s="47"/>
      <c r="EM157" s="47"/>
      <c r="EN157" s="47"/>
      <c r="EO157" s="47"/>
      <c r="EP157" s="47"/>
      <c r="EQ157" s="47"/>
      <c r="ER157" s="47"/>
      <c r="ES157" s="47"/>
      <c r="ET157" s="47"/>
      <c r="EU157" s="47"/>
      <c r="EV157" s="47"/>
      <c r="EW157" s="47"/>
      <c r="EX157" s="47"/>
      <c r="EY157" s="47"/>
      <c r="EZ157" s="47"/>
      <c r="FA157" s="47"/>
      <c r="FB157" s="47"/>
      <c r="FC157" s="47"/>
      <c r="FD157" s="47"/>
      <c r="FE157" s="47"/>
      <c r="FF157" s="47"/>
      <c r="FG157" s="47"/>
      <c r="FH157" s="47"/>
      <c r="FI157" s="47"/>
      <c r="FJ157" s="47"/>
      <c r="FK157" s="47"/>
      <c r="FL157" s="47"/>
      <c r="FM157" s="47"/>
      <c r="FN157" s="47"/>
      <c r="FO157" s="47"/>
      <c r="FP157" s="47"/>
      <c r="FQ157" s="47"/>
      <c r="FR157" s="47"/>
      <c r="FS157" s="47"/>
      <c r="FT157" s="47"/>
      <c r="FU157" s="47"/>
      <c r="FV157" s="47"/>
      <c r="FW157" s="47"/>
      <c r="FX157" s="47"/>
      <c r="FY157" s="47"/>
      <c r="FZ157" s="47"/>
      <c r="GA157" s="47"/>
      <c r="GB157" s="47"/>
      <c r="GC157" s="47"/>
      <c r="GD157" s="47"/>
      <c r="GE157" s="47"/>
      <c r="GF157" s="47"/>
      <c r="GG157" s="47"/>
      <c r="GH157" s="47"/>
      <c r="GI157" s="47"/>
      <c r="GJ157" s="47"/>
      <c r="GK157" s="47"/>
      <c r="GL157" s="47"/>
      <c r="GM157" s="47"/>
      <c r="GN157" s="47"/>
      <c r="GO157" s="47"/>
      <c r="GP157" s="47"/>
      <c r="GQ157" s="47"/>
      <c r="GR157" s="47"/>
      <c r="GS157" s="47"/>
      <c r="GT157" s="47"/>
      <c r="GU157" s="47"/>
      <c r="GV157" s="47"/>
      <c r="GW157" s="47"/>
      <c r="GX157" s="47"/>
      <c r="GY157" s="47"/>
      <c r="GZ157" s="47"/>
      <c r="HA157" s="47"/>
      <c r="HB157" s="47"/>
      <c r="HC157" s="47"/>
      <c r="HD157" s="47"/>
      <c r="HE157" s="47"/>
      <c r="HF157" s="47"/>
      <c r="HG157" s="47"/>
      <c r="HH157" s="47"/>
      <c r="HI157" s="47"/>
      <c r="HJ157" s="47"/>
      <c r="HK157" s="47"/>
      <c r="HL157" s="47"/>
      <c r="HM157" s="47"/>
      <c r="HN157" s="47"/>
      <c r="HO157" s="47"/>
      <c r="HP157" s="47"/>
      <c r="HQ157" s="47"/>
      <c r="HR157" s="47"/>
      <c r="HS157" s="47"/>
      <c r="HT157" s="47"/>
      <c r="HU157" s="47"/>
      <c r="HV157" s="47"/>
      <c r="HW157" s="47"/>
      <c r="HX157" s="47"/>
      <c r="HY157" s="47"/>
      <c r="HZ157" s="47"/>
      <c r="IA157" s="47"/>
      <c r="IB157" s="47"/>
      <c r="IC157" s="47"/>
      <c r="ID157" s="47"/>
      <c r="IE157" s="47"/>
      <c r="IF157" s="47"/>
      <c r="IG157" s="47"/>
      <c r="IH157" s="47"/>
      <c r="II157" s="47"/>
      <c r="IJ157" s="47"/>
      <c r="IK157" s="47"/>
      <c r="IL157" s="47"/>
      <c r="IM157" s="47"/>
      <c r="IN157" s="47"/>
      <c r="IO157" s="47"/>
      <c r="IP157" s="47"/>
      <c r="IQ157" s="47"/>
      <c r="IR157" s="47"/>
      <c r="IS157" s="47"/>
      <c r="IT157" s="47"/>
      <c r="IU157" s="47"/>
      <c r="IV157" s="47"/>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F157" s="1"/>
      <c r="NG157" s="1"/>
      <c r="NH157" s="1"/>
      <c r="NI157" s="1"/>
      <c r="NJ157" s="1"/>
    </row>
    <row r="158" spans="1:374" ht="12.75" customHeight="1" x14ac:dyDescent="0.3">
      <c r="A158" s="59"/>
      <c r="B158" s="61"/>
      <c r="C158" s="61"/>
      <c r="D158" s="61"/>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c r="CT158" s="47"/>
      <c r="CU158" s="47"/>
      <c r="CV158" s="47"/>
      <c r="CW158" s="47"/>
      <c r="CX158" s="47"/>
      <c r="CY158" s="47"/>
      <c r="CZ158" s="47"/>
      <c r="DA158" s="47"/>
      <c r="DB158" s="47"/>
      <c r="DC158" s="47"/>
      <c r="DD158" s="47"/>
      <c r="DE158" s="47"/>
      <c r="DF158" s="47"/>
      <c r="DG158" s="47"/>
      <c r="DH158" s="47"/>
      <c r="DI158" s="47"/>
      <c r="DJ158" s="47"/>
      <c r="DK158" s="47"/>
      <c r="DL158" s="47"/>
      <c r="DM158" s="47"/>
      <c r="DN158" s="47"/>
      <c r="DO158" s="47"/>
      <c r="DP158" s="47"/>
      <c r="DQ158" s="47"/>
      <c r="DR158" s="47"/>
      <c r="DS158" s="47"/>
      <c r="DT158" s="47"/>
      <c r="DU158" s="47"/>
      <c r="DV158" s="47"/>
      <c r="DW158" s="47"/>
      <c r="DX158" s="47"/>
      <c r="DY158" s="47"/>
      <c r="DZ158" s="47"/>
      <c r="EA158" s="47"/>
      <c r="EB158" s="47"/>
      <c r="EC158" s="47"/>
      <c r="ED158" s="47"/>
      <c r="EE158" s="47"/>
      <c r="EF158" s="47"/>
      <c r="EG158" s="47"/>
      <c r="EH158" s="47"/>
      <c r="EI158" s="47"/>
      <c r="EJ158" s="47"/>
      <c r="EK158" s="47"/>
      <c r="EL158" s="47"/>
      <c r="EM158" s="47"/>
      <c r="EN158" s="47"/>
      <c r="EO158" s="47"/>
      <c r="EP158" s="47"/>
      <c r="EQ158" s="47"/>
      <c r="ER158" s="47"/>
      <c r="ES158" s="47"/>
      <c r="ET158" s="47"/>
      <c r="EU158" s="47"/>
      <c r="EV158" s="47"/>
      <c r="EW158" s="47"/>
      <c r="EX158" s="47"/>
      <c r="EY158" s="47"/>
      <c r="EZ158" s="47"/>
      <c r="FA158" s="47"/>
      <c r="FB158" s="47"/>
      <c r="FC158" s="47"/>
      <c r="FD158" s="47"/>
      <c r="FE158" s="47"/>
      <c r="FF158" s="47"/>
      <c r="FG158" s="47"/>
      <c r="FH158" s="47"/>
      <c r="FI158" s="47"/>
      <c r="FJ158" s="47"/>
      <c r="FK158" s="47"/>
      <c r="FL158" s="47"/>
      <c r="FM158" s="47"/>
      <c r="FN158" s="47"/>
      <c r="FO158" s="47"/>
      <c r="FP158" s="47"/>
      <c r="FQ158" s="47"/>
      <c r="FR158" s="47"/>
      <c r="FS158" s="47"/>
      <c r="FT158" s="47"/>
      <c r="FU158" s="47"/>
      <c r="FV158" s="47"/>
      <c r="FW158" s="47"/>
      <c r="FX158" s="47"/>
      <c r="FY158" s="47"/>
      <c r="FZ158" s="47"/>
      <c r="GA158" s="47"/>
      <c r="GB158" s="47"/>
      <c r="GC158" s="47"/>
      <c r="GD158" s="47"/>
      <c r="GE158" s="47"/>
      <c r="GF158" s="47"/>
      <c r="GG158" s="47"/>
      <c r="GH158" s="47"/>
      <c r="GI158" s="47"/>
      <c r="GJ158" s="47"/>
      <c r="GK158" s="47"/>
      <c r="GL158" s="47"/>
      <c r="GM158" s="47"/>
      <c r="GN158" s="47"/>
      <c r="GO158" s="47"/>
      <c r="GP158" s="47"/>
      <c r="GQ158" s="47"/>
      <c r="GR158" s="47"/>
      <c r="GS158" s="47"/>
      <c r="GT158" s="47"/>
      <c r="GU158" s="47"/>
      <c r="GV158" s="47"/>
      <c r="GW158" s="47"/>
      <c r="GX158" s="47"/>
      <c r="GY158" s="47"/>
      <c r="GZ158" s="47"/>
      <c r="HA158" s="47"/>
      <c r="HB158" s="47"/>
      <c r="HC158" s="47"/>
      <c r="HD158" s="47"/>
      <c r="HE158" s="47"/>
      <c r="HF158" s="47"/>
      <c r="HG158" s="47"/>
      <c r="HH158" s="47"/>
      <c r="HI158" s="47"/>
      <c r="HJ158" s="47"/>
      <c r="HK158" s="47"/>
      <c r="HL158" s="47"/>
      <c r="HM158" s="47"/>
      <c r="HN158" s="47"/>
      <c r="HO158" s="47"/>
      <c r="HP158" s="47"/>
      <c r="HQ158" s="47"/>
      <c r="HR158" s="47"/>
      <c r="HS158" s="47"/>
      <c r="HT158" s="47"/>
      <c r="HU158" s="47"/>
      <c r="HV158" s="47"/>
      <c r="HW158" s="47"/>
      <c r="HX158" s="47"/>
      <c r="HY158" s="47"/>
      <c r="HZ158" s="47"/>
      <c r="IA158" s="47"/>
      <c r="IB158" s="47"/>
      <c r="IC158" s="47"/>
      <c r="ID158" s="47"/>
      <c r="IE158" s="47"/>
      <c r="IF158" s="47"/>
      <c r="IG158" s="47"/>
      <c r="IH158" s="47"/>
      <c r="II158" s="47"/>
      <c r="IJ158" s="47"/>
      <c r="IK158" s="47"/>
      <c r="IL158" s="47"/>
      <c r="IM158" s="47"/>
      <c r="IN158" s="47"/>
      <c r="IO158" s="47"/>
      <c r="IP158" s="47"/>
      <c r="IQ158" s="47"/>
      <c r="IR158" s="47"/>
      <c r="IS158" s="47"/>
      <c r="IT158" s="47"/>
      <c r="IU158" s="47"/>
      <c r="IV158" s="47"/>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F158" s="1"/>
      <c r="NG158" s="1"/>
      <c r="NH158" s="1"/>
      <c r="NI158" s="1"/>
      <c r="NJ158" s="1"/>
    </row>
    <row r="159" spans="1:374" ht="12.75" customHeight="1" x14ac:dyDescent="0.3">
      <c r="A159" s="59"/>
      <c r="B159" s="61"/>
      <c r="C159" s="61"/>
      <c r="D159" s="61"/>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c r="CT159" s="47"/>
      <c r="CU159" s="47"/>
      <c r="CV159" s="47"/>
      <c r="CW159" s="47"/>
      <c r="CX159" s="47"/>
      <c r="CY159" s="47"/>
      <c r="CZ159" s="47"/>
      <c r="DA159" s="47"/>
      <c r="DB159" s="47"/>
      <c r="DC159" s="47"/>
      <c r="DD159" s="47"/>
      <c r="DE159" s="47"/>
      <c r="DF159" s="47"/>
      <c r="DG159" s="47"/>
      <c r="DH159" s="47"/>
      <c r="DI159" s="47"/>
      <c r="DJ159" s="47"/>
      <c r="DK159" s="47"/>
      <c r="DL159" s="47"/>
      <c r="DM159" s="47"/>
      <c r="DN159" s="47"/>
      <c r="DO159" s="47"/>
      <c r="DP159" s="47"/>
      <c r="DQ159" s="47"/>
      <c r="DR159" s="47"/>
      <c r="DS159" s="47"/>
      <c r="DT159" s="47"/>
      <c r="DU159" s="47"/>
      <c r="DV159" s="47"/>
      <c r="DW159" s="47"/>
      <c r="DX159" s="47"/>
      <c r="DY159" s="47"/>
      <c r="DZ159" s="47"/>
      <c r="EA159" s="47"/>
      <c r="EB159" s="47"/>
      <c r="EC159" s="47"/>
      <c r="ED159" s="47"/>
      <c r="EE159" s="47"/>
      <c r="EF159" s="47"/>
      <c r="EG159" s="47"/>
      <c r="EH159" s="47"/>
      <c r="EI159" s="47"/>
      <c r="EJ159" s="47"/>
      <c r="EK159" s="47"/>
      <c r="EL159" s="47"/>
      <c r="EM159" s="47"/>
      <c r="EN159" s="47"/>
      <c r="EO159" s="47"/>
      <c r="EP159" s="47"/>
      <c r="EQ159" s="47"/>
      <c r="ER159" s="47"/>
      <c r="ES159" s="47"/>
      <c r="ET159" s="47"/>
      <c r="EU159" s="47"/>
      <c r="EV159" s="47"/>
      <c r="EW159" s="47"/>
      <c r="EX159" s="47"/>
      <c r="EY159" s="47"/>
      <c r="EZ159" s="47"/>
      <c r="FA159" s="47"/>
      <c r="FB159" s="47"/>
      <c r="FC159" s="47"/>
      <c r="FD159" s="47"/>
      <c r="FE159" s="47"/>
      <c r="FF159" s="47"/>
      <c r="FG159" s="47"/>
      <c r="FH159" s="47"/>
      <c r="FI159" s="47"/>
      <c r="FJ159" s="47"/>
      <c r="FK159" s="47"/>
      <c r="FL159" s="47"/>
      <c r="FM159" s="47"/>
      <c r="FN159" s="47"/>
      <c r="FO159" s="47"/>
      <c r="FP159" s="47"/>
      <c r="FQ159" s="47"/>
      <c r="FR159" s="47"/>
      <c r="FS159" s="47"/>
      <c r="FT159" s="47"/>
      <c r="FU159" s="47"/>
      <c r="FV159" s="47"/>
      <c r="FW159" s="47"/>
      <c r="FX159" s="47"/>
      <c r="FY159" s="47"/>
      <c r="FZ159" s="47"/>
      <c r="GA159" s="47"/>
      <c r="GB159" s="47"/>
      <c r="GC159" s="47"/>
      <c r="GD159" s="47"/>
      <c r="GE159" s="47"/>
      <c r="GF159" s="47"/>
      <c r="GG159" s="47"/>
      <c r="GH159" s="47"/>
      <c r="GI159" s="47"/>
      <c r="GJ159" s="47"/>
      <c r="GK159" s="47"/>
      <c r="GL159" s="47"/>
      <c r="GM159" s="47"/>
      <c r="GN159" s="47"/>
      <c r="GO159" s="47"/>
      <c r="GP159" s="47"/>
      <c r="GQ159" s="47"/>
      <c r="GR159" s="47"/>
      <c r="GS159" s="47"/>
      <c r="GT159" s="47"/>
      <c r="GU159" s="47"/>
      <c r="GV159" s="47"/>
      <c r="GW159" s="47"/>
      <c r="GX159" s="47"/>
      <c r="GY159" s="47"/>
      <c r="GZ159" s="47"/>
      <c r="HA159" s="47"/>
      <c r="HB159" s="47"/>
      <c r="HC159" s="47"/>
      <c r="HD159" s="47"/>
      <c r="HE159" s="47"/>
      <c r="HF159" s="47"/>
      <c r="HG159" s="47"/>
      <c r="HH159" s="47"/>
      <c r="HI159" s="47"/>
      <c r="HJ159" s="47"/>
      <c r="HK159" s="47"/>
      <c r="HL159" s="47"/>
      <c r="HM159" s="47"/>
      <c r="HN159" s="47"/>
      <c r="HO159" s="47"/>
      <c r="HP159" s="47"/>
      <c r="HQ159" s="47"/>
      <c r="HR159" s="47"/>
      <c r="HS159" s="47"/>
      <c r="HT159" s="47"/>
      <c r="HU159" s="47"/>
      <c r="HV159" s="47"/>
      <c r="HW159" s="47"/>
      <c r="HX159" s="47"/>
      <c r="HY159" s="47"/>
      <c r="HZ159" s="47"/>
      <c r="IA159" s="47"/>
      <c r="IB159" s="47"/>
      <c r="IC159" s="47"/>
      <c r="ID159" s="47"/>
      <c r="IE159" s="47"/>
      <c r="IF159" s="47"/>
      <c r="IG159" s="47"/>
      <c r="IH159" s="47"/>
      <c r="II159" s="47"/>
      <c r="IJ159" s="47"/>
      <c r="IK159" s="47"/>
      <c r="IL159" s="47"/>
      <c r="IM159" s="47"/>
      <c r="IN159" s="47"/>
      <c r="IO159" s="47"/>
      <c r="IP159" s="47"/>
      <c r="IQ159" s="47"/>
      <c r="IR159" s="47"/>
      <c r="IS159" s="47"/>
      <c r="IT159" s="47"/>
      <c r="IU159" s="47"/>
      <c r="IV159" s="47"/>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F159" s="1"/>
      <c r="NG159" s="1"/>
      <c r="NH159" s="1"/>
      <c r="NI159" s="1"/>
      <c r="NJ159" s="1"/>
    </row>
    <row r="160" spans="1:374" ht="12.75" customHeight="1" x14ac:dyDescent="0.3">
      <c r="A160" s="59"/>
      <c r="B160" s="61"/>
      <c r="C160" s="61"/>
      <c r="D160" s="61"/>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c r="CT160" s="47"/>
      <c r="CU160" s="47"/>
      <c r="CV160" s="47"/>
      <c r="CW160" s="47"/>
      <c r="CX160" s="47"/>
      <c r="CY160" s="47"/>
      <c r="CZ160" s="47"/>
      <c r="DA160" s="47"/>
      <c r="DB160" s="47"/>
      <c r="DC160" s="47"/>
      <c r="DD160" s="47"/>
      <c r="DE160" s="47"/>
      <c r="DF160" s="47"/>
      <c r="DG160" s="47"/>
      <c r="DH160" s="47"/>
      <c r="DI160" s="47"/>
      <c r="DJ160" s="47"/>
      <c r="DK160" s="47"/>
      <c r="DL160" s="47"/>
      <c r="DM160" s="47"/>
      <c r="DN160" s="47"/>
      <c r="DO160" s="47"/>
      <c r="DP160" s="47"/>
      <c r="DQ160" s="47"/>
      <c r="DR160" s="47"/>
      <c r="DS160" s="47"/>
      <c r="DT160" s="47"/>
      <c r="DU160" s="47"/>
      <c r="DV160" s="47"/>
      <c r="DW160" s="47"/>
      <c r="DX160" s="47"/>
      <c r="DY160" s="47"/>
      <c r="DZ160" s="47"/>
      <c r="EA160" s="47"/>
      <c r="EB160" s="47"/>
      <c r="EC160" s="47"/>
      <c r="ED160" s="47"/>
      <c r="EE160" s="47"/>
      <c r="EF160" s="47"/>
      <c r="EG160" s="47"/>
      <c r="EH160" s="47"/>
      <c r="EI160" s="47"/>
      <c r="EJ160" s="47"/>
      <c r="EK160" s="47"/>
      <c r="EL160" s="47"/>
      <c r="EM160" s="47"/>
      <c r="EN160" s="47"/>
      <c r="EO160" s="47"/>
      <c r="EP160" s="47"/>
      <c r="EQ160" s="47"/>
      <c r="ER160" s="47"/>
      <c r="ES160" s="47"/>
      <c r="ET160" s="47"/>
      <c r="EU160" s="47"/>
      <c r="EV160" s="47"/>
      <c r="EW160" s="47"/>
      <c r="EX160" s="47"/>
      <c r="EY160" s="47"/>
      <c r="EZ160" s="47"/>
      <c r="FA160" s="47"/>
      <c r="FB160" s="47"/>
      <c r="FC160" s="47"/>
      <c r="FD160" s="47"/>
      <c r="FE160" s="47"/>
      <c r="FF160" s="47"/>
      <c r="FG160" s="47"/>
      <c r="FH160" s="47"/>
      <c r="FI160" s="47"/>
      <c r="FJ160" s="47"/>
      <c r="FK160" s="47"/>
      <c r="FL160" s="47"/>
      <c r="FM160" s="47"/>
      <c r="FN160" s="47"/>
      <c r="FO160" s="47"/>
      <c r="FP160" s="47"/>
      <c r="FQ160" s="47"/>
      <c r="FR160" s="47"/>
      <c r="FS160" s="47"/>
      <c r="FT160" s="47"/>
      <c r="FU160" s="47"/>
      <c r="FV160" s="47"/>
      <c r="FW160" s="47"/>
      <c r="FX160" s="47"/>
      <c r="FY160" s="47"/>
      <c r="FZ160" s="47"/>
      <c r="GA160" s="47"/>
      <c r="GB160" s="47"/>
      <c r="GC160" s="47"/>
      <c r="GD160" s="47"/>
      <c r="GE160" s="47"/>
      <c r="GF160" s="47"/>
      <c r="GG160" s="47"/>
      <c r="GH160" s="47"/>
      <c r="GI160" s="47"/>
      <c r="GJ160" s="47"/>
      <c r="GK160" s="47"/>
      <c r="GL160" s="47"/>
      <c r="GM160" s="47"/>
      <c r="GN160" s="47"/>
      <c r="GO160" s="47"/>
      <c r="GP160" s="47"/>
      <c r="GQ160" s="47"/>
      <c r="GR160" s="47"/>
      <c r="GS160" s="47"/>
      <c r="GT160" s="47"/>
      <c r="GU160" s="47"/>
      <c r="GV160" s="47"/>
      <c r="GW160" s="47"/>
      <c r="GX160" s="47"/>
      <c r="GY160" s="47"/>
      <c r="GZ160" s="47"/>
      <c r="HA160" s="47"/>
      <c r="HB160" s="47"/>
      <c r="HC160" s="47"/>
      <c r="HD160" s="47"/>
      <c r="HE160" s="47"/>
      <c r="HF160" s="47"/>
      <c r="HG160" s="47"/>
      <c r="HH160" s="47"/>
      <c r="HI160" s="47"/>
      <c r="HJ160" s="47"/>
      <c r="HK160" s="47"/>
      <c r="HL160" s="47"/>
      <c r="HM160" s="47"/>
      <c r="HN160" s="47"/>
      <c r="HO160" s="47"/>
      <c r="HP160" s="47"/>
      <c r="HQ160" s="47"/>
      <c r="HR160" s="47"/>
      <c r="HS160" s="47"/>
      <c r="HT160" s="47"/>
      <c r="HU160" s="47"/>
      <c r="HV160" s="47"/>
      <c r="HW160" s="47"/>
      <c r="HX160" s="47"/>
      <c r="HY160" s="47"/>
      <c r="HZ160" s="47"/>
      <c r="IA160" s="47"/>
      <c r="IB160" s="47"/>
      <c r="IC160" s="47"/>
      <c r="ID160" s="47"/>
      <c r="IE160" s="47"/>
      <c r="IF160" s="47"/>
      <c r="IG160" s="47"/>
      <c r="IH160" s="47"/>
      <c r="II160" s="47"/>
      <c r="IJ160" s="47"/>
      <c r="IK160" s="47"/>
      <c r="IL160" s="47"/>
      <c r="IM160" s="47"/>
      <c r="IN160" s="47"/>
      <c r="IO160" s="47"/>
      <c r="IP160" s="47"/>
      <c r="IQ160" s="47"/>
      <c r="IR160" s="47"/>
      <c r="IS160" s="47"/>
      <c r="IT160" s="47"/>
      <c r="IU160" s="47"/>
      <c r="IV160" s="47"/>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F160" s="1"/>
      <c r="NG160" s="1"/>
      <c r="NH160" s="1"/>
      <c r="NI160" s="1"/>
      <c r="NJ160" s="1"/>
    </row>
    <row r="161" spans="1:374" ht="12.75" customHeight="1" x14ac:dyDescent="0.3">
      <c r="A161" s="59"/>
      <c r="B161" s="61"/>
      <c r="C161" s="61"/>
      <c r="D161" s="61"/>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c r="CT161" s="47"/>
      <c r="CU161" s="47"/>
      <c r="CV161" s="47"/>
      <c r="CW161" s="47"/>
      <c r="CX161" s="47"/>
      <c r="CY161" s="47"/>
      <c r="CZ161" s="47"/>
      <c r="DA161" s="47"/>
      <c r="DB161" s="47"/>
      <c r="DC161" s="47"/>
      <c r="DD161" s="47"/>
      <c r="DE161" s="47"/>
      <c r="DF161" s="47"/>
      <c r="DG161" s="47"/>
      <c r="DH161" s="47"/>
      <c r="DI161" s="47"/>
      <c r="DJ161" s="47"/>
      <c r="DK161" s="47"/>
      <c r="DL161" s="47"/>
      <c r="DM161" s="47"/>
      <c r="DN161" s="47"/>
      <c r="DO161" s="47"/>
      <c r="DP161" s="47"/>
      <c r="DQ161" s="47"/>
      <c r="DR161" s="47"/>
      <c r="DS161" s="47"/>
      <c r="DT161" s="47"/>
      <c r="DU161" s="47"/>
      <c r="DV161" s="47"/>
      <c r="DW161" s="47"/>
      <c r="DX161" s="47"/>
      <c r="DY161" s="47"/>
      <c r="DZ161" s="47"/>
      <c r="EA161" s="47"/>
      <c r="EB161" s="47"/>
      <c r="EC161" s="47"/>
      <c r="ED161" s="47"/>
      <c r="EE161" s="47"/>
      <c r="EF161" s="47"/>
      <c r="EG161" s="47"/>
      <c r="EH161" s="47"/>
      <c r="EI161" s="47"/>
      <c r="EJ161" s="47"/>
      <c r="EK161" s="47"/>
      <c r="EL161" s="47"/>
      <c r="EM161" s="47"/>
      <c r="EN161" s="47"/>
      <c r="EO161" s="47"/>
      <c r="EP161" s="47"/>
      <c r="EQ161" s="47"/>
      <c r="ER161" s="47"/>
      <c r="ES161" s="47"/>
      <c r="ET161" s="47"/>
      <c r="EU161" s="47"/>
      <c r="EV161" s="47"/>
      <c r="EW161" s="47"/>
      <c r="EX161" s="47"/>
      <c r="EY161" s="47"/>
      <c r="EZ161" s="47"/>
      <c r="FA161" s="47"/>
      <c r="FB161" s="47"/>
      <c r="FC161" s="47"/>
      <c r="FD161" s="47"/>
      <c r="FE161" s="47"/>
      <c r="FF161" s="47"/>
      <c r="FG161" s="47"/>
      <c r="FH161" s="47"/>
      <c r="FI161" s="47"/>
      <c r="FJ161" s="47"/>
      <c r="FK161" s="47"/>
      <c r="FL161" s="47"/>
      <c r="FM161" s="47"/>
      <c r="FN161" s="47"/>
      <c r="FO161" s="47"/>
      <c r="FP161" s="47"/>
      <c r="FQ161" s="47"/>
      <c r="FR161" s="47"/>
      <c r="FS161" s="47"/>
      <c r="FT161" s="47"/>
      <c r="FU161" s="47"/>
      <c r="FV161" s="47"/>
      <c r="FW161" s="47"/>
      <c r="FX161" s="47"/>
      <c r="FY161" s="47"/>
      <c r="FZ161" s="47"/>
      <c r="GA161" s="47"/>
      <c r="GB161" s="47"/>
      <c r="GC161" s="47"/>
      <c r="GD161" s="47"/>
      <c r="GE161" s="47"/>
      <c r="GF161" s="47"/>
      <c r="GG161" s="47"/>
      <c r="GH161" s="47"/>
      <c r="GI161" s="47"/>
      <c r="GJ161" s="47"/>
      <c r="GK161" s="47"/>
      <c r="GL161" s="47"/>
      <c r="GM161" s="47"/>
      <c r="GN161" s="47"/>
      <c r="GO161" s="47"/>
      <c r="GP161" s="47"/>
      <c r="GQ161" s="47"/>
      <c r="GR161" s="47"/>
      <c r="GS161" s="47"/>
      <c r="GT161" s="47"/>
      <c r="GU161" s="47"/>
      <c r="GV161" s="47"/>
      <c r="GW161" s="47"/>
      <c r="GX161" s="47"/>
      <c r="GY161" s="47"/>
      <c r="GZ161" s="47"/>
      <c r="HA161" s="47"/>
      <c r="HB161" s="47"/>
      <c r="HC161" s="47"/>
      <c r="HD161" s="47"/>
      <c r="HE161" s="47"/>
      <c r="HF161" s="47"/>
      <c r="HG161" s="47"/>
      <c r="HH161" s="47"/>
      <c r="HI161" s="47"/>
      <c r="HJ161" s="47"/>
      <c r="HK161" s="47"/>
      <c r="HL161" s="47"/>
      <c r="HM161" s="47"/>
      <c r="HN161" s="47"/>
      <c r="HO161" s="47"/>
      <c r="HP161" s="47"/>
      <c r="HQ161" s="47"/>
      <c r="HR161" s="47"/>
      <c r="HS161" s="47"/>
      <c r="HT161" s="47"/>
      <c r="HU161" s="47"/>
      <c r="HV161" s="47"/>
      <c r="HW161" s="47"/>
      <c r="HX161" s="47"/>
      <c r="HY161" s="47"/>
      <c r="HZ161" s="47"/>
      <c r="IA161" s="47"/>
      <c r="IB161" s="47"/>
      <c r="IC161" s="47"/>
      <c r="ID161" s="47"/>
      <c r="IE161" s="47"/>
      <c r="IF161" s="47"/>
      <c r="IG161" s="47"/>
      <c r="IH161" s="47"/>
      <c r="II161" s="47"/>
      <c r="IJ161" s="47"/>
      <c r="IK161" s="47"/>
      <c r="IL161" s="47"/>
      <c r="IM161" s="47"/>
      <c r="IN161" s="47"/>
      <c r="IO161" s="47"/>
      <c r="IP161" s="47"/>
      <c r="IQ161" s="47"/>
      <c r="IR161" s="47"/>
      <c r="IS161" s="47"/>
      <c r="IT161" s="47"/>
      <c r="IU161" s="47"/>
      <c r="IV161" s="47"/>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F161" s="1"/>
      <c r="NG161" s="1"/>
      <c r="NH161" s="1"/>
      <c r="NI161" s="1"/>
      <c r="NJ161" s="1"/>
    </row>
    <row r="162" spans="1:374" ht="12.75" customHeight="1" x14ac:dyDescent="0.3">
      <c r="A162" s="59"/>
      <c r="B162" s="61"/>
      <c r="C162" s="61"/>
      <c r="D162" s="61"/>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c r="CT162" s="47"/>
      <c r="CU162" s="47"/>
      <c r="CV162" s="47"/>
      <c r="CW162" s="47"/>
      <c r="CX162" s="47"/>
      <c r="CY162" s="47"/>
      <c r="CZ162" s="47"/>
      <c r="DA162" s="47"/>
      <c r="DB162" s="47"/>
      <c r="DC162" s="47"/>
      <c r="DD162" s="47"/>
      <c r="DE162" s="47"/>
      <c r="DF162" s="47"/>
      <c r="DG162" s="47"/>
      <c r="DH162" s="47"/>
      <c r="DI162" s="47"/>
      <c r="DJ162" s="47"/>
      <c r="DK162" s="47"/>
      <c r="DL162" s="47"/>
      <c r="DM162" s="47"/>
      <c r="DN162" s="47"/>
      <c r="DO162" s="47"/>
      <c r="DP162" s="47"/>
      <c r="DQ162" s="47"/>
      <c r="DR162" s="47"/>
      <c r="DS162" s="47"/>
      <c r="DT162" s="47"/>
      <c r="DU162" s="47"/>
      <c r="DV162" s="47"/>
      <c r="DW162" s="47"/>
      <c r="DX162" s="47"/>
      <c r="DY162" s="47"/>
      <c r="DZ162" s="47"/>
      <c r="EA162" s="47"/>
      <c r="EB162" s="47"/>
      <c r="EC162" s="47"/>
      <c r="ED162" s="47"/>
      <c r="EE162" s="47"/>
      <c r="EF162" s="47"/>
      <c r="EG162" s="47"/>
      <c r="EH162" s="47"/>
      <c r="EI162" s="47"/>
      <c r="EJ162" s="47"/>
      <c r="EK162" s="47"/>
      <c r="EL162" s="47"/>
      <c r="EM162" s="47"/>
      <c r="EN162" s="47"/>
      <c r="EO162" s="47"/>
      <c r="EP162" s="47"/>
      <c r="EQ162" s="47"/>
      <c r="ER162" s="47"/>
      <c r="ES162" s="47"/>
      <c r="ET162" s="47"/>
      <c r="EU162" s="47"/>
      <c r="EV162" s="47"/>
      <c r="EW162" s="47"/>
      <c r="EX162" s="47"/>
      <c r="EY162" s="47"/>
      <c r="EZ162" s="47"/>
      <c r="FA162" s="47"/>
      <c r="FB162" s="47"/>
      <c r="FC162" s="47"/>
      <c r="FD162" s="47"/>
      <c r="FE162" s="47"/>
      <c r="FF162" s="47"/>
      <c r="FG162" s="47"/>
      <c r="FH162" s="47"/>
      <c r="FI162" s="47"/>
      <c r="FJ162" s="47"/>
      <c r="FK162" s="47"/>
      <c r="FL162" s="47"/>
      <c r="FM162" s="47"/>
      <c r="FN162" s="47"/>
      <c r="FO162" s="47"/>
      <c r="FP162" s="47"/>
      <c r="FQ162" s="47"/>
      <c r="FR162" s="47"/>
      <c r="FS162" s="47"/>
      <c r="FT162" s="47"/>
      <c r="FU162" s="47"/>
      <c r="FV162" s="47"/>
      <c r="FW162" s="47"/>
      <c r="FX162" s="47"/>
      <c r="FY162" s="47"/>
      <c r="FZ162" s="47"/>
      <c r="GA162" s="47"/>
      <c r="GB162" s="47"/>
      <c r="GC162" s="47"/>
      <c r="GD162" s="47"/>
      <c r="GE162" s="47"/>
      <c r="GF162" s="47"/>
      <c r="GG162" s="47"/>
      <c r="GH162" s="47"/>
      <c r="GI162" s="47"/>
      <c r="GJ162" s="47"/>
      <c r="GK162" s="47"/>
      <c r="GL162" s="47"/>
      <c r="GM162" s="47"/>
      <c r="GN162" s="47"/>
      <c r="GO162" s="47"/>
      <c r="GP162" s="47"/>
      <c r="GQ162" s="47"/>
      <c r="GR162" s="47"/>
      <c r="GS162" s="47"/>
      <c r="GT162" s="47"/>
      <c r="GU162" s="47"/>
      <c r="GV162" s="47"/>
      <c r="GW162" s="47"/>
      <c r="GX162" s="47"/>
      <c r="GY162" s="47"/>
      <c r="GZ162" s="47"/>
      <c r="HA162" s="47"/>
      <c r="HB162" s="47"/>
      <c r="HC162" s="47"/>
      <c r="HD162" s="47"/>
      <c r="HE162" s="47"/>
      <c r="HF162" s="47"/>
      <c r="HG162" s="47"/>
      <c r="HH162" s="47"/>
      <c r="HI162" s="47"/>
      <c r="HJ162" s="47"/>
      <c r="HK162" s="47"/>
      <c r="HL162" s="47"/>
      <c r="HM162" s="47"/>
      <c r="HN162" s="47"/>
      <c r="HO162" s="47"/>
      <c r="HP162" s="47"/>
      <c r="HQ162" s="47"/>
      <c r="HR162" s="47"/>
      <c r="HS162" s="47"/>
      <c r="HT162" s="47"/>
      <c r="HU162" s="47"/>
      <c r="HV162" s="47"/>
      <c r="HW162" s="47"/>
      <c r="HX162" s="47"/>
      <c r="HY162" s="47"/>
      <c r="HZ162" s="47"/>
      <c r="IA162" s="47"/>
      <c r="IB162" s="47"/>
      <c r="IC162" s="47"/>
      <c r="ID162" s="47"/>
      <c r="IE162" s="47"/>
      <c r="IF162" s="47"/>
      <c r="IG162" s="47"/>
      <c r="IH162" s="47"/>
      <c r="II162" s="47"/>
      <c r="IJ162" s="47"/>
      <c r="IK162" s="47"/>
      <c r="IL162" s="47"/>
      <c r="IM162" s="47"/>
      <c r="IN162" s="47"/>
      <c r="IO162" s="47"/>
      <c r="IP162" s="47"/>
      <c r="IQ162" s="47"/>
      <c r="IR162" s="47"/>
      <c r="IS162" s="47"/>
      <c r="IT162" s="47"/>
      <c r="IU162" s="47"/>
      <c r="IV162" s="47"/>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F162" s="1"/>
      <c r="NG162" s="1"/>
      <c r="NH162" s="1"/>
      <c r="NI162" s="1"/>
      <c r="NJ162" s="1"/>
    </row>
    <row r="163" spans="1:374" ht="12.75" customHeight="1" x14ac:dyDescent="0.3">
      <c r="A163" s="59"/>
      <c r="B163" s="61"/>
      <c r="C163" s="61"/>
      <c r="D163" s="61"/>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c r="CT163" s="47"/>
      <c r="CU163" s="47"/>
      <c r="CV163" s="47"/>
      <c r="CW163" s="47"/>
      <c r="CX163" s="47"/>
      <c r="CY163" s="47"/>
      <c r="CZ163" s="47"/>
      <c r="DA163" s="47"/>
      <c r="DB163" s="47"/>
      <c r="DC163" s="47"/>
      <c r="DD163" s="47"/>
      <c r="DE163" s="47"/>
      <c r="DF163" s="47"/>
      <c r="DG163" s="47"/>
      <c r="DH163" s="47"/>
      <c r="DI163" s="47"/>
      <c r="DJ163" s="47"/>
      <c r="DK163" s="47"/>
      <c r="DL163" s="47"/>
      <c r="DM163" s="47"/>
      <c r="DN163" s="47"/>
      <c r="DO163" s="47"/>
      <c r="DP163" s="47"/>
      <c r="DQ163" s="47"/>
      <c r="DR163" s="47"/>
      <c r="DS163" s="47"/>
      <c r="DT163" s="47"/>
      <c r="DU163" s="47"/>
      <c r="DV163" s="47"/>
      <c r="DW163" s="47"/>
      <c r="DX163" s="47"/>
      <c r="DY163" s="47"/>
      <c r="DZ163" s="47"/>
      <c r="EA163" s="47"/>
      <c r="EB163" s="47"/>
      <c r="EC163" s="47"/>
      <c r="ED163" s="47"/>
      <c r="EE163" s="47"/>
      <c r="EF163" s="47"/>
      <c r="EG163" s="47"/>
      <c r="EH163" s="47"/>
      <c r="EI163" s="47"/>
      <c r="EJ163" s="47"/>
      <c r="EK163" s="47"/>
      <c r="EL163" s="47"/>
      <c r="EM163" s="47"/>
      <c r="EN163" s="47"/>
      <c r="EO163" s="47"/>
      <c r="EP163" s="47"/>
      <c r="EQ163" s="47"/>
      <c r="ER163" s="47"/>
      <c r="ES163" s="47"/>
      <c r="ET163" s="47"/>
      <c r="EU163" s="47"/>
      <c r="EV163" s="47"/>
      <c r="EW163" s="47"/>
      <c r="EX163" s="47"/>
      <c r="EY163" s="47"/>
      <c r="EZ163" s="47"/>
      <c r="FA163" s="47"/>
      <c r="FB163" s="47"/>
      <c r="FC163" s="47"/>
      <c r="FD163" s="47"/>
      <c r="FE163" s="47"/>
      <c r="FF163" s="47"/>
      <c r="FG163" s="47"/>
      <c r="FH163" s="47"/>
      <c r="FI163" s="47"/>
      <c r="FJ163" s="47"/>
      <c r="FK163" s="47"/>
      <c r="FL163" s="47"/>
      <c r="FM163" s="47"/>
      <c r="FN163" s="47"/>
      <c r="FO163" s="47"/>
      <c r="FP163" s="47"/>
      <c r="FQ163" s="47"/>
      <c r="FR163" s="47"/>
      <c r="FS163" s="47"/>
      <c r="FT163" s="47"/>
      <c r="FU163" s="47"/>
      <c r="FV163" s="47"/>
      <c r="FW163" s="47"/>
      <c r="FX163" s="47"/>
      <c r="FY163" s="47"/>
      <c r="FZ163" s="47"/>
      <c r="GA163" s="47"/>
      <c r="GB163" s="47"/>
      <c r="GC163" s="47"/>
      <c r="GD163" s="47"/>
      <c r="GE163" s="47"/>
      <c r="GF163" s="47"/>
      <c r="GG163" s="47"/>
      <c r="GH163" s="47"/>
      <c r="GI163" s="47"/>
      <c r="GJ163" s="47"/>
      <c r="GK163" s="47"/>
      <c r="GL163" s="47"/>
      <c r="GM163" s="47"/>
      <c r="GN163" s="47"/>
      <c r="GO163" s="47"/>
      <c r="GP163" s="47"/>
      <c r="GQ163" s="47"/>
      <c r="GR163" s="47"/>
      <c r="GS163" s="47"/>
      <c r="GT163" s="47"/>
      <c r="GU163" s="47"/>
      <c r="GV163" s="47"/>
      <c r="GW163" s="47"/>
      <c r="GX163" s="47"/>
      <c r="GY163" s="47"/>
      <c r="GZ163" s="47"/>
      <c r="HA163" s="47"/>
      <c r="HB163" s="47"/>
      <c r="HC163" s="47"/>
      <c r="HD163" s="47"/>
      <c r="HE163" s="47"/>
      <c r="HF163" s="47"/>
      <c r="HG163" s="47"/>
      <c r="HH163" s="47"/>
      <c r="HI163" s="47"/>
      <c r="HJ163" s="47"/>
      <c r="HK163" s="47"/>
      <c r="HL163" s="47"/>
      <c r="HM163" s="47"/>
      <c r="HN163" s="47"/>
      <c r="HO163" s="47"/>
      <c r="HP163" s="47"/>
      <c r="HQ163" s="47"/>
      <c r="HR163" s="47"/>
      <c r="HS163" s="47"/>
      <c r="HT163" s="47"/>
      <c r="HU163" s="47"/>
      <c r="HV163" s="47"/>
      <c r="HW163" s="47"/>
      <c r="HX163" s="47"/>
      <c r="HY163" s="47"/>
      <c r="HZ163" s="47"/>
      <c r="IA163" s="47"/>
      <c r="IB163" s="47"/>
      <c r="IC163" s="47"/>
      <c r="ID163" s="47"/>
      <c r="IE163" s="47"/>
      <c r="IF163" s="47"/>
      <c r="IG163" s="47"/>
      <c r="IH163" s="47"/>
      <c r="II163" s="47"/>
      <c r="IJ163" s="47"/>
      <c r="IK163" s="47"/>
      <c r="IL163" s="47"/>
      <c r="IM163" s="47"/>
      <c r="IN163" s="47"/>
      <c r="IO163" s="47"/>
      <c r="IP163" s="47"/>
      <c r="IQ163" s="47"/>
      <c r="IR163" s="47"/>
      <c r="IS163" s="47"/>
      <c r="IT163" s="47"/>
      <c r="IU163" s="47"/>
      <c r="IV163" s="47"/>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F163" s="1"/>
      <c r="NG163" s="1"/>
      <c r="NH163" s="1"/>
      <c r="NI163" s="1"/>
      <c r="NJ163" s="1"/>
    </row>
    <row r="164" spans="1:374" ht="12.75" customHeight="1" x14ac:dyDescent="0.3">
      <c r="A164" s="59"/>
      <c r="B164" s="61"/>
      <c r="C164" s="61"/>
      <c r="D164" s="61"/>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c r="CT164" s="47"/>
      <c r="CU164" s="47"/>
      <c r="CV164" s="47"/>
      <c r="CW164" s="47"/>
      <c r="CX164" s="47"/>
      <c r="CY164" s="47"/>
      <c r="CZ164" s="47"/>
      <c r="DA164" s="47"/>
      <c r="DB164" s="47"/>
      <c r="DC164" s="47"/>
      <c r="DD164" s="47"/>
      <c r="DE164" s="47"/>
      <c r="DF164" s="47"/>
      <c r="DG164" s="47"/>
      <c r="DH164" s="47"/>
      <c r="DI164" s="47"/>
      <c r="DJ164" s="47"/>
      <c r="DK164" s="47"/>
      <c r="DL164" s="47"/>
      <c r="DM164" s="47"/>
      <c r="DN164" s="47"/>
      <c r="DO164" s="47"/>
      <c r="DP164" s="47"/>
      <c r="DQ164" s="47"/>
      <c r="DR164" s="47"/>
      <c r="DS164" s="47"/>
      <c r="DT164" s="47"/>
      <c r="DU164" s="47"/>
      <c r="DV164" s="47"/>
      <c r="DW164" s="47"/>
      <c r="DX164" s="47"/>
      <c r="DY164" s="47"/>
      <c r="DZ164" s="47"/>
      <c r="EA164" s="47"/>
      <c r="EB164" s="47"/>
      <c r="EC164" s="47"/>
      <c r="ED164" s="47"/>
      <c r="EE164" s="47"/>
      <c r="EF164" s="47"/>
      <c r="EG164" s="47"/>
      <c r="EH164" s="47"/>
      <c r="EI164" s="47"/>
      <c r="EJ164" s="47"/>
      <c r="EK164" s="47"/>
      <c r="EL164" s="47"/>
      <c r="EM164" s="47"/>
      <c r="EN164" s="47"/>
      <c r="EO164" s="47"/>
      <c r="EP164" s="47"/>
      <c r="EQ164" s="47"/>
      <c r="ER164" s="47"/>
      <c r="ES164" s="47"/>
      <c r="ET164" s="47"/>
      <c r="EU164" s="47"/>
      <c r="EV164" s="47"/>
      <c r="EW164" s="47"/>
      <c r="EX164" s="47"/>
      <c r="EY164" s="47"/>
      <c r="EZ164" s="47"/>
      <c r="FA164" s="47"/>
      <c r="FB164" s="47"/>
      <c r="FC164" s="47"/>
      <c r="FD164" s="47"/>
      <c r="FE164" s="47"/>
      <c r="FF164" s="47"/>
      <c r="FG164" s="47"/>
      <c r="FH164" s="47"/>
      <c r="FI164" s="47"/>
      <c r="FJ164" s="47"/>
      <c r="FK164" s="47"/>
      <c r="FL164" s="47"/>
      <c r="FM164" s="47"/>
      <c r="FN164" s="47"/>
      <c r="FO164" s="47"/>
      <c r="FP164" s="47"/>
      <c r="FQ164" s="47"/>
      <c r="FR164" s="47"/>
      <c r="FS164" s="47"/>
      <c r="FT164" s="47"/>
      <c r="FU164" s="47"/>
      <c r="FV164" s="47"/>
      <c r="FW164" s="47"/>
      <c r="FX164" s="47"/>
      <c r="FY164" s="47"/>
      <c r="FZ164" s="47"/>
      <c r="GA164" s="47"/>
      <c r="GB164" s="47"/>
      <c r="GC164" s="47"/>
      <c r="GD164" s="47"/>
      <c r="GE164" s="47"/>
      <c r="GF164" s="47"/>
      <c r="GG164" s="47"/>
      <c r="GH164" s="47"/>
      <c r="GI164" s="47"/>
      <c r="GJ164" s="47"/>
      <c r="GK164" s="47"/>
      <c r="GL164" s="47"/>
      <c r="GM164" s="47"/>
      <c r="GN164" s="47"/>
      <c r="GO164" s="47"/>
      <c r="GP164" s="47"/>
      <c r="GQ164" s="47"/>
      <c r="GR164" s="47"/>
      <c r="GS164" s="47"/>
      <c r="GT164" s="47"/>
      <c r="GU164" s="47"/>
      <c r="GV164" s="47"/>
      <c r="GW164" s="47"/>
      <c r="GX164" s="47"/>
      <c r="GY164" s="47"/>
      <c r="GZ164" s="47"/>
      <c r="HA164" s="47"/>
      <c r="HB164" s="47"/>
      <c r="HC164" s="47"/>
      <c r="HD164" s="47"/>
      <c r="HE164" s="47"/>
      <c r="HF164" s="47"/>
      <c r="HG164" s="47"/>
      <c r="HH164" s="47"/>
      <c r="HI164" s="47"/>
      <c r="HJ164" s="47"/>
      <c r="HK164" s="47"/>
      <c r="HL164" s="47"/>
      <c r="HM164" s="47"/>
      <c r="HN164" s="47"/>
      <c r="HO164" s="47"/>
      <c r="HP164" s="47"/>
      <c r="HQ164" s="47"/>
      <c r="HR164" s="47"/>
      <c r="HS164" s="47"/>
      <c r="HT164" s="47"/>
      <c r="HU164" s="47"/>
      <c r="HV164" s="47"/>
      <c r="HW164" s="47"/>
      <c r="HX164" s="47"/>
      <c r="HY164" s="47"/>
      <c r="HZ164" s="47"/>
      <c r="IA164" s="47"/>
      <c r="IB164" s="47"/>
      <c r="IC164" s="47"/>
      <c r="ID164" s="47"/>
      <c r="IE164" s="47"/>
      <c r="IF164" s="47"/>
      <c r="IG164" s="47"/>
      <c r="IH164" s="47"/>
      <c r="II164" s="47"/>
      <c r="IJ164" s="47"/>
      <c r="IK164" s="47"/>
      <c r="IL164" s="47"/>
      <c r="IM164" s="47"/>
      <c r="IN164" s="47"/>
      <c r="IO164" s="47"/>
      <c r="IP164" s="47"/>
      <c r="IQ164" s="47"/>
      <c r="IR164" s="47"/>
      <c r="IS164" s="47"/>
      <c r="IT164" s="47"/>
      <c r="IU164" s="47"/>
      <c r="IV164" s="47"/>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F164" s="1"/>
      <c r="NG164" s="1"/>
      <c r="NH164" s="1"/>
      <c r="NI164" s="1"/>
      <c r="NJ164" s="1"/>
    </row>
    <row r="165" spans="1:374" ht="12.75" customHeight="1" x14ac:dyDescent="0.3">
      <c r="A165" s="59"/>
      <c r="B165" s="61"/>
      <c r="C165" s="61"/>
      <c r="D165" s="61"/>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c r="CT165" s="47"/>
      <c r="CU165" s="47"/>
      <c r="CV165" s="47"/>
      <c r="CW165" s="47"/>
      <c r="CX165" s="47"/>
      <c r="CY165" s="47"/>
      <c r="CZ165" s="47"/>
      <c r="DA165" s="47"/>
      <c r="DB165" s="47"/>
      <c r="DC165" s="47"/>
      <c r="DD165" s="47"/>
      <c r="DE165" s="47"/>
      <c r="DF165" s="47"/>
      <c r="DG165" s="47"/>
      <c r="DH165" s="47"/>
      <c r="DI165" s="47"/>
      <c r="DJ165" s="47"/>
      <c r="DK165" s="47"/>
      <c r="DL165" s="47"/>
      <c r="DM165" s="47"/>
      <c r="DN165" s="47"/>
      <c r="DO165" s="47"/>
      <c r="DP165" s="47"/>
      <c r="DQ165" s="47"/>
      <c r="DR165" s="47"/>
      <c r="DS165" s="47"/>
      <c r="DT165" s="47"/>
      <c r="DU165" s="47"/>
      <c r="DV165" s="47"/>
      <c r="DW165" s="47"/>
      <c r="DX165" s="47"/>
      <c r="DY165" s="47"/>
      <c r="DZ165" s="47"/>
      <c r="EA165" s="47"/>
      <c r="EB165" s="47"/>
      <c r="EC165" s="47"/>
      <c r="ED165" s="47"/>
      <c r="EE165" s="47"/>
      <c r="EF165" s="47"/>
      <c r="EG165" s="47"/>
      <c r="EH165" s="47"/>
      <c r="EI165" s="47"/>
      <c r="EJ165" s="47"/>
      <c r="EK165" s="47"/>
      <c r="EL165" s="47"/>
      <c r="EM165" s="47"/>
      <c r="EN165" s="47"/>
      <c r="EO165" s="47"/>
      <c r="EP165" s="47"/>
      <c r="EQ165" s="47"/>
      <c r="ER165" s="47"/>
      <c r="ES165" s="47"/>
      <c r="ET165" s="47"/>
      <c r="EU165" s="47"/>
      <c r="EV165" s="47"/>
      <c r="EW165" s="47"/>
      <c r="EX165" s="47"/>
      <c r="EY165" s="47"/>
      <c r="EZ165" s="47"/>
      <c r="FA165" s="47"/>
      <c r="FB165" s="47"/>
      <c r="FC165" s="47"/>
      <c r="FD165" s="47"/>
      <c r="FE165" s="47"/>
      <c r="FF165" s="47"/>
      <c r="FG165" s="47"/>
      <c r="FH165" s="47"/>
      <c r="FI165" s="47"/>
      <c r="FJ165" s="47"/>
      <c r="FK165" s="47"/>
      <c r="FL165" s="47"/>
      <c r="FM165" s="47"/>
      <c r="FN165" s="47"/>
      <c r="FO165" s="47"/>
      <c r="FP165" s="47"/>
      <c r="FQ165" s="47"/>
      <c r="FR165" s="47"/>
      <c r="FS165" s="47"/>
      <c r="FT165" s="47"/>
      <c r="FU165" s="47"/>
      <c r="FV165" s="47"/>
      <c r="FW165" s="47"/>
      <c r="FX165" s="47"/>
      <c r="FY165" s="47"/>
      <c r="FZ165" s="47"/>
      <c r="GA165" s="47"/>
      <c r="GB165" s="47"/>
      <c r="GC165" s="47"/>
      <c r="GD165" s="47"/>
      <c r="GE165" s="47"/>
      <c r="GF165" s="47"/>
      <c r="GG165" s="47"/>
      <c r="GH165" s="47"/>
      <c r="GI165" s="47"/>
      <c r="GJ165" s="47"/>
      <c r="GK165" s="47"/>
      <c r="GL165" s="47"/>
      <c r="GM165" s="47"/>
      <c r="GN165" s="47"/>
      <c r="GO165" s="47"/>
      <c r="GP165" s="47"/>
      <c r="GQ165" s="47"/>
      <c r="GR165" s="47"/>
      <c r="GS165" s="47"/>
      <c r="GT165" s="47"/>
      <c r="GU165" s="47"/>
      <c r="GV165" s="47"/>
      <c r="GW165" s="47"/>
      <c r="GX165" s="47"/>
      <c r="GY165" s="47"/>
      <c r="GZ165" s="47"/>
      <c r="HA165" s="47"/>
      <c r="HB165" s="47"/>
      <c r="HC165" s="47"/>
      <c r="HD165" s="47"/>
      <c r="HE165" s="47"/>
      <c r="HF165" s="47"/>
      <c r="HG165" s="47"/>
      <c r="HH165" s="47"/>
      <c r="HI165" s="47"/>
      <c r="HJ165" s="47"/>
      <c r="HK165" s="47"/>
      <c r="HL165" s="47"/>
      <c r="HM165" s="47"/>
      <c r="HN165" s="47"/>
      <c r="HO165" s="47"/>
      <c r="HP165" s="47"/>
      <c r="HQ165" s="47"/>
      <c r="HR165" s="47"/>
      <c r="HS165" s="47"/>
      <c r="HT165" s="47"/>
      <c r="HU165" s="47"/>
      <c r="HV165" s="47"/>
      <c r="HW165" s="47"/>
      <c r="HX165" s="47"/>
      <c r="HY165" s="47"/>
      <c r="HZ165" s="47"/>
      <c r="IA165" s="47"/>
      <c r="IB165" s="47"/>
      <c r="IC165" s="47"/>
      <c r="ID165" s="47"/>
      <c r="IE165" s="47"/>
      <c r="IF165" s="47"/>
      <c r="IG165" s="47"/>
      <c r="IH165" s="47"/>
      <c r="II165" s="47"/>
      <c r="IJ165" s="47"/>
      <c r="IK165" s="47"/>
      <c r="IL165" s="47"/>
      <c r="IM165" s="47"/>
      <c r="IN165" s="47"/>
      <c r="IO165" s="47"/>
      <c r="IP165" s="47"/>
      <c r="IQ165" s="47"/>
      <c r="IR165" s="47"/>
      <c r="IS165" s="47"/>
      <c r="IT165" s="47"/>
      <c r="IU165" s="47"/>
      <c r="IV165" s="47"/>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F165" s="1"/>
      <c r="NG165" s="1"/>
      <c r="NH165" s="1"/>
      <c r="NI165" s="1"/>
      <c r="NJ165" s="1"/>
    </row>
    <row r="166" spans="1:374" ht="15" customHeight="1" x14ac:dyDescent="0.3">
      <c r="A166" s="59"/>
      <c r="B166" s="59"/>
      <c r="C166" s="59"/>
      <c r="D166" s="59"/>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F166" s="1"/>
      <c r="NG166" s="1"/>
      <c r="NH166" s="1"/>
      <c r="NI166" s="1"/>
      <c r="NJ166" s="1"/>
    </row>
  </sheetData>
  <mergeCells count="1">
    <mergeCell ref="A1:B1"/>
  </mergeCells>
  <dataValidations count="4">
    <dataValidation type="list" allowBlank="1" showInputMessage="1" showErrorMessage="1" prompt="Enter the % you wish to put in downpayment" sqref="B5" xr:uid="{9D1BA96F-BC91-45CF-B2AC-467B93CBDDA1}">
      <formula1>"5%,10%,15%,20%,25%,30%,35%,40%,45%,50%"</formula1>
    </dataValidation>
    <dataValidation type="list" allowBlank="1" showInputMessage="1" showErrorMessage="1" prompt="Enter your Interest Rate" sqref="B7" xr:uid="{53A699C6-EE9F-4993-838F-8B513D9F087E}">
      <formula1>$NH$3:$NH$127</formula1>
    </dataValidation>
    <dataValidation type="list" allowBlank="1" showInputMessage="1" showErrorMessage="1" prompt="Select your Zip Code" sqref="B3" xr:uid="{E2EE1A42-DE9B-430A-85DB-651F0B0E12AF}">
      <formula1>$NI$3:$NI$127</formula1>
    </dataValidation>
    <dataValidation type="list" allowBlank="1" showErrorMessage="1" sqref="MW5 MW7" xr:uid="{C04BE2EE-D101-436B-A13B-1AE61F4A7C95}">
      <formula1>$NI$3:$NI$7</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BuyingScenario">
                <anchor moveWithCells="1" sizeWithCells="1">
                  <from>
                    <xdr:col>2</xdr:col>
                    <xdr:colOff>495300</xdr:colOff>
                    <xdr:row>5</xdr:row>
                    <xdr:rowOff>76200</xdr:rowOff>
                  </from>
                  <to>
                    <xdr:col>4</xdr:col>
                    <xdr:colOff>350520</xdr:colOff>
                    <xdr:row>7</xdr:row>
                    <xdr:rowOff>114300</xdr:rowOff>
                  </to>
                </anchor>
              </controlPr>
            </control>
          </mc:Choice>
        </mc:AlternateContent>
        <mc:AlternateContent xmlns:mc="http://schemas.openxmlformats.org/markup-compatibility/2006">
          <mc:Choice Requires="x14">
            <control shapeId="1026" r:id="rId5" name="Button 2">
              <controlPr defaultSize="0" autoFill="0" autoPict="0" macro="[0]!ClearContents">
                <anchor moveWithCells="1" sizeWithCells="1">
                  <from>
                    <xdr:col>3</xdr:col>
                    <xdr:colOff>495300</xdr:colOff>
                    <xdr:row>8</xdr:row>
                    <xdr:rowOff>83820</xdr:rowOff>
                  </from>
                  <to>
                    <xdr:col>5</xdr:col>
                    <xdr:colOff>556260</xdr:colOff>
                    <xdr:row>10</xdr:row>
                    <xdr:rowOff>129540</xdr:rowOff>
                  </to>
                </anchor>
              </controlPr>
            </control>
          </mc:Choice>
        </mc:AlternateContent>
        <mc:AlternateContent xmlns:mc="http://schemas.openxmlformats.org/markup-compatibility/2006">
          <mc:Choice Requires="x14">
            <control shapeId="1028" r:id="rId6" name="Button 4">
              <controlPr defaultSize="0" autoFill="0" autoPict="0" macro="[0]!RentingScenario">
                <anchor moveWithCells="1" sizeWithCells="1">
                  <from>
                    <xdr:col>4</xdr:col>
                    <xdr:colOff>419100</xdr:colOff>
                    <xdr:row>5</xdr:row>
                    <xdr:rowOff>68580</xdr:rowOff>
                  </from>
                  <to>
                    <xdr:col>6</xdr:col>
                    <xdr:colOff>289560</xdr:colOff>
                    <xdr:row>7</xdr:row>
                    <xdr:rowOff>106680</xdr:rowOff>
                  </to>
                </anchor>
              </controlPr>
            </control>
          </mc:Choice>
        </mc:AlternateContent>
        <mc:AlternateContent xmlns:mc="http://schemas.openxmlformats.org/markup-compatibility/2006">
          <mc:Choice Requires="x14">
            <control shapeId="1033" r:id="rId7" name="Button 9">
              <controlPr defaultSize="0" autoFill="0" autoPict="0" macro="[0]!Decision_message">
                <anchor moveWithCells="1" sizeWithCells="1">
                  <from>
                    <xdr:col>3</xdr:col>
                    <xdr:colOff>106680</xdr:colOff>
                    <xdr:row>11</xdr:row>
                    <xdr:rowOff>83820</xdr:rowOff>
                  </from>
                  <to>
                    <xdr:col>6</xdr:col>
                    <xdr:colOff>205740</xdr:colOff>
                    <xdr:row>13</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9C333-C987-45AC-8E1D-DEFA69DA8BB6}">
  <sheetPr codeName="Sheet9"/>
  <dimension ref="A1:NH166"/>
  <sheetViews>
    <sheetView showGridLines="0" workbookViewId="0">
      <pane xSplit="2" topLeftCell="C1" activePane="topRight" state="frozen"/>
      <selection pane="topRight" activeCell="D18" sqref="D18"/>
    </sheetView>
  </sheetViews>
  <sheetFormatPr defaultColWidth="14.44140625" defaultRowHeight="15" customHeight="1" x14ac:dyDescent="0.3"/>
  <cols>
    <col min="1" max="1" width="56.109375" style="60" customWidth="1"/>
    <col min="2" max="2" width="13.77734375" style="60" customWidth="1"/>
    <col min="3" max="4" width="11.44140625" style="60" customWidth="1"/>
    <col min="5" max="254" width="11.44140625" customWidth="1"/>
    <col min="255" max="255" width="11.33203125" customWidth="1"/>
    <col min="256" max="256" width="13.33203125" customWidth="1"/>
    <col min="367" max="367" width="14.44140625" style="41"/>
    <col min="368" max="369" width="14.44140625" customWidth="1"/>
    <col min="370" max="372" width="14.44140625" hidden="1" customWidth="1"/>
  </cols>
  <sheetData>
    <row r="1" spans="1:372" ht="12.75" customHeight="1" x14ac:dyDescent="0.3">
      <c r="A1" s="6" t="s">
        <v>841</v>
      </c>
      <c r="B1" s="7"/>
      <c r="C1" s="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D1" s="1"/>
      <c r="NE1" s="1"/>
      <c r="NF1" s="4" t="s">
        <v>842</v>
      </c>
      <c r="NG1" s="4" t="s">
        <v>843</v>
      </c>
      <c r="NH1" s="4" t="s">
        <v>844</v>
      </c>
    </row>
    <row r="2" spans="1:372" ht="12.75" customHeight="1" thickBot="1" x14ac:dyDescent="0.35">
      <c r="A2" s="9"/>
      <c r="B2" s="10"/>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D2" s="1"/>
      <c r="NE2" s="1"/>
      <c r="NF2" s="1"/>
      <c r="NG2" s="1"/>
      <c r="NH2" s="1"/>
    </row>
    <row r="3" spans="1:372" ht="12.75" customHeight="1" x14ac:dyDescent="0.3">
      <c r="A3" s="11" t="s">
        <v>845</v>
      </c>
      <c r="B3" s="12">
        <v>48377</v>
      </c>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D3" s="1"/>
      <c r="NE3" s="1"/>
      <c r="NF3" s="13">
        <v>0.01</v>
      </c>
      <c r="NG3" s="1">
        <f>Combine!A5</f>
        <v>48197</v>
      </c>
      <c r="NH3" s="14">
        <f>Combine!F5</f>
        <v>308132.28440966102</v>
      </c>
    </row>
    <row r="4" spans="1:372" ht="12.75" customHeight="1" x14ac:dyDescent="0.3">
      <c r="A4" s="15" t="s">
        <v>846</v>
      </c>
      <c r="B4" s="16">
        <v>255236</v>
      </c>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D4" s="1"/>
      <c r="NE4" s="1"/>
      <c r="NF4" s="13">
        <v>1.4999999999999999E-2</v>
      </c>
      <c r="NG4" s="1">
        <f>Combine!A6</f>
        <v>48180</v>
      </c>
      <c r="NH4" s="14">
        <f>Combine!F6</f>
        <v>144456.84932324101</v>
      </c>
    </row>
    <row r="5" spans="1:372" ht="12.75" customHeight="1" x14ac:dyDescent="0.3">
      <c r="A5" s="15" t="s">
        <v>847</v>
      </c>
      <c r="B5" s="17">
        <v>0.2</v>
      </c>
      <c r="C5"/>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c r="HC5" s="1"/>
      <c r="HD5" s="1"/>
      <c r="HE5" s="1"/>
      <c r="HF5" s="1"/>
      <c r="HG5" s="1"/>
      <c r="HH5" s="1"/>
      <c r="HI5" s="1"/>
      <c r="HJ5" s="1"/>
      <c r="HK5" s="1"/>
      <c r="HL5" s="1"/>
      <c r="HM5" s="1"/>
      <c r="HN5" s="1"/>
      <c r="HO5" s="1"/>
      <c r="HP5" s="1"/>
      <c r="HQ5" s="1"/>
      <c r="HR5" s="1"/>
      <c r="HS5" s="1"/>
      <c r="HT5" s="1"/>
      <c r="HU5" s="1"/>
      <c r="HV5" s="1"/>
      <c r="HW5" s="1"/>
      <c r="HX5" s="1"/>
      <c r="HY5" s="1"/>
      <c r="HZ5" s="1"/>
      <c r="IA5" s="1"/>
      <c r="IB5" s="1"/>
      <c r="IC5" s="1"/>
      <c r="ID5" s="1"/>
      <c r="IE5" s="1"/>
      <c r="IF5" s="1"/>
      <c r="IG5" s="1"/>
      <c r="IH5" s="1"/>
      <c r="II5" s="1"/>
      <c r="IJ5" s="1"/>
      <c r="IK5" s="1"/>
      <c r="IL5" s="1"/>
      <c r="IM5" s="1"/>
      <c r="IN5" s="1"/>
      <c r="IO5" s="1"/>
      <c r="IP5" s="1"/>
      <c r="IQ5" s="1"/>
      <c r="IR5" s="1"/>
      <c r="IS5" s="1"/>
      <c r="IT5" s="1"/>
      <c r="IU5" s="1"/>
      <c r="IV5" s="1"/>
      <c r="IW5" s="1"/>
      <c r="IX5" s="1"/>
      <c r="IY5" s="1"/>
      <c r="IZ5" s="1"/>
      <c r="JA5" s="1"/>
      <c r="JB5" s="1"/>
      <c r="JC5" s="1"/>
      <c r="JD5" s="1"/>
      <c r="JE5" s="1"/>
      <c r="JF5" s="1"/>
      <c r="JG5" s="1"/>
      <c r="JH5" s="1"/>
      <c r="JI5" s="1"/>
      <c r="JJ5" s="1"/>
      <c r="JK5" s="1"/>
      <c r="JL5" s="1"/>
      <c r="JM5" s="1"/>
      <c r="JN5" s="1"/>
      <c r="JO5" s="1"/>
      <c r="JP5" s="1"/>
      <c r="JQ5" s="1"/>
      <c r="JR5" s="1"/>
      <c r="JS5" s="1"/>
      <c r="JT5" s="1"/>
      <c r="JU5" s="1"/>
      <c r="JV5" s="1"/>
      <c r="JW5" s="1"/>
      <c r="JX5" s="1"/>
      <c r="JY5" s="1"/>
      <c r="JZ5" s="1"/>
      <c r="KA5" s="1"/>
      <c r="KB5" s="1"/>
      <c r="KC5" s="1"/>
      <c r="KD5" s="1"/>
      <c r="KE5" s="1"/>
      <c r="KF5" s="1"/>
      <c r="KG5" s="1"/>
      <c r="KH5" s="1"/>
      <c r="KI5" s="1"/>
      <c r="KJ5" s="1"/>
      <c r="KK5" s="1"/>
      <c r="KL5" s="1"/>
      <c r="KM5" s="1"/>
      <c r="KN5" s="1"/>
      <c r="KO5" s="1"/>
      <c r="KP5" s="1"/>
      <c r="KQ5" s="1"/>
      <c r="KR5" s="1"/>
      <c r="KS5" s="1"/>
      <c r="KT5" s="1"/>
      <c r="KU5" s="1"/>
      <c r="KV5" s="1"/>
      <c r="KW5" s="1"/>
      <c r="KX5" s="1"/>
      <c r="KY5" s="1"/>
      <c r="KZ5" s="1"/>
      <c r="LA5" s="1"/>
      <c r="LB5" s="1"/>
      <c r="LC5" s="1"/>
      <c r="LD5" s="1"/>
      <c r="LE5" s="1"/>
      <c r="LF5" s="1"/>
      <c r="LG5" s="1"/>
      <c r="LH5" s="1"/>
      <c r="LI5" s="1"/>
      <c r="LJ5" s="1"/>
      <c r="LK5" s="1"/>
      <c r="LL5" s="1"/>
      <c r="LM5" s="1"/>
      <c r="LN5" s="1"/>
      <c r="LO5" s="1"/>
      <c r="LP5" s="1"/>
      <c r="LQ5" s="1"/>
      <c r="LR5" s="1"/>
      <c r="LS5" s="1"/>
      <c r="LT5" s="1"/>
      <c r="LU5" s="1"/>
      <c r="LV5" s="1"/>
      <c r="LW5" s="1"/>
      <c r="LX5" s="1"/>
      <c r="LY5" s="1"/>
      <c r="LZ5" s="1"/>
      <c r="MA5" s="1"/>
      <c r="MB5" s="1"/>
      <c r="MC5" s="1"/>
      <c r="MD5" s="1"/>
      <c r="ME5" s="1"/>
      <c r="MF5" s="1"/>
      <c r="MG5" s="1"/>
      <c r="MH5" s="1"/>
      <c r="MI5" s="1"/>
      <c r="MJ5" s="1"/>
      <c r="MK5" s="1"/>
      <c r="ML5" s="1"/>
      <c r="MM5" s="1"/>
      <c r="MN5" s="1"/>
      <c r="MO5" s="1"/>
      <c r="MP5" s="1"/>
      <c r="MQ5" s="1"/>
      <c r="MR5" s="1"/>
      <c r="MS5" s="1"/>
      <c r="MT5" s="1"/>
      <c r="MU5" s="1"/>
      <c r="MV5" s="1"/>
      <c r="MW5" s="1"/>
      <c r="MX5" s="1"/>
      <c r="MY5" s="1"/>
      <c r="MZ5" s="1"/>
      <c r="NA5" s="1"/>
      <c r="NB5" s="1"/>
      <c r="ND5" s="1"/>
      <c r="NE5" s="1"/>
      <c r="NF5" s="13">
        <v>0.02</v>
      </c>
      <c r="NG5" s="1">
        <f>Combine!A7</f>
        <v>48228</v>
      </c>
      <c r="NH5" s="14">
        <f>Combine!F7</f>
        <v>51911.909004460802</v>
      </c>
    </row>
    <row r="6" spans="1:372" ht="12.75" customHeight="1" x14ac:dyDescent="0.3">
      <c r="A6" s="15" t="s">
        <v>848</v>
      </c>
      <c r="B6" s="16">
        <f>B5*B4</f>
        <v>51047.200000000004</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c r="GJ6" s="1"/>
      <c r="GK6" s="1"/>
      <c r="GL6" s="1"/>
      <c r="GM6" s="1"/>
      <c r="GN6" s="1"/>
      <c r="GO6" s="1"/>
      <c r="GP6" s="1"/>
      <c r="GQ6" s="1"/>
      <c r="GR6" s="1"/>
      <c r="GS6" s="1"/>
      <c r="GT6" s="1"/>
      <c r="GU6" s="1"/>
      <c r="GV6" s="1"/>
      <c r="GW6" s="1"/>
      <c r="GX6" s="1"/>
      <c r="GY6" s="1"/>
      <c r="GZ6" s="1"/>
      <c r="HA6" s="1"/>
      <c r="HB6" s="1"/>
      <c r="HC6" s="1"/>
      <c r="HD6" s="1"/>
      <c r="HE6" s="1"/>
      <c r="HF6" s="1"/>
      <c r="HG6" s="1"/>
      <c r="HH6" s="1"/>
      <c r="HI6" s="1"/>
      <c r="HJ6" s="1"/>
      <c r="HK6" s="1"/>
      <c r="HL6" s="1"/>
      <c r="HM6" s="1"/>
      <c r="HN6" s="1"/>
      <c r="HO6" s="1"/>
      <c r="HP6" s="1"/>
      <c r="HQ6" s="1"/>
      <c r="HR6" s="1"/>
      <c r="HS6" s="1"/>
      <c r="HT6" s="1"/>
      <c r="HU6" s="1"/>
      <c r="HV6" s="1"/>
      <c r="HW6" s="1"/>
      <c r="HX6" s="1"/>
      <c r="HY6" s="1"/>
      <c r="HZ6" s="1"/>
      <c r="IA6" s="1"/>
      <c r="IB6" s="1"/>
      <c r="IC6" s="1"/>
      <c r="ID6" s="1"/>
      <c r="IE6" s="1"/>
      <c r="IF6" s="1"/>
      <c r="IG6" s="1"/>
      <c r="IH6" s="1"/>
      <c r="II6" s="1"/>
      <c r="IJ6" s="1"/>
      <c r="IK6" s="1"/>
      <c r="IL6" s="1"/>
      <c r="IM6" s="1"/>
      <c r="IN6" s="1"/>
      <c r="IO6" s="1"/>
      <c r="IP6" s="1"/>
      <c r="IQ6" s="1"/>
      <c r="IR6" s="1"/>
      <c r="IS6" s="1"/>
      <c r="IT6" s="1"/>
      <c r="IU6" s="1"/>
      <c r="IV6" s="1"/>
      <c r="IW6" s="1"/>
      <c r="IX6" s="1"/>
      <c r="IY6" s="1"/>
      <c r="IZ6" s="1"/>
      <c r="JA6" s="1"/>
      <c r="JB6" s="1"/>
      <c r="JC6" s="1"/>
      <c r="JD6" s="1"/>
      <c r="JE6" s="1"/>
      <c r="JF6" s="1"/>
      <c r="JG6" s="1"/>
      <c r="JH6" s="1"/>
      <c r="JI6" s="1"/>
      <c r="JJ6" s="1"/>
      <c r="JK6" s="1"/>
      <c r="JL6" s="1"/>
      <c r="JM6" s="1"/>
      <c r="JN6" s="1"/>
      <c r="JO6" s="1"/>
      <c r="JP6" s="1"/>
      <c r="JQ6" s="1"/>
      <c r="JR6" s="1"/>
      <c r="JS6" s="1"/>
      <c r="JT6" s="1"/>
      <c r="JU6" s="1"/>
      <c r="JV6" s="1"/>
      <c r="JW6" s="1"/>
      <c r="JX6" s="1"/>
      <c r="JY6" s="1"/>
      <c r="JZ6" s="1"/>
      <c r="KA6" s="1"/>
      <c r="KB6" s="1"/>
      <c r="KC6" s="1"/>
      <c r="KD6" s="1"/>
      <c r="KE6" s="1"/>
      <c r="KF6" s="1"/>
      <c r="KG6" s="1"/>
      <c r="KH6" s="1"/>
      <c r="KI6" s="1"/>
      <c r="KJ6" s="1"/>
      <c r="KK6" s="1"/>
      <c r="KL6" s="1"/>
      <c r="KM6" s="1"/>
      <c r="KN6" s="1"/>
      <c r="KO6" s="1"/>
      <c r="KP6" s="1"/>
      <c r="KQ6" s="1"/>
      <c r="KR6" s="1"/>
      <c r="KS6" s="1"/>
      <c r="KT6" s="1"/>
      <c r="KU6" s="1"/>
      <c r="KV6" s="1"/>
      <c r="KW6" s="1"/>
      <c r="KX6" s="1"/>
      <c r="KY6" s="1"/>
      <c r="KZ6" s="1"/>
      <c r="LA6" s="1"/>
      <c r="LB6" s="1"/>
      <c r="LC6" s="1"/>
      <c r="LD6" s="1"/>
      <c r="LE6" s="1"/>
      <c r="LF6" s="1"/>
      <c r="LG6" s="1"/>
      <c r="LH6" s="1"/>
      <c r="LI6" s="1"/>
      <c r="LJ6" s="1"/>
      <c r="LK6" s="1"/>
      <c r="LL6" s="1"/>
      <c r="LM6" s="1"/>
      <c r="LN6" s="1"/>
      <c r="LO6" s="1"/>
      <c r="LP6" s="1"/>
      <c r="LQ6" s="1"/>
      <c r="LR6" s="1"/>
      <c r="LS6" s="1"/>
      <c r="LT6" s="1"/>
      <c r="LU6" s="1"/>
      <c r="LV6" s="1"/>
      <c r="LW6" s="1"/>
      <c r="LX6" s="1"/>
      <c r="LY6" s="1"/>
      <c r="LZ6" s="1"/>
      <c r="MA6" s="1"/>
      <c r="MB6" s="1"/>
      <c r="MC6" s="1"/>
      <c r="MD6" s="1"/>
      <c r="ME6" s="1"/>
      <c r="MF6" s="1"/>
      <c r="MG6" s="1"/>
      <c r="MH6" s="1"/>
      <c r="MI6" s="1"/>
      <c r="MJ6" s="1"/>
      <c r="MK6" s="1"/>
      <c r="ML6" s="1"/>
      <c r="MM6" s="1"/>
      <c r="MN6" s="1"/>
      <c r="MO6" s="1"/>
      <c r="MP6" s="1"/>
      <c r="MQ6" s="1"/>
      <c r="MR6" s="1"/>
      <c r="MS6" s="1"/>
      <c r="MT6" s="1"/>
      <c r="MU6" s="1"/>
      <c r="MV6" s="1"/>
      <c r="MW6" s="1"/>
      <c r="MX6" s="1"/>
      <c r="MY6" s="1"/>
      <c r="MZ6" s="1"/>
      <c r="NA6" s="1"/>
      <c r="NB6" s="1"/>
      <c r="ND6" s="1"/>
      <c r="NE6" s="1"/>
      <c r="NF6" s="13">
        <v>2.5000000000000001E-2</v>
      </c>
      <c r="NG6" s="1">
        <f>Combine!A8</f>
        <v>48103</v>
      </c>
      <c r="NH6" s="14">
        <f>Combine!F8</f>
        <v>460840.05182310601</v>
      </c>
    </row>
    <row r="7" spans="1:372" ht="12.75" customHeight="1" x14ac:dyDescent="0.3">
      <c r="A7" s="15" t="s">
        <v>849</v>
      </c>
      <c r="B7" s="17">
        <v>0.06</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D7" s="18"/>
      <c r="NE7" s="18"/>
      <c r="NF7" s="13">
        <v>0.03</v>
      </c>
      <c r="NG7" s="1">
        <f>Combine!A9</f>
        <v>48823</v>
      </c>
      <c r="NH7" s="14">
        <f>Combine!F9</f>
        <v>273281.76622000802</v>
      </c>
    </row>
    <row r="8" spans="1:372" ht="12" customHeight="1" x14ac:dyDescent="0.3">
      <c r="A8" s="15" t="s">
        <v>850</v>
      </c>
      <c r="B8" s="19">
        <v>30</v>
      </c>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c r="NA8" s="1"/>
      <c r="NB8" s="1"/>
      <c r="ND8" s="1"/>
      <c r="NE8" s="1"/>
      <c r="NF8" s="13">
        <v>3.5000000000000003E-2</v>
      </c>
      <c r="NG8" s="1">
        <f>Combine!A10</f>
        <v>48187</v>
      </c>
      <c r="NH8" s="14">
        <f>Combine!F10</f>
        <v>349218.10313556198</v>
      </c>
    </row>
    <row r="9" spans="1:372" ht="12" customHeight="1" x14ac:dyDescent="0.3">
      <c r="A9" s="15" t="s">
        <v>851</v>
      </c>
      <c r="B9" s="20">
        <v>1.6400000000000001E-2</v>
      </c>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c r="NA9" s="1"/>
      <c r="NB9" s="1"/>
      <c r="ND9" s="1"/>
      <c r="NE9" s="1"/>
      <c r="NF9" s="13">
        <v>0.04</v>
      </c>
      <c r="NG9" s="1">
        <f>Combine!A11</f>
        <v>48126</v>
      </c>
      <c r="NH9" s="14">
        <f>Combine!F11</f>
        <v>191147.404022856</v>
      </c>
    </row>
    <row r="10" spans="1:372" ht="12" customHeight="1" x14ac:dyDescent="0.3">
      <c r="A10" s="15" t="s">
        <v>852</v>
      </c>
      <c r="B10" s="16">
        <f>1%*B4</f>
        <v>2552.36</v>
      </c>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c r="NA10" s="1"/>
      <c r="NB10" s="1"/>
      <c r="ND10" s="1"/>
      <c r="NE10" s="1"/>
      <c r="NF10" s="13">
        <v>4.4999999999999998E-2</v>
      </c>
      <c r="NG10" s="1">
        <f>Combine!A12</f>
        <v>48185</v>
      </c>
      <c r="NH10" s="14">
        <f>Combine!F12</f>
        <v>196477.55499657299</v>
      </c>
    </row>
    <row r="11" spans="1:372" ht="12" customHeight="1" x14ac:dyDescent="0.3">
      <c r="A11" s="15" t="s">
        <v>853</v>
      </c>
      <c r="B11" s="16">
        <v>1300</v>
      </c>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c r="NA11" s="1"/>
      <c r="NB11" s="1"/>
      <c r="ND11" s="1"/>
      <c r="NE11" s="1"/>
      <c r="NF11" s="13">
        <v>0.05</v>
      </c>
      <c r="NG11" s="1">
        <f>Combine!A13</f>
        <v>48219</v>
      </c>
      <c r="NH11" s="14">
        <f>Combine!F13</f>
        <v>71905.613954172994</v>
      </c>
    </row>
    <row r="12" spans="1:372" ht="12" customHeight="1" x14ac:dyDescent="0.3">
      <c r="A12" s="15" t="s">
        <v>854</v>
      </c>
      <c r="B12" s="21">
        <v>0.05</v>
      </c>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c r="NA12" s="1"/>
      <c r="NB12" s="1"/>
      <c r="ND12" s="1"/>
      <c r="NE12" s="1"/>
      <c r="NF12" s="13">
        <v>5.5E-2</v>
      </c>
      <c r="NG12" s="1">
        <f>Combine!A14</f>
        <v>48066</v>
      </c>
      <c r="NH12" s="14">
        <f>Combine!F14</f>
        <v>148884.817590716</v>
      </c>
    </row>
    <row r="13" spans="1:372" ht="12" customHeight="1" x14ac:dyDescent="0.3">
      <c r="A13" s="15" t="s">
        <v>855</v>
      </c>
      <c r="B13" s="22">
        <v>0.02</v>
      </c>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c r="NA13" s="1"/>
      <c r="NB13" s="1"/>
      <c r="ND13" s="1"/>
      <c r="NE13" s="1"/>
      <c r="NF13" s="13">
        <v>0.06</v>
      </c>
      <c r="NG13" s="1">
        <f>Combine!A15</f>
        <v>48235</v>
      </c>
      <c r="NH13" s="14">
        <f>Combine!F15</f>
        <v>74173.338537788004</v>
      </c>
    </row>
    <row r="14" spans="1:372" ht="12" customHeight="1" x14ac:dyDescent="0.3">
      <c r="A14" s="15" t="s">
        <v>856</v>
      </c>
      <c r="B14" s="22">
        <v>0.03</v>
      </c>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c r="NA14" s="1"/>
      <c r="NB14" s="1"/>
      <c r="ND14" s="1"/>
      <c r="NE14" s="1"/>
      <c r="NF14" s="13">
        <v>6.5000000000000002E-2</v>
      </c>
      <c r="NG14" s="1">
        <f>Combine!A16</f>
        <v>49424</v>
      </c>
      <c r="NH14" s="14">
        <f>Combine!F16</f>
        <v>334616.79079342401</v>
      </c>
    </row>
    <row r="15" spans="1:372" ht="12" customHeight="1" x14ac:dyDescent="0.3">
      <c r="A15" s="15" t="s">
        <v>857</v>
      </c>
      <c r="B15" s="16">
        <f>-PMT(B7/12,B8*12,(B4-B6))</f>
        <v>1224.2150227031032</v>
      </c>
      <c r="C15" s="1"/>
      <c r="D15" s="1"/>
      <c r="E15" s="1"/>
      <c r="F15" s="1"/>
      <c r="G15" s="23"/>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c r="NA15" s="1"/>
      <c r="NB15" s="1"/>
      <c r="ND15" s="1"/>
      <c r="NE15" s="1"/>
      <c r="NF15" s="13">
        <v>7.0000000000000007E-2</v>
      </c>
      <c r="NG15" s="1">
        <f>Combine!A17</f>
        <v>48439</v>
      </c>
      <c r="NH15" s="14">
        <f>Combine!F17</f>
        <v>261882.75318748</v>
      </c>
    </row>
    <row r="16" spans="1:372" ht="14.25" customHeight="1" x14ac:dyDescent="0.3">
      <c r="A16" s="15" t="s">
        <v>858</v>
      </c>
      <c r="B16" s="16">
        <v>1312</v>
      </c>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c r="NA16" s="1"/>
      <c r="NB16" s="1"/>
      <c r="ND16" s="1"/>
      <c r="NE16" s="1"/>
      <c r="NF16" s="13">
        <v>7.4999999999999997E-2</v>
      </c>
      <c r="NG16" s="1">
        <f>Combine!A18</f>
        <v>49423</v>
      </c>
      <c r="NH16" s="14">
        <f>Combine!F18</f>
        <v>284766.01546370098</v>
      </c>
    </row>
    <row r="17" spans="1:372" ht="14.25" customHeight="1" x14ac:dyDescent="0.3">
      <c r="A17" s="15" t="s">
        <v>859</v>
      </c>
      <c r="B17" s="21">
        <v>0.05</v>
      </c>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c r="NA17" s="1"/>
      <c r="NB17" s="1"/>
      <c r="ND17" s="1"/>
      <c r="NE17" s="1"/>
      <c r="NF17" s="13">
        <v>0.08</v>
      </c>
      <c r="NG17" s="1">
        <f>Combine!A19</f>
        <v>48104</v>
      </c>
      <c r="NH17" s="14">
        <f>Combine!F19</f>
        <v>522134.80945018801</v>
      </c>
    </row>
    <row r="18" spans="1:372" ht="14.25" customHeight="1" thickBot="1" x14ac:dyDescent="0.35">
      <c r="A18" s="25" t="s">
        <v>860</v>
      </c>
      <c r="B18" s="62">
        <v>0.08</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c r="NA18" s="1"/>
      <c r="NB18" s="1"/>
      <c r="ND18" s="1"/>
      <c r="NE18" s="1"/>
      <c r="NF18" s="13">
        <v>8.5000000000000006E-2</v>
      </c>
      <c r="NG18" s="1">
        <f>Combine!A20</f>
        <v>48843</v>
      </c>
      <c r="NH18" s="14">
        <f>Combine!F20</f>
        <v>354450.29503696098</v>
      </c>
    </row>
    <row r="19" spans="1:372" ht="14.25" customHeight="1" x14ac:dyDescent="0.3">
      <c r="A19"/>
      <c r="B19" s="1"/>
      <c r="C19" s="1"/>
      <c r="D19"/>
      <c r="ND19" s="1"/>
      <c r="NE19" s="1"/>
      <c r="NF19" s="13">
        <v>0.09</v>
      </c>
      <c r="NG19" s="1">
        <f>Combine!A21</f>
        <v>48307</v>
      </c>
      <c r="NH19" s="14">
        <f>Combine!F21</f>
        <v>386799.83807291201</v>
      </c>
    </row>
    <row r="20" spans="1:372" ht="15" customHeight="1" x14ac:dyDescent="0.3">
      <c r="A20" s="26" t="s">
        <v>861</v>
      </c>
      <c r="B20" s="27"/>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c r="JY20" s="24"/>
      <c r="JZ20" s="24"/>
      <c r="KA20" s="24"/>
      <c r="KB20" s="24"/>
      <c r="KC20" s="24"/>
      <c r="KD20" s="24"/>
      <c r="KE20" s="24"/>
      <c r="KF20" s="24"/>
      <c r="KG20" s="24"/>
      <c r="KH20" s="24"/>
      <c r="KI20" s="24"/>
      <c r="KJ20" s="24"/>
      <c r="KK20" s="24"/>
      <c r="KL20" s="24"/>
      <c r="KM20" s="24"/>
      <c r="KN20" s="24"/>
      <c r="KO20" s="24"/>
      <c r="KP20" s="24"/>
      <c r="KQ20" s="24"/>
      <c r="KR20" s="24"/>
      <c r="KS20" s="24"/>
      <c r="KT20" s="24"/>
      <c r="KU20" s="24"/>
      <c r="KV20" s="24"/>
      <c r="KW20" s="24"/>
      <c r="KX20" s="24"/>
      <c r="KY20" s="24"/>
      <c r="KZ20" s="24"/>
      <c r="LA20" s="24"/>
      <c r="LB20" s="24"/>
      <c r="LC20" s="24"/>
      <c r="LD20" s="24"/>
      <c r="LE20" s="24"/>
      <c r="LF20" s="24"/>
      <c r="LG20" s="24"/>
      <c r="LH20" s="24"/>
      <c r="LI20" s="24"/>
      <c r="LJ20" s="24"/>
      <c r="LK20" s="24"/>
      <c r="LL20" s="24"/>
      <c r="LM20" s="24"/>
      <c r="LN20" s="24"/>
      <c r="LO20" s="24"/>
      <c r="LP20" s="24"/>
      <c r="LQ20" s="24"/>
      <c r="LR20" s="24"/>
      <c r="LS20" s="24"/>
      <c r="LT20" s="24"/>
      <c r="LU20" s="24"/>
      <c r="LV20" s="24"/>
      <c r="LW20" s="24"/>
      <c r="LX20" s="24"/>
      <c r="LY20" s="24"/>
      <c r="LZ20" s="24"/>
      <c r="MA20" s="24"/>
      <c r="MB20" s="24"/>
      <c r="MC20" s="24"/>
      <c r="MD20" s="24"/>
      <c r="ME20" s="24"/>
      <c r="MF20" s="24"/>
      <c r="MG20" s="24"/>
      <c r="MH20" s="24"/>
      <c r="MI20" s="24"/>
      <c r="MJ20" s="24"/>
      <c r="MK20" s="24"/>
      <c r="ML20" s="24"/>
      <c r="MM20" s="24"/>
      <c r="MN20" s="24"/>
      <c r="MO20" s="24"/>
      <c r="MP20" s="24"/>
      <c r="MQ20" s="24"/>
      <c r="MR20" s="24"/>
      <c r="MS20" s="24"/>
      <c r="MT20" s="24"/>
      <c r="MU20" s="24"/>
      <c r="MV20" s="24"/>
      <c r="MW20" s="24"/>
      <c r="MX20" s="24"/>
      <c r="MY20" s="1"/>
      <c r="MZ20" s="1"/>
      <c r="NA20" s="1"/>
      <c r="NB20" s="1"/>
      <c r="NC20" s="1"/>
      <c r="ND20" s="1"/>
      <c r="NE20" s="1"/>
      <c r="NF20" s="13">
        <v>9.5000000000000001E-2</v>
      </c>
      <c r="NG20" s="1">
        <f>Combine!A22</f>
        <v>48310</v>
      </c>
      <c r="NH20" s="14">
        <f>Combine!F22</f>
        <v>277870.76621032902</v>
      </c>
    </row>
    <row r="21" spans="1:372" ht="15.75" customHeight="1" x14ac:dyDescent="0.3">
      <c r="A21" s="28" t="s">
        <v>862</v>
      </c>
      <c r="B21" s="29">
        <v>0</v>
      </c>
      <c r="C21" s="30">
        <v>1</v>
      </c>
      <c r="D21" s="30">
        <v>2</v>
      </c>
      <c r="E21" s="30">
        <v>3</v>
      </c>
      <c r="F21" s="30">
        <v>4</v>
      </c>
      <c r="G21" s="30">
        <v>5</v>
      </c>
      <c r="H21" s="30">
        <v>6</v>
      </c>
      <c r="I21" s="30">
        <v>7</v>
      </c>
      <c r="J21" s="30">
        <v>8</v>
      </c>
      <c r="K21" s="30">
        <v>9</v>
      </c>
      <c r="L21" s="30">
        <v>10</v>
      </c>
      <c r="M21" s="30">
        <v>11</v>
      </c>
      <c r="N21" s="30">
        <v>12</v>
      </c>
      <c r="O21" s="30">
        <v>13</v>
      </c>
      <c r="P21" s="30">
        <v>14</v>
      </c>
      <c r="Q21" s="30">
        <v>15</v>
      </c>
      <c r="R21" s="30">
        <v>16</v>
      </c>
      <c r="S21" s="30">
        <v>17</v>
      </c>
      <c r="T21" s="30">
        <v>18</v>
      </c>
      <c r="U21" s="30">
        <v>19</v>
      </c>
      <c r="V21" s="30">
        <v>20</v>
      </c>
      <c r="W21" s="30">
        <v>21</v>
      </c>
      <c r="X21" s="30">
        <v>22</v>
      </c>
      <c r="Y21" s="30">
        <v>23</v>
      </c>
      <c r="Z21" s="30">
        <v>24</v>
      </c>
      <c r="AA21" s="30">
        <v>25</v>
      </c>
      <c r="AB21" s="30">
        <v>26</v>
      </c>
      <c r="AC21" s="30">
        <v>27</v>
      </c>
      <c r="AD21" s="30">
        <v>28</v>
      </c>
      <c r="AE21" s="30">
        <v>29</v>
      </c>
      <c r="AF21" s="30">
        <v>30</v>
      </c>
      <c r="AG21" s="30">
        <v>31</v>
      </c>
      <c r="AH21" s="30">
        <v>32</v>
      </c>
      <c r="AI21" s="30">
        <v>33</v>
      </c>
      <c r="AJ21" s="30">
        <v>34</v>
      </c>
      <c r="AK21" s="30">
        <v>35</v>
      </c>
      <c r="AL21" s="30">
        <v>36</v>
      </c>
      <c r="AM21" s="30">
        <v>37</v>
      </c>
      <c r="AN21" s="30">
        <v>38</v>
      </c>
      <c r="AO21" s="30">
        <v>39</v>
      </c>
      <c r="AP21" s="30">
        <v>40</v>
      </c>
      <c r="AQ21" s="30">
        <v>41</v>
      </c>
      <c r="AR21" s="30">
        <v>42</v>
      </c>
      <c r="AS21" s="30">
        <v>43</v>
      </c>
      <c r="AT21" s="30">
        <v>44</v>
      </c>
      <c r="AU21" s="30">
        <v>45</v>
      </c>
      <c r="AV21" s="30">
        <v>46</v>
      </c>
      <c r="AW21" s="30">
        <v>47</v>
      </c>
      <c r="AX21" s="30">
        <v>48</v>
      </c>
      <c r="AY21" s="30">
        <v>49</v>
      </c>
      <c r="AZ21" s="30">
        <v>50</v>
      </c>
      <c r="BA21" s="30">
        <v>51</v>
      </c>
      <c r="BB21" s="30">
        <v>52</v>
      </c>
      <c r="BC21" s="30">
        <v>53</v>
      </c>
      <c r="BD21" s="30">
        <v>54</v>
      </c>
      <c r="BE21" s="30">
        <v>55</v>
      </c>
      <c r="BF21" s="30">
        <v>56</v>
      </c>
      <c r="BG21" s="30">
        <v>57</v>
      </c>
      <c r="BH21" s="30">
        <v>58</v>
      </c>
      <c r="BI21" s="30">
        <v>59</v>
      </c>
      <c r="BJ21" s="30">
        <v>60</v>
      </c>
      <c r="BK21" s="30">
        <v>61</v>
      </c>
      <c r="BL21" s="30">
        <v>62</v>
      </c>
      <c r="BM21" s="30">
        <v>63</v>
      </c>
      <c r="BN21" s="30">
        <v>64</v>
      </c>
      <c r="BO21" s="30">
        <v>65</v>
      </c>
      <c r="BP21" s="30">
        <v>66</v>
      </c>
      <c r="BQ21" s="30">
        <v>67</v>
      </c>
      <c r="BR21" s="30">
        <v>68</v>
      </c>
      <c r="BS21" s="30">
        <v>69</v>
      </c>
      <c r="BT21" s="30">
        <v>70</v>
      </c>
      <c r="BU21" s="30">
        <v>71</v>
      </c>
      <c r="BV21" s="30">
        <v>72</v>
      </c>
      <c r="BW21" s="30">
        <v>73</v>
      </c>
      <c r="BX21" s="30">
        <v>74</v>
      </c>
      <c r="BY21" s="30">
        <v>75</v>
      </c>
      <c r="BZ21" s="30">
        <v>76</v>
      </c>
      <c r="CA21" s="30">
        <v>77</v>
      </c>
      <c r="CB21" s="30">
        <v>78</v>
      </c>
      <c r="CC21" s="30">
        <v>79</v>
      </c>
      <c r="CD21" s="30">
        <v>80</v>
      </c>
      <c r="CE21" s="30">
        <v>81</v>
      </c>
      <c r="CF21" s="30">
        <v>82</v>
      </c>
      <c r="CG21" s="30">
        <v>83</v>
      </c>
      <c r="CH21" s="30">
        <v>84</v>
      </c>
      <c r="CI21" s="30">
        <v>85</v>
      </c>
      <c r="CJ21" s="30">
        <v>86</v>
      </c>
      <c r="CK21" s="30">
        <v>87</v>
      </c>
      <c r="CL21" s="30">
        <v>88</v>
      </c>
      <c r="CM21" s="30">
        <v>89</v>
      </c>
      <c r="CN21" s="30">
        <v>90</v>
      </c>
      <c r="CO21" s="30">
        <v>91</v>
      </c>
      <c r="CP21" s="30">
        <v>92</v>
      </c>
      <c r="CQ21" s="30">
        <v>93</v>
      </c>
      <c r="CR21" s="30">
        <v>94</v>
      </c>
      <c r="CS21" s="30">
        <v>95</v>
      </c>
      <c r="CT21" s="30">
        <v>96</v>
      </c>
      <c r="CU21" s="30">
        <v>97</v>
      </c>
      <c r="CV21" s="30">
        <v>98</v>
      </c>
      <c r="CW21" s="30">
        <v>99</v>
      </c>
      <c r="CX21" s="30">
        <v>100</v>
      </c>
      <c r="CY21" s="30">
        <v>101</v>
      </c>
      <c r="CZ21" s="30">
        <v>102</v>
      </c>
      <c r="DA21" s="30">
        <v>103</v>
      </c>
      <c r="DB21" s="30">
        <v>104</v>
      </c>
      <c r="DC21" s="30">
        <v>105</v>
      </c>
      <c r="DD21" s="30">
        <v>106</v>
      </c>
      <c r="DE21" s="30">
        <v>107</v>
      </c>
      <c r="DF21" s="30">
        <v>108</v>
      </c>
      <c r="DG21" s="30">
        <v>109</v>
      </c>
      <c r="DH21" s="30">
        <v>110</v>
      </c>
      <c r="DI21" s="30">
        <v>111</v>
      </c>
      <c r="DJ21" s="30">
        <v>112</v>
      </c>
      <c r="DK21" s="30">
        <v>113</v>
      </c>
      <c r="DL21" s="30">
        <v>114</v>
      </c>
      <c r="DM21" s="30">
        <v>115</v>
      </c>
      <c r="DN21" s="30">
        <v>116</v>
      </c>
      <c r="DO21" s="30">
        <v>117</v>
      </c>
      <c r="DP21" s="30">
        <v>118</v>
      </c>
      <c r="DQ21" s="30">
        <v>119</v>
      </c>
      <c r="DR21" s="30">
        <v>120</v>
      </c>
      <c r="DS21" s="30">
        <v>121</v>
      </c>
      <c r="DT21" s="30">
        <v>122</v>
      </c>
      <c r="DU21" s="30">
        <v>123</v>
      </c>
      <c r="DV21" s="30">
        <v>124</v>
      </c>
      <c r="DW21" s="30">
        <v>125</v>
      </c>
      <c r="DX21" s="30">
        <v>126</v>
      </c>
      <c r="DY21" s="30">
        <v>127</v>
      </c>
      <c r="DZ21" s="30">
        <v>128</v>
      </c>
      <c r="EA21" s="30">
        <v>129</v>
      </c>
      <c r="EB21" s="30">
        <v>130</v>
      </c>
      <c r="EC21" s="30">
        <v>131</v>
      </c>
      <c r="ED21" s="30">
        <v>132</v>
      </c>
      <c r="EE21" s="30">
        <v>133</v>
      </c>
      <c r="EF21" s="30">
        <v>134</v>
      </c>
      <c r="EG21" s="30">
        <v>135</v>
      </c>
      <c r="EH21" s="30">
        <v>136</v>
      </c>
      <c r="EI21" s="30">
        <v>137</v>
      </c>
      <c r="EJ21" s="30">
        <v>138</v>
      </c>
      <c r="EK21" s="30">
        <v>139</v>
      </c>
      <c r="EL21" s="30">
        <v>140</v>
      </c>
      <c r="EM21" s="30">
        <v>141</v>
      </c>
      <c r="EN21" s="30">
        <v>142</v>
      </c>
      <c r="EO21" s="30">
        <v>143</v>
      </c>
      <c r="EP21" s="30">
        <v>144</v>
      </c>
      <c r="EQ21" s="30">
        <v>145</v>
      </c>
      <c r="ER21" s="30">
        <v>146</v>
      </c>
      <c r="ES21" s="30">
        <v>147</v>
      </c>
      <c r="ET21" s="30">
        <v>148</v>
      </c>
      <c r="EU21" s="30">
        <v>149</v>
      </c>
      <c r="EV21" s="30">
        <v>150</v>
      </c>
      <c r="EW21" s="30">
        <v>151</v>
      </c>
      <c r="EX21" s="30">
        <v>152</v>
      </c>
      <c r="EY21" s="30">
        <v>153</v>
      </c>
      <c r="EZ21" s="30">
        <v>154</v>
      </c>
      <c r="FA21" s="30">
        <v>155</v>
      </c>
      <c r="FB21" s="30">
        <v>156</v>
      </c>
      <c r="FC21" s="30">
        <v>157</v>
      </c>
      <c r="FD21" s="30">
        <v>158</v>
      </c>
      <c r="FE21" s="30">
        <v>159</v>
      </c>
      <c r="FF21" s="30">
        <v>160</v>
      </c>
      <c r="FG21" s="30">
        <v>161</v>
      </c>
      <c r="FH21" s="30">
        <v>162</v>
      </c>
      <c r="FI21" s="30">
        <v>163</v>
      </c>
      <c r="FJ21" s="30">
        <v>164</v>
      </c>
      <c r="FK21" s="30">
        <v>165</v>
      </c>
      <c r="FL21" s="30">
        <v>166</v>
      </c>
      <c r="FM21" s="30">
        <v>167</v>
      </c>
      <c r="FN21" s="30">
        <v>168</v>
      </c>
      <c r="FO21" s="30">
        <v>169</v>
      </c>
      <c r="FP21" s="30">
        <v>170</v>
      </c>
      <c r="FQ21" s="30">
        <v>171</v>
      </c>
      <c r="FR21" s="30">
        <v>172</v>
      </c>
      <c r="FS21" s="30">
        <v>173</v>
      </c>
      <c r="FT21" s="30">
        <v>174</v>
      </c>
      <c r="FU21" s="30">
        <v>175</v>
      </c>
      <c r="FV21" s="30">
        <v>176</v>
      </c>
      <c r="FW21" s="30">
        <v>177</v>
      </c>
      <c r="FX21" s="30">
        <v>178</v>
      </c>
      <c r="FY21" s="30">
        <v>179</v>
      </c>
      <c r="FZ21" s="30">
        <v>180</v>
      </c>
      <c r="GA21" s="30">
        <v>181</v>
      </c>
      <c r="GB21" s="30">
        <v>182</v>
      </c>
      <c r="GC21" s="30">
        <v>183</v>
      </c>
      <c r="GD21" s="30">
        <v>184</v>
      </c>
      <c r="GE21" s="30">
        <v>185</v>
      </c>
      <c r="GF21" s="30">
        <v>186</v>
      </c>
      <c r="GG21" s="30">
        <v>187</v>
      </c>
      <c r="GH21" s="30">
        <v>188</v>
      </c>
      <c r="GI21" s="30">
        <v>189</v>
      </c>
      <c r="GJ21" s="30">
        <v>190</v>
      </c>
      <c r="GK21" s="30">
        <v>191</v>
      </c>
      <c r="GL21" s="30">
        <v>192</v>
      </c>
      <c r="GM21" s="30">
        <v>193</v>
      </c>
      <c r="GN21" s="30">
        <v>194</v>
      </c>
      <c r="GO21" s="30">
        <v>195</v>
      </c>
      <c r="GP21" s="30">
        <v>196</v>
      </c>
      <c r="GQ21" s="30">
        <v>197</v>
      </c>
      <c r="GR21" s="30">
        <v>198</v>
      </c>
      <c r="GS21" s="30">
        <v>199</v>
      </c>
      <c r="GT21" s="30">
        <v>200</v>
      </c>
      <c r="GU21" s="30">
        <v>201</v>
      </c>
      <c r="GV21" s="30">
        <v>202</v>
      </c>
      <c r="GW21" s="30">
        <v>203</v>
      </c>
      <c r="GX21" s="30">
        <v>204</v>
      </c>
      <c r="GY21" s="30">
        <v>205</v>
      </c>
      <c r="GZ21" s="30">
        <v>206</v>
      </c>
      <c r="HA21" s="30">
        <v>207</v>
      </c>
      <c r="HB21" s="30">
        <v>208</v>
      </c>
      <c r="HC21" s="30">
        <v>209</v>
      </c>
      <c r="HD21" s="30">
        <v>210</v>
      </c>
      <c r="HE21" s="30">
        <v>211</v>
      </c>
      <c r="HF21" s="30">
        <v>212</v>
      </c>
      <c r="HG21" s="30">
        <v>213</v>
      </c>
      <c r="HH21" s="30">
        <v>214</v>
      </c>
      <c r="HI21" s="30">
        <v>215</v>
      </c>
      <c r="HJ21" s="30">
        <v>216</v>
      </c>
      <c r="HK21" s="30">
        <v>217</v>
      </c>
      <c r="HL21" s="30">
        <v>218</v>
      </c>
      <c r="HM21" s="30">
        <v>219</v>
      </c>
      <c r="HN21" s="30">
        <v>220</v>
      </c>
      <c r="HO21" s="30">
        <v>221</v>
      </c>
      <c r="HP21" s="30">
        <v>222</v>
      </c>
      <c r="HQ21" s="30">
        <v>223</v>
      </c>
      <c r="HR21" s="30">
        <v>224</v>
      </c>
      <c r="HS21" s="30">
        <v>225</v>
      </c>
      <c r="HT21" s="30">
        <v>226</v>
      </c>
      <c r="HU21" s="30">
        <v>227</v>
      </c>
      <c r="HV21" s="30">
        <v>228</v>
      </c>
      <c r="HW21" s="30">
        <v>229</v>
      </c>
      <c r="HX21" s="30">
        <v>230</v>
      </c>
      <c r="HY21" s="30">
        <v>231</v>
      </c>
      <c r="HZ21" s="30">
        <v>232</v>
      </c>
      <c r="IA21" s="30">
        <v>233</v>
      </c>
      <c r="IB21" s="30">
        <v>234</v>
      </c>
      <c r="IC21" s="30">
        <v>235</v>
      </c>
      <c r="ID21" s="30">
        <v>236</v>
      </c>
      <c r="IE21" s="30">
        <v>237</v>
      </c>
      <c r="IF21" s="30">
        <v>238</v>
      </c>
      <c r="IG21" s="30">
        <v>239</v>
      </c>
      <c r="IH21" s="30">
        <v>240</v>
      </c>
      <c r="II21" s="30">
        <v>241</v>
      </c>
      <c r="IJ21" s="30">
        <v>242</v>
      </c>
      <c r="IK21" s="30">
        <v>243</v>
      </c>
      <c r="IL21" s="30">
        <v>244</v>
      </c>
      <c r="IM21" s="30">
        <v>245</v>
      </c>
      <c r="IN21" s="30">
        <v>246</v>
      </c>
      <c r="IO21" s="30">
        <v>247</v>
      </c>
      <c r="IP21" s="30">
        <v>248</v>
      </c>
      <c r="IQ21" s="30">
        <v>249</v>
      </c>
      <c r="IR21" s="30">
        <v>250</v>
      </c>
      <c r="IS21" s="30">
        <v>251</v>
      </c>
      <c r="IT21" s="30">
        <v>252</v>
      </c>
      <c r="IU21" s="30">
        <v>253</v>
      </c>
      <c r="IV21" s="30">
        <v>254</v>
      </c>
      <c r="IW21" s="30">
        <v>255</v>
      </c>
      <c r="IX21" s="30">
        <v>256</v>
      </c>
      <c r="IY21" s="30">
        <v>257</v>
      </c>
      <c r="IZ21" s="30">
        <v>258</v>
      </c>
      <c r="JA21" s="30">
        <v>259</v>
      </c>
      <c r="JB21" s="30">
        <v>260</v>
      </c>
      <c r="JC21" s="30">
        <v>261</v>
      </c>
      <c r="JD21" s="30">
        <v>262</v>
      </c>
      <c r="JE21" s="30">
        <v>263</v>
      </c>
      <c r="JF21" s="30">
        <v>264</v>
      </c>
      <c r="JG21" s="30">
        <v>265</v>
      </c>
      <c r="JH21" s="30">
        <v>266</v>
      </c>
      <c r="JI21" s="30">
        <v>267</v>
      </c>
      <c r="JJ21" s="30">
        <v>268</v>
      </c>
      <c r="JK21" s="30">
        <v>269</v>
      </c>
      <c r="JL21" s="30">
        <v>270</v>
      </c>
      <c r="JM21" s="30">
        <v>271</v>
      </c>
      <c r="JN21" s="30">
        <v>272</v>
      </c>
      <c r="JO21" s="30">
        <v>273</v>
      </c>
      <c r="JP21" s="30">
        <v>274</v>
      </c>
      <c r="JQ21" s="30">
        <v>275</v>
      </c>
      <c r="JR21" s="30">
        <v>276</v>
      </c>
      <c r="JS21" s="30">
        <v>277</v>
      </c>
      <c r="JT21" s="30">
        <v>278</v>
      </c>
      <c r="JU21" s="30">
        <v>279</v>
      </c>
      <c r="JV21" s="30">
        <v>280</v>
      </c>
      <c r="JW21" s="30">
        <v>281</v>
      </c>
      <c r="JX21" s="30">
        <v>282</v>
      </c>
      <c r="JY21" s="30">
        <v>283</v>
      </c>
      <c r="JZ21" s="30">
        <v>284</v>
      </c>
      <c r="KA21" s="30">
        <v>285</v>
      </c>
      <c r="KB21" s="30">
        <v>286</v>
      </c>
      <c r="KC21" s="30">
        <v>287</v>
      </c>
      <c r="KD21" s="30">
        <v>288</v>
      </c>
      <c r="KE21" s="30">
        <v>289</v>
      </c>
      <c r="KF21" s="30">
        <v>290</v>
      </c>
      <c r="KG21" s="30">
        <v>291</v>
      </c>
      <c r="KH21" s="30">
        <v>292</v>
      </c>
      <c r="KI21" s="30">
        <v>293</v>
      </c>
      <c r="KJ21" s="30">
        <v>294</v>
      </c>
      <c r="KK21" s="30">
        <v>295</v>
      </c>
      <c r="KL21" s="30">
        <v>296</v>
      </c>
      <c r="KM21" s="30">
        <v>297</v>
      </c>
      <c r="KN21" s="30">
        <v>298</v>
      </c>
      <c r="KO21" s="30">
        <v>299</v>
      </c>
      <c r="KP21" s="30">
        <v>300</v>
      </c>
      <c r="KQ21" s="30">
        <v>301</v>
      </c>
      <c r="KR21" s="30">
        <v>302</v>
      </c>
      <c r="KS21" s="30">
        <v>303</v>
      </c>
      <c r="KT21" s="30">
        <v>304</v>
      </c>
      <c r="KU21" s="30">
        <v>305</v>
      </c>
      <c r="KV21" s="30">
        <v>306</v>
      </c>
      <c r="KW21" s="30">
        <v>307</v>
      </c>
      <c r="KX21" s="30">
        <v>308</v>
      </c>
      <c r="KY21" s="30">
        <v>309</v>
      </c>
      <c r="KZ21" s="30">
        <v>310</v>
      </c>
      <c r="LA21" s="30">
        <v>311</v>
      </c>
      <c r="LB21" s="30">
        <v>312</v>
      </c>
      <c r="LC21" s="30">
        <v>313</v>
      </c>
      <c r="LD21" s="30">
        <v>314</v>
      </c>
      <c r="LE21" s="30">
        <v>315</v>
      </c>
      <c r="LF21" s="30">
        <v>316</v>
      </c>
      <c r="LG21" s="30">
        <v>317</v>
      </c>
      <c r="LH21" s="30">
        <v>318</v>
      </c>
      <c r="LI21" s="30">
        <v>319</v>
      </c>
      <c r="LJ21" s="30">
        <v>320</v>
      </c>
      <c r="LK21" s="30">
        <v>321</v>
      </c>
      <c r="LL21" s="30">
        <v>322</v>
      </c>
      <c r="LM21" s="30">
        <v>323</v>
      </c>
      <c r="LN21" s="30">
        <v>324</v>
      </c>
      <c r="LO21" s="30">
        <v>325</v>
      </c>
      <c r="LP21" s="30">
        <v>326</v>
      </c>
      <c r="LQ21" s="30">
        <v>327</v>
      </c>
      <c r="LR21" s="30">
        <v>328</v>
      </c>
      <c r="LS21" s="30">
        <v>329</v>
      </c>
      <c r="LT21" s="30">
        <v>330</v>
      </c>
      <c r="LU21" s="30">
        <v>331</v>
      </c>
      <c r="LV21" s="30">
        <v>332</v>
      </c>
      <c r="LW21" s="30">
        <v>333</v>
      </c>
      <c r="LX21" s="30">
        <v>334</v>
      </c>
      <c r="LY21" s="30">
        <v>335</v>
      </c>
      <c r="LZ21" s="30">
        <v>336</v>
      </c>
      <c r="MA21" s="30">
        <v>337</v>
      </c>
      <c r="MB21" s="30">
        <v>338</v>
      </c>
      <c r="MC21" s="30">
        <v>339</v>
      </c>
      <c r="MD21" s="30">
        <v>340</v>
      </c>
      <c r="ME21" s="30">
        <v>341</v>
      </c>
      <c r="MF21" s="30">
        <v>342</v>
      </c>
      <c r="MG21" s="30">
        <v>343</v>
      </c>
      <c r="MH21" s="30">
        <v>344</v>
      </c>
      <c r="MI21" s="30">
        <v>345</v>
      </c>
      <c r="MJ21" s="30">
        <v>346</v>
      </c>
      <c r="MK21" s="30">
        <v>347</v>
      </c>
      <c r="ML21" s="30">
        <v>348</v>
      </c>
      <c r="MM21" s="30">
        <v>349</v>
      </c>
      <c r="MN21" s="30">
        <v>350</v>
      </c>
      <c r="MO21" s="30">
        <v>351</v>
      </c>
      <c r="MP21" s="30">
        <v>352</v>
      </c>
      <c r="MQ21" s="30">
        <v>353</v>
      </c>
      <c r="MR21" s="30">
        <v>354</v>
      </c>
      <c r="MS21" s="30">
        <v>355</v>
      </c>
      <c r="MT21" s="30">
        <v>356</v>
      </c>
      <c r="MU21" s="30">
        <v>357</v>
      </c>
      <c r="MV21" s="30">
        <v>358</v>
      </c>
      <c r="MW21" s="30">
        <v>359</v>
      </c>
      <c r="MX21" s="54">
        <v>360</v>
      </c>
      <c r="MY21" s="1"/>
      <c r="MZ21" s="1"/>
      <c r="NA21" s="1"/>
      <c r="NB21" s="1"/>
      <c r="NC21" s="1"/>
      <c r="ND21" s="1"/>
      <c r="NE21" s="1"/>
      <c r="NF21" s="13">
        <v>0.1</v>
      </c>
      <c r="NG21" s="1">
        <f>Combine!A23</f>
        <v>49442</v>
      </c>
      <c r="NH21" s="14">
        <f>Combine!F23</f>
        <v>140595.20148828599</v>
      </c>
    </row>
    <row r="22" spans="1:372" ht="12.75" customHeight="1" x14ac:dyDescent="0.3">
      <c r="A22" s="31" t="s">
        <v>863</v>
      </c>
      <c r="B22" s="32">
        <f>B4</f>
        <v>255236</v>
      </c>
      <c r="C22" s="33">
        <f t="shared" ref="C22:BN22" si="0">B22*(1+$B$12/12)</f>
        <v>256299.48333333334</v>
      </c>
      <c r="D22" s="33">
        <f t="shared" si="0"/>
        <v>257367.39784722222</v>
      </c>
      <c r="E22" s="33">
        <f t="shared" si="0"/>
        <v>258439.76200491897</v>
      </c>
      <c r="F22" s="33">
        <f t="shared" si="0"/>
        <v>259516.59434660614</v>
      </c>
      <c r="G22" s="33">
        <f t="shared" si="0"/>
        <v>260597.913489717</v>
      </c>
      <c r="H22" s="33">
        <f t="shared" si="0"/>
        <v>261683.73812925749</v>
      </c>
      <c r="I22" s="33">
        <f t="shared" si="0"/>
        <v>262774.08703812939</v>
      </c>
      <c r="J22" s="33">
        <f t="shared" si="0"/>
        <v>263868.97906745493</v>
      </c>
      <c r="K22" s="33">
        <f t="shared" si="0"/>
        <v>264968.43314690265</v>
      </c>
      <c r="L22" s="33">
        <f t="shared" si="0"/>
        <v>266072.46828501474</v>
      </c>
      <c r="M22" s="33">
        <f t="shared" si="0"/>
        <v>267181.10356953565</v>
      </c>
      <c r="N22" s="33">
        <f t="shared" si="0"/>
        <v>268294.35816774203</v>
      </c>
      <c r="O22" s="33">
        <f t="shared" si="0"/>
        <v>269412.25132677431</v>
      </c>
      <c r="P22" s="33">
        <f t="shared" si="0"/>
        <v>270534.80237396917</v>
      </c>
      <c r="Q22" s="33">
        <f t="shared" si="0"/>
        <v>271662.03071719402</v>
      </c>
      <c r="R22" s="33">
        <f t="shared" si="0"/>
        <v>272793.95584518235</v>
      </c>
      <c r="S22" s="33">
        <f t="shared" si="0"/>
        <v>273930.59732787061</v>
      </c>
      <c r="T22" s="33">
        <f t="shared" si="0"/>
        <v>275071.97481673671</v>
      </c>
      <c r="U22" s="33">
        <f t="shared" si="0"/>
        <v>276218.10804513976</v>
      </c>
      <c r="V22" s="33">
        <f t="shared" si="0"/>
        <v>277369.01682866114</v>
      </c>
      <c r="W22" s="33">
        <f t="shared" si="0"/>
        <v>278524.7210654472</v>
      </c>
      <c r="X22" s="33">
        <f t="shared" si="0"/>
        <v>279685.24073655321</v>
      </c>
      <c r="Y22" s="33">
        <f t="shared" si="0"/>
        <v>280850.59590628883</v>
      </c>
      <c r="Z22" s="33">
        <f t="shared" si="0"/>
        <v>282020.80672256503</v>
      </c>
      <c r="AA22" s="33">
        <f t="shared" si="0"/>
        <v>283195.89341724239</v>
      </c>
      <c r="AB22" s="33">
        <f t="shared" si="0"/>
        <v>284375.8763064809</v>
      </c>
      <c r="AC22" s="33">
        <f t="shared" si="0"/>
        <v>285560.77579109126</v>
      </c>
      <c r="AD22" s="33">
        <f t="shared" si="0"/>
        <v>286750.61235688749</v>
      </c>
      <c r="AE22" s="33">
        <f t="shared" si="0"/>
        <v>287945.40657504118</v>
      </c>
      <c r="AF22" s="33">
        <f t="shared" si="0"/>
        <v>289145.17910243716</v>
      </c>
      <c r="AG22" s="33">
        <f t="shared" si="0"/>
        <v>290349.95068203064</v>
      </c>
      <c r="AH22" s="33">
        <f t="shared" si="0"/>
        <v>291559.74214320577</v>
      </c>
      <c r="AI22" s="33">
        <f t="shared" si="0"/>
        <v>292774.5744021358</v>
      </c>
      <c r="AJ22" s="33">
        <f t="shared" si="0"/>
        <v>293994.46846214466</v>
      </c>
      <c r="AK22" s="33">
        <f t="shared" si="0"/>
        <v>295219.44541407027</v>
      </c>
      <c r="AL22" s="33">
        <f t="shared" si="0"/>
        <v>296449.52643662889</v>
      </c>
      <c r="AM22" s="33">
        <f t="shared" si="0"/>
        <v>297684.73279678152</v>
      </c>
      <c r="AN22" s="33">
        <f t="shared" si="0"/>
        <v>298925.08585010143</v>
      </c>
      <c r="AO22" s="33">
        <f t="shared" si="0"/>
        <v>300170.60704114352</v>
      </c>
      <c r="AP22" s="33">
        <f t="shared" si="0"/>
        <v>301421.31790381495</v>
      </c>
      <c r="AQ22" s="33">
        <f t="shared" si="0"/>
        <v>302677.24006174749</v>
      </c>
      <c r="AR22" s="33">
        <f t="shared" si="0"/>
        <v>303938.39522867143</v>
      </c>
      <c r="AS22" s="33">
        <f t="shared" si="0"/>
        <v>305204.80520879087</v>
      </c>
      <c r="AT22" s="33">
        <f t="shared" si="0"/>
        <v>306476.49189716083</v>
      </c>
      <c r="AU22" s="33">
        <f t="shared" si="0"/>
        <v>307753.47728006565</v>
      </c>
      <c r="AV22" s="33">
        <f t="shared" si="0"/>
        <v>309035.78343539924</v>
      </c>
      <c r="AW22" s="33">
        <f t="shared" si="0"/>
        <v>310323.43253304675</v>
      </c>
      <c r="AX22" s="33">
        <f t="shared" si="0"/>
        <v>311616.44683526776</v>
      </c>
      <c r="AY22" s="33">
        <f t="shared" si="0"/>
        <v>312914.84869708138</v>
      </c>
      <c r="AZ22" s="33">
        <f t="shared" si="0"/>
        <v>314218.66056665254</v>
      </c>
      <c r="BA22" s="33">
        <f t="shared" si="0"/>
        <v>315527.90498568024</v>
      </c>
      <c r="BB22" s="33">
        <f t="shared" si="0"/>
        <v>316842.60458978725</v>
      </c>
      <c r="BC22" s="33">
        <f t="shared" si="0"/>
        <v>318162.78210891137</v>
      </c>
      <c r="BD22" s="33">
        <f t="shared" si="0"/>
        <v>319488.46036769851</v>
      </c>
      <c r="BE22" s="33">
        <f t="shared" si="0"/>
        <v>320819.66228589724</v>
      </c>
      <c r="BF22" s="33">
        <f t="shared" si="0"/>
        <v>322156.41087875515</v>
      </c>
      <c r="BG22" s="33">
        <f t="shared" si="0"/>
        <v>323498.72925741662</v>
      </c>
      <c r="BH22" s="33">
        <f t="shared" si="0"/>
        <v>324846.6406293225</v>
      </c>
      <c r="BI22" s="33">
        <f t="shared" si="0"/>
        <v>326200.16829861136</v>
      </c>
      <c r="BJ22" s="33">
        <f t="shared" si="0"/>
        <v>327559.33566652221</v>
      </c>
      <c r="BK22" s="33">
        <f t="shared" si="0"/>
        <v>328924.16623179941</v>
      </c>
      <c r="BL22" s="33">
        <f t="shared" si="0"/>
        <v>330294.68359109858</v>
      </c>
      <c r="BM22" s="33">
        <f t="shared" si="0"/>
        <v>331670.91143939481</v>
      </c>
      <c r="BN22" s="33">
        <f t="shared" si="0"/>
        <v>333052.87357039226</v>
      </c>
      <c r="BO22" s="33">
        <f t="shared" ref="BO22:DZ22" si="1">BN22*(1+$B$12/12)</f>
        <v>334440.59387693554</v>
      </c>
      <c r="BP22" s="33">
        <f t="shared" si="1"/>
        <v>335834.09635142278</v>
      </c>
      <c r="BQ22" s="33">
        <f t="shared" si="1"/>
        <v>337233.40508622036</v>
      </c>
      <c r="BR22" s="33">
        <f t="shared" si="1"/>
        <v>338638.54427407961</v>
      </c>
      <c r="BS22" s="33">
        <f t="shared" si="1"/>
        <v>340049.53820855496</v>
      </c>
      <c r="BT22" s="33">
        <f t="shared" si="1"/>
        <v>341466.41128442396</v>
      </c>
      <c r="BU22" s="33">
        <f t="shared" si="1"/>
        <v>342889.18799810903</v>
      </c>
      <c r="BV22" s="33">
        <f t="shared" si="1"/>
        <v>344317.89294810116</v>
      </c>
      <c r="BW22" s="33">
        <f t="shared" si="1"/>
        <v>345752.55083538493</v>
      </c>
      <c r="BX22" s="33">
        <f t="shared" si="1"/>
        <v>347193.18646386568</v>
      </c>
      <c r="BY22" s="33">
        <f t="shared" si="1"/>
        <v>348639.82474079845</v>
      </c>
      <c r="BZ22" s="33">
        <f t="shared" si="1"/>
        <v>350092.49067721842</v>
      </c>
      <c r="CA22" s="33">
        <f t="shared" si="1"/>
        <v>351551.20938837348</v>
      </c>
      <c r="CB22" s="33">
        <f t="shared" si="1"/>
        <v>353016.00609415834</v>
      </c>
      <c r="CC22" s="33">
        <f t="shared" si="1"/>
        <v>354486.90611955064</v>
      </c>
      <c r="CD22" s="33">
        <f t="shared" si="1"/>
        <v>355963.93489504873</v>
      </c>
      <c r="CE22" s="33">
        <f t="shared" si="1"/>
        <v>357447.11795711145</v>
      </c>
      <c r="CF22" s="33">
        <f t="shared" si="1"/>
        <v>358936.4809485994</v>
      </c>
      <c r="CG22" s="33">
        <f t="shared" si="1"/>
        <v>360432.04961921857</v>
      </c>
      <c r="CH22" s="33">
        <f t="shared" si="1"/>
        <v>361933.8498259653</v>
      </c>
      <c r="CI22" s="33">
        <f t="shared" si="1"/>
        <v>363441.90753357351</v>
      </c>
      <c r="CJ22" s="33">
        <f t="shared" si="1"/>
        <v>364956.24881496339</v>
      </c>
      <c r="CK22" s="33">
        <f t="shared" si="1"/>
        <v>366476.89985169237</v>
      </c>
      <c r="CL22" s="33">
        <f t="shared" si="1"/>
        <v>368003.88693440775</v>
      </c>
      <c r="CM22" s="33">
        <f t="shared" si="1"/>
        <v>369537.23646330112</v>
      </c>
      <c r="CN22" s="33">
        <f t="shared" si="1"/>
        <v>371076.97494856489</v>
      </c>
      <c r="CO22" s="33">
        <f t="shared" si="1"/>
        <v>372623.12901085056</v>
      </c>
      <c r="CP22" s="33">
        <f t="shared" si="1"/>
        <v>374175.72538172908</v>
      </c>
      <c r="CQ22" s="33">
        <f t="shared" si="1"/>
        <v>375734.79090415296</v>
      </c>
      <c r="CR22" s="33">
        <f t="shared" si="1"/>
        <v>377300.35253292025</v>
      </c>
      <c r="CS22" s="33">
        <f t="shared" si="1"/>
        <v>378872.43733514077</v>
      </c>
      <c r="CT22" s="33">
        <f t="shared" si="1"/>
        <v>380451.07249070384</v>
      </c>
      <c r="CU22" s="33">
        <f t="shared" si="1"/>
        <v>382036.28529274842</v>
      </c>
      <c r="CV22" s="33">
        <f t="shared" si="1"/>
        <v>383628.10314813489</v>
      </c>
      <c r="CW22" s="33">
        <f t="shared" si="1"/>
        <v>385226.55357791879</v>
      </c>
      <c r="CX22" s="33">
        <f t="shared" si="1"/>
        <v>386831.66421782679</v>
      </c>
      <c r="CY22" s="33">
        <f t="shared" si="1"/>
        <v>388443.46281873441</v>
      </c>
      <c r="CZ22" s="33">
        <f t="shared" si="1"/>
        <v>390061.97724714578</v>
      </c>
      <c r="DA22" s="33">
        <f t="shared" si="1"/>
        <v>391687.23548567557</v>
      </c>
      <c r="DB22" s="33">
        <f t="shared" si="1"/>
        <v>393319.26563353254</v>
      </c>
      <c r="DC22" s="33">
        <f t="shared" si="1"/>
        <v>394958.0959070056</v>
      </c>
      <c r="DD22" s="33">
        <f t="shared" si="1"/>
        <v>396603.75463995145</v>
      </c>
      <c r="DE22" s="33">
        <f t="shared" si="1"/>
        <v>398256.2702842846</v>
      </c>
      <c r="DF22" s="33">
        <f t="shared" si="1"/>
        <v>399915.67141046911</v>
      </c>
      <c r="DG22" s="33">
        <f t="shared" si="1"/>
        <v>401581.9867080127</v>
      </c>
      <c r="DH22" s="33">
        <f t="shared" si="1"/>
        <v>403255.24498596275</v>
      </c>
      <c r="DI22" s="33">
        <f t="shared" si="1"/>
        <v>404935.47517340427</v>
      </c>
      <c r="DJ22" s="33">
        <f t="shared" si="1"/>
        <v>406622.70631996013</v>
      </c>
      <c r="DK22" s="33">
        <f t="shared" si="1"/>
        <v>408316.96759629331</v>
      </c>
      <c r="DL22" s="33">
        <f t="shared" si="1"/>
        <v>410018.28829461121</v>
      </c>
      <c r="DM22" s="33">
        <f t="shared" si="1"/>
        <v>411726.69782917207</v>
      </c>
      <c r="DN22" s="33">
        <f t="shared" si="1"/>
        <v>413442.2257367936</v>
      </c>
      <c r="DO22" s="33">
        <f t="shared" si="1"/>
        <v>415164.90167736355</v>
      </c>
      <c r="DP22" s="33">
        <f t="shared" si="1"/>
        <v>416894.75543435256</v>
      </c>
      <c r="DQ22" s="33">
        <f t="shared" si="1"/>
        <v>418631.81691532902</v>
      </c>
      <c r="DR22" s="33">
        <f t="shared" si="1"/>
        <v>420376.11615247623</v>
      </c>
      <c r="DS22" s="33">
        <f t="shared" si="1"/>
        <v>422127.68330311152</v>
      </c>
      <c r="DT22" s="33">
        <f t="shared" si="1"/>
        <v>423886.54865020781</v>
      </c>
      <c r="DU22" s="33">
        <f t="shared" si="1"/>
        <v>425652.74260291702</v>
      </c>
      <c r="DV22" s="33">
        <f t="shared" si="1"/>
        <v>427426.2956970958</v>
      </c>
      <c r="DW22" s="33">
        <f t="shared" si="1"/>
        <v>429207.23859583371</v>
      </c>
      <c r="DX22" s="33">
        <f t="shared" si="1"/>
        <v>430995.602089983</v>
      </c>
      <c r="DY22" s="33">
        <f t="shared" si="1"/>
        <v>432791.41709869128</v>
      </c>
      <c r="DZ22" s="33">
        <f t="shared" si="1"/>
        <v>434594.71466993581</v>
      </c>
      <c r="EA22" s="33">
        <f t="shared" ref="EA22:GL22" si="2">DZ22*(1+$B$12/12)</f>
        <v>436405.52598106052</v>
      </c>
      <c r="EB22" s="33">
        <f t="shared" si="2"/>
        <v>438223.88233931491</v>
      </c>
      <c r="EC22" s="33">
        <f t="shared" si="2"/>
        <v>440049.8151823954</v>
      </c>
      <c r="ED22" s="33">
        <f t="shared" si="2"/>
        <v>441883.3560789887</v>
      </c>
      <c r="EE22" s="33">
        <f t="shared" si="2"/>
        <v>443724.5367293178</v>
      </c>
      <c r="EF22" s="33">
        <f t="shared" si="2"/>
        <v>445573.38896568993</v>
      </c>
      <c r="EG22" s="33">
        <f t="shared" si="2"/>
        <v>447429.94475304696</v>
      </c>
      <c r="EH22" s="33">
        <f t="shared" si="2"/>
        <v>449294.23618951801</v>
      </c>
      <c r="EI22" s="33">
        <f t="shared" si="2"/>
        <v>451166.29550697433</v>
      </c>
      <c r="EJ22" s="33">
        <f t="shared" si="2"/>
        <v>453046.15507158672</v>
      </c>
      <c r="EK22" s="33">
        <f t="shared" si="2"/>
        <v>454933.84738438501</v>
      </c>
      <c r="EL22" s="33">
        <f t="shared" si="2"/>
        <v>456829.40508181992</v>
      </c>
      <c r="EM22" s="33">
        <f t="shared" si="2"/>
        <v>458732.86093632749</v>
      </c>
      <c r="EN22" s="33">
        <f t="shared" si="2"/>
        <v>460644.2478568955</v>
      </c>
      <c r="EO22" s="33">
        <f t="shared" si="2"/>
        <v>462563.59888963256</v>
      </c>
      <c r="EP22" s="33">
        <f t="shared" si="2"/>
        <v>464490.94721833937</v>
      </c>
      <c r="EQ22" s="33">
        <f t="shared" si="2"/>
        <v>466426.32616508246</v>
      </c>
      <c r="ER22" s="33">
        <f t="shared" si="2"/>
        <v>468369.76919077028</v>
      </c>
      <c r="ES22" s="33">
        <f t="shared" si="2"/>
        <v>470321.3098957318</v>
      </c>
      <c r="ET22" s="33">
        <f t="shared" si="2"/>
        <v>472280.98202029732</v>
      </c>
      <c r="EU22" s="33">
        <f t="shared" si="2"/>
        <v>474248.81944538187</v>
      </c>
      <c r="EV22" s="33">
        <f t="shared" si="2"/>
        <v>476224.85619307094</v>
      </c>
      <c r="EW22" s="33">
        <f t="shared" si="2"/>
        <v>478209.12642720871</v>
      </c>
      <c r="EX22" s="33">
        <f t="shared" si="2"/>
        <v>480201.66445398872</v>
      </c>
      <c r="EY22" s="33">
        <f t="shared" si="2"/>
        <v>482202.50472254702</v>
      </c>
      <c r="EZ22" s="33">
        <f t="shared" si="2"/>
        <v>484211.68182555761</v>
      </c>
      <c r="FA22" s="33">
        <f t="shared" si="2"/>
        <v>486229.23049983074</v>
      </c>
      <c r="FB22" s="33">
        <f t="shared" si="2"/>
        <v>488255.18562691339</v>
      </c>
      <c r="FC22" s="33">
        <f t="shared" si="2"/>
        <v>490289.58223369217</v>
      </c>
      <c r="FD22" s="33">
        <f t="shared" si="2"/>
        <v>492332.45549299923</v>
      </c>
      <c r="FE22" s="33">
        <f t="shared" si="2"/>
        <v>494383.84072422003</v>
      </c>
      <c r="FF22" s="33">
        <f t="shared" si="2"/>
        <v>496443.77339390427</v>
      </c>
      <c r="FG22" s="33">
        <f t="shared" si="2"/>
        <v>498512.28911637887</v>
      </c>
      <c r="FH22" s="33">
        <f t="shared" si="2"/>
        <v>500589.42365436378</v>
      </c>
      <c r="FI22" s="33">
        <f t="shared" si="2"/>
        <v>502675.2129195903</v>
      </c>
      <c r="FJ22" s="33">
        <f t="shared" si="2"/>
        <v>504769.69297342189</v>
      </c>
      <c r="FK22" s="33">
        <f t="shared" si="2"/>
        <v>506872.90002747782</v>
      </c>
      <c r="FL22" s="33">
        <f t="shared" si="2"/>
        <v>508984.87044425897</v>
      </c>
      <c r="FM22" s="33">
        <f t="shared" si="2"/>
        <v>511105.6407377767</v>
      </c>
      <c r="FN22" s="33">
        <f t="shared" si="2"/>
        <v>513235.24757418409</v>
      </c>
      <c r="FO22" s="33">
        <f t="shared" si="2"/>
        <v>515373.72777240985</v>
      </c>
      <c r="FP22" s="33">
        <f t="shared" si="2"/>
        <v>517521.11830479489</v>
      </c>
      <c r="FQ22" s="33">
        <f t="shared" si="2"/>
        <v>519677.45629773155</v>
      </c>
      <c r="FR22" s="33">
        <f t="shared" si="2"/>
        <v>521842.77903230541</v>
      </c>
      <c r="FS22" s="33">
        <f t="shared" si="2"/>
        <v>524017.12394493999</v>
      </c>
      <c r="FT22" s="33">
        <f t="shared" si="2"/>
        <v>526200.52862804395</v>
      </c>
      <c r="FU22" s="33">
        <f t="shared" si="2"/>
        <v>528393.03083066083</v>
      </c>
      <c r="FV22" s="33">
        <f t="shared" si="2"/>
        <v>530594.66845912195</v>
      </c>
      <c r="FW22" s="33">
        <f t="shared" si="2"/>
        <v>532805.47957770166</v>
      </c>
      <c r="FX22" s="33">
        <f t="shared" si="2"/>
        <v>535025.50240927539</v>
      </c>
      <c r="FY22" s="33">
        <f t="shared" si="2"/>
        <v>537254.7753359807</v>
      </c>
      <c r="FZ22" s="33">
        <f t="shared" si="2"/>
        <v>539493.33689988055</v>
      </c>
      <c r="GA22" s="33">
        <f t="shared" si="2"/>
        <v>541741.22580363008</v>
      </c>
      <c r="GB22" s="33">
        <f t="shared" si="2"/>
        <v>543998.48091114522</v>
      </c>
      <c r="GC22" s="33">
        <f t="shared" si="2"/>
        <v>546265.14124827494</v>
      </c>
      <c r="GD22" s="33">
        <f t="shared" si="2"/>
        <v>548541.24600347609</v>
      </c>
      <c r="GE22" s="33">
        <f t="shared" si="2"/>
        <v>550826.83452849055</v>
      </c>
      <c r="GF22" s="33">
        <f t="shared" si="2"/>
        <v>553121.94633902598</v>
      </c>
      <c r="GG22" s="33">
        <f t="shared" si="2"/>
        <v>555426.62111543852</v>
      </c>
      <c r="GH22" s="33">
        <f t="shared" si="2"/>
        <v>557740.89870341949</v>
      </c>
      <c r="GI22" s="33">
        <f t="shared" si="2"/>
        <v>560064.81911468378</v>
      </c>
      <c r="GJ22" s="33">
        <f t="shared" si="2"/>
        <v>562398.42252766166</v>
      </c>
      <c r="GK22" s="33">
        <f t="shared" si="2"/>
        <v>564741.74928819353</v>
      </c>
      <c r="GL22" s="33">
        <f t="shared" si="2"/>
        <v>567094.83991022769</v>
      </c>
      <c r="GM22" s="33">
        <f t="shared" ref="GM22:IX22" si="3">GL22*(1+$B$12/12)</f>
        <v>569457.73507652024</v>
      </c>
      <c r="GN22" s="33">
        <f t="shared" si="3"/>
        <v>571830.47563933907</v>
      </c>
      <c r="GO22" s="33">
        <f t="shared" si="3"/>
        <v>574213.10262116964</v>
      </c>
      <c r="GP22" s="33">
        <f t="shared" si="3"/>
        <v>576605.65721542446</v>
      </c>
      <c r="GQ22" s="33">
        <f t="shared" si="3"/>
        <v>579008.1807871554</v>
      </c>
      <c r="GR22" s="33">
        <f t="shared" si="3"/>
        <v>581420.71487376851</v>
      </c>
      <c r="GS22" s="33">
        <f t="shared" si="3"/>
        <v>583843.30118574249</v>
      </c>
      <c r="GT22" s="33">
        <f t="shared" si="3"/>
        <v>586275.98160734971</v>
      </c>
      <c r="GU22" s="33">
        <f t="shared" si="3"/>
        <v>588718.79819738027</v>
      </c>
      <c r="GV22" s="33">
        <f t="shared" si="3"/>
        <v>591171.79318986938</v>
      </c>
      <c r="GW22" s="33">
        <f t="shared" si="3"/>
        <v>593635.00899482716</v>
      </c>
      <c r="GX22" s="33">
        <f t="shared" si="3"/>
        <v>596108.48819897231</v>
      </c>
      <c r="GY22" s="33">
        <f t="shared" si="3"/>
        <v>598592.27356646804</v>
      </c>
      <c r="GZ22" s="33">
        <f t="shared" si="3"/>
        <v>601086.40803966159</v>
      </c>
      <c r="HA22" s="33">
        <f t="shared" si="3"/>
        <v>603590.93473982683</v>
      </c>
      <c r="HB22" s="33">
        <f t="shared" si="3"/>
        <v>606105.89696790942</v>
      </c>
      <c r="HC22" s="33">
        <f t="shared" si="3"/>
        <v>608631.33820527571</v>
      </c>
      <c r="HD22" s="33">
        <f t="shared" si="3"/>
        <v>611167.30211446434</v>
      </c>
      <c r="HE22" s="33">
        <f t="shared" si="3"/>
        <v>613713.8325399413</v>
      </c>
      <c r="HF22" s="33">
        <f t="shared" si="3"/>
        <v>616270.97350885766</v>
      </c>
      <c r="HG22" s="33">
        <f t="shared" si="3"/>
        <v>618838.76923181117</v>
      </c>
      <c r="HH22" s="33">
        <f t="shared" si="3"/>
        <v>621417.26410361042</v>
      </c>
      <c r="HI22" s="33">
        <f t="shared" si="3"/>
        <v>624006.50270404213</v>
      </c>
      <c r="HJ22" s="33">
        <f t="shared" si="3"/>
        <v>626606.52979864227</v>
      </c>
      <c r="HK22" s="33">
        <f t="shared" si="3"/>
        <v>629217.39033946989</v>
      </c>
      <c r="HL22" s="33">
        <f t="shared" si="3"/>
        <v>631839.1294658843</v>
      </c>
      <c r="HM22" s="33">
        <f t="shared" si="3"/>
        <v>634471.79250532552</v>
      </c>
      <c r="HN22" s="33">
        <f t="shared" si="3"/>
        <v>637115.42497409775</v>
      </c>
      <c r="HO22" s="33">
        <f t="shared" si="3"/>
        <v>639770.07257815648</v>
      </c>
      <c r="HP22" s="33">
        <f t="shared" si="3"/>
        <v>642435.78121389879</v>
      </c>
      <c r="HQ22" s="33">
        <f t="shared" si="3"/>
        <v>645112.59696895664</v>
      </c>
      <c r="HR22" s="33">
        <f t="shared" si="3"/>
        <v>647800.56612299394</v>
      </c>
      <c r="HS22" s="33">
        <f t="shared" si="3"/>
        <v>650499.73514850636</v>
      </c>
      <c r="HT22" s="33">
        <f t="shared" si="3"/>
        <v>653210.15071162512</v>
      </c>
      <c r="HU22" s="33">
        <f t="shared" si="3"/>
        <v>655931.85967292357</v>
      </c>
      <c r="HV22" s="33">
        <f t="shared" si="3"/>
        <v>658664.90908822743</v>
      </c>
      <c r="HW22" s="33">
        <f t="shared" si="3"/>
        <v>661409.34620942839</v>
      </c>
      <c r="HX22" s="33">
        <f t="shared" si="3"/>
        <v>664165.21848530101</v>
      </c>
      <c r="HY22" s="33">
        <f t="shared" si="3"/>
        <v>666932.57356232312</v>
      </c>
      <c r="HZ22" s="33">
        <f t="shared" si="3"/>
        <v>669711.45928549941</v>
      </c>
      <c r="IA22" s="33">
        <f t="shared" si="3"/>
        <v>672501.92369918898</v>
      </c>
      <c r="IB22" s="33">
        <f t="shared" si="3"/>
        <v>675304.01504793554</v>
      </c>
      <c r="IC22" s="33">
        <f t="shared" si="3"/>
        <v>678117.78177730192</v>
      </c>
      <c r="ID22" s="33">
        <f t="shared" si="3"/>
        <v>680943.27253470733</v>
      </c>
      <c r="IE22" s="33">
        <f t="shared" si="3"/>
        <v>683780.53617026855</v>
      </c>
      <c r="IF22" s="33">
        <f t="shared" si="3"/>
        <v>686629.62173764466</v>
      </c>
      <c r="IG22" s="33">
        <f t="shared" si="3"/>
        <v>689490.57849488489</v>
      </c>
      <c r="IH22" s="33">
        <f t="shared" si="3"/>
        <v>692363.45590528019</v>
      </c>
      <c r="II22" s="33">
        <f t="shared" si="3"/>
        <v>695248.3036382189</v>
      </c>
      <c r="IJ22" s="33">
        <f t="shared" si="3"/>
        <v>698145.17157004483</v>
      </c>
      <c r="IK22" s="33">
        <f t="shared" si="3"/>
        <v>701054.10978492</v>
      </c>
      <c r="IL22" s="33">
        <f t="shared" si="3"/>
        <v>703975.16857569048</v>
      </c>
      <c r="IM22" s="33">
        <f t="shared" si="3"/>
        <v>706908.39844475582</v>
      </c>
      <c r="IN22" s="33">
        <f t="shared" si="3"/>
        <v>709853.85010494234</v>
      </c>
      <c r="IO22" s="33">
        <f t="shared" si="3"/>
        <v>712811.57448037958</v>
      </c>
      <c r="IP22" s="33">
        <f t="shared" si="3"/>
        <v>715781.62270738115</v>
      </c>
      <c r="IQ22" s="33">
        <f t="shared" si="3"/>
        <v>718764.04613532859</v>
      </c>
      <c r="IR22" s="33">
        <f t="shared" si="3"/>
        <v>721758.89632755914</v>
      </c>
      <c r="IS22" s="33">
        <f t="shared" si="3"/>
        <v>724766.22506225726</v>
      </c>
      <c r="IT22" s="33">
        <f t="shared" si="3"/>
        <v>727786.08433334995</v>
      </c>
      <c r="IU22" s="33">
        <f t="shared" si="3"/>
        <v>730818.52635140554</v>
      </c>
      <c r="IV22" s="33">
        <f t="shared" si="3"/>
        <v>733863.6035445364</v>
      </c>
      <c r="IW22" s="33">
        <f t="shared" si="3"/>
        <v>736921.36855930532</v>
      </c>
      <c r="IX22" s="33">
        <f t="shared" si="3"/>
        <v>739991.8742616357</v>
      </c>
      <c r="IY22" s="33">
        <f t="shared" ref="IY22:LJ22" si="4">IX22*(1+$B$12/12)</f>
        <v>743075.17373772583</v>
      </c>
      <c r="IZ22" s="33">
        <f t="shared" si="4"/>
        <v>746171.32029496634</v>
      </c>
      <c r="JA22" s="33">
        <f t="shared" si="4"/>
        <v>749280.36746286205</v>
      </c>
      <c r="JB22" s="33">
        <f t="shared" si="4"/>
        <v>752402.36899395729</v>
      </c>
      <c r="JC22" s="33">
        <f t="shared" si="4"/>
        <v>755537.3788647654</v>
      </c>
      <c r="JD22" s="33">
        <f t="shared" si="4"/>
        <v>758685.45127670188</v>
      </c>
      <c r="JE22" s="33">
        <f t="shared" si="4"/>
        <v>761846.64065702143</v>
      </c>
      <c r="JF22" s="33">
        <f t="shared" si="4"/>
        <v>765021.00165975897</v>
      </c>
      <c r="JG22" s="33">
        <f t="shared" si="4"/>
        <v>768208.58916667465</v>
      </c>
      <c r="JH22" s="33">
        <f t="shared" si="4"/>
        <v>771409.45828820241</v>
      </c>
      <c r="JI22" s="33">
        <f t="shared" si="4"/>
        <v>774623.66436440323</v>
      </c>
      <c r="JJ22" s="33">
        <f t="shared" si="4"/>
        <v>777851.26296592155</v>
      </c>
      <c r="JK22" s="33">
        <f t="shared" si="4"/>
        <v>781092.30989494617</v>
      </c>
      <c r="JL22" s="33">
        <f t="shared" si="4"/>
        <v>784346.86118617514</v>
      </c>
      <c r="JM22" s="33">
        <f t="shared" si="4"/>
        <v>787614.97310778417</v>
      </c>
      <c r="JN22" s="33">
        <f t="shared" si="4"/>
        <v>790896.70216239989</v>
      </c>
      <c r="JO22" s="33">
        <f t="shared" si="4"/>
        <v>794192.10508807655</v>
      </c>
      <c r="JP22" s="33">
        <f t="shared" si="4"/>
        <v>797501.23885927687</v>
      </c>
      <c r="JQ22" s="33">
        <f t="shared" si="4"/>
        <v>800824.16068785719</v>
      </c>
      <c r="JR22" s="33">
        <f t="shared" si="4"/>
        <v>804160.9280240566</v>
      </c>
      <c r="JS22" s="33">
        <f t="shared" si="4"/>
        <v>807511.59855749016</v>
      </c>
      <c r="JT22" s="33">
        <f t="shared" si="4"/>
        <v>810876.23021814635</v>
      </c>
      <c r="JU22" s="33">
        <f t="shared" si="4"/>
        <v>814254.8811773886</v>
      </c>
      <c r="JV22" s="33">
        <f t="shared" si="4"/>
        <v>817647.609848961</v>
      </c>
      <c r="JW22" s="33">
        <f t="shared" si="4"/>
        <v>821054.47488999832</v>
      </c>
      <c r="JX22" s="33">
        <f t="shared" si="4"/>
        <v>824475.53520203999</v>
      </c>
      <c r="JY22" s="33">
        <f t="shared" si="4"/>
        <v>827910.84993204847</v>
      </c>
      <c r="JZ22" s="33">
        <f t="shared" si="4"/>
        <v>831360.47847343201</v>
      </c>
      <c r="KA22" s="33">
        <f t="shared" si="4"/>
        <v>834824.48046707129</v>
      </c>
      <c r="KB22" s="33">
        <f t="shared" si="4"/>
        <v>838302.91580235073</v>
      </c>
      <c r="KC22" s="33">
        <f t="shared" si="4"/>
        <v>841795.84461819381</v>
      </c>
      <c r="KD22" s="33">
        <f t="shared" si="4"/>
        <v>845303.32730410295</v>
      </c>
      <c r="KE22" s="33">
        <f t="shared" si="4"/>
        <v>848825.42450120335</v>
      </c>
      <c r="KF22" s="33">
        <f t="shared" si="4"/>
        <v>852362.19710329163</v>
      </c>
      <c r="KG22" s="33">
        <f t="shared" si="4"/>
        <v>855913.7062578887</v>
      </c>
      <c r="KH22" s="33">
        <f t="shared" si="4"/>
        <v>859480.01336729655</v>
      </c>
      <c r="KI22" s="33">
        <f t="shared" si="4"/>
        <v>863061.18008966022</v>
      </c>
      <c r="KJ22" s="33">
        <f t="shared" si="4"/>
        <v>866657.26834003383</v>
      </c>
      <c r="KK22" s="33">
        <f t="shared" si="4"/>
        <v>870268.34029145062</v>
      </c>
      <c r="KL22" s="33">
        <f t="shared" si="4"/>
        <v>873894.45837599831</v>
      </c>
      <c r="KM22" s="33">
        <f t="shared" si="4"/>
        <v>877535.68528589827</v>
      </c>
      <c r="KN22" s="33">
        <f t="shared" si="4"/>
        <v>881192.08397458948</v>
      </c>
      <c r="KO22" s="33">
        <f t="shared" si="4"/>
        <v>884863.71765781695</v>
      </c>
      <c r="KP22" s="33">
        <f t="shared" si="4"/>
        <v>888550.64981472446</v>
      </c>
      <c r="KQ22" s="33">
        <f t="shared" si="4"/>
        <v>892252.94418895245</v>
      </c>
      <c r="KR22" s="33">
        <f t="shared" si="4"/>
        <v>895970.66478973976</v>
      </c>
      <c r="KS22" s="33">
        <f t="shared" si="4"/>
        <v>899703.87589303032</v>
      </c>
      <c r="KT22" s="33">
        <f t="shared" si="4"/>
        <v>903452.6420425846</v>
      </c>
      <c r="KU22" s="33">
        <f t="shared" si="4"/>
        <v>907217.02805109532</v>
      </c>
      <c r="KV22" s="33">
        <f t="shared" si="4"/>
        <v>910997.0990013082</v>
      </c>
      <c r="KW22" s="33">
        <f t="shared" si="4"/>
        <v>914792.92024714698</v>
      </c>
      <c r="KX22" s="33">
        <f t="shared" si="4"/>
        <v>918604.55741484335</v>
      </c>
      <c r="KY22" s="33">
        <f t="shared" si="4"/>
        <v>922432.07640407188</v>
      </c>
      <c r="KZ22" s="33">
        <f t="shared" si="4"/>
        <v>926275.54338908882</v>
      </c>
      <c r="LA22" s="33">
        <f t="shared" si="4"/>
        <v>930135.02481987665</v>
      </c>
      <c r="LB22" s="33">
        <f t="shared" si="4"/>
        <v>934010.5874232928</v>
      </c>
      <c r="LC22" s="33">
        <f t="shared" si="4"/>
        <v>937902.29820422316</v>
      </c>
      <c r="LD22" s="33">
        <f t="shared" si="4"/>
        <v>941810.2244467407</v>
      </c>
      <c r="LE22" s="33">
        <f t="shared" si="4"/>
        <v>945734.43371526874</v>
      </c>
      <c r="LF22" s="33">
        <f t="shared" si="4"/>
        <v>949674.99385574902</v>
      </c>
      <c r="LG22" s="33">
        <f t="shared" si="4"/>
        <v>953631.97299681464</v>
      </c>
      <c r="LH22" s="33">
        <f t="shared" si="4"/>
        <v>957605.439550968</v>
      </c>
      <c r="LI22" s="33">
        <f t="shared" si="4"/>
        <v>961595.46221576363</v>
      </c>
      <c r="LJ22" s="33">
        <f t="shared" si="4"/>
        <v>965602.10997499595</v>
      </c>
      <c r="LK22" s="33">
        <f t="shared" ref="LK22:MX22" si="5">LJ22*(1+$B$12/12)</f>
        <v>969625.45209989173</v>
      </c>
      <c r="LL22" s="33">
        <f t="shared" si="5"/>
        <v>973665.55815030797</v>
      </c>
      <c r="LM22" s="33">
        <f t="shared" si="5"/>
        <v>977722.4979759343</v>
      </c>
      <c r="LN22" s="33">
        <f t="shared" si="5"/>
        <v>981796.34171750071</v>
      </c>
      <c r="LO22" s="33">
        <f t="shared" si="5"/>
        <v>985887.15980799031</v>
      </c>
      <c r="LP22" s="33">
        <f t="shared" si="5"/>
        <v>989995.02297385689</v>
      </c>
      <c r="LQ22" s="33">
        <f t="shared" si="5"/>
        <v>994120.00223624799</v>
      </c>
      <c r="LR22" s="33">
        <f t="shared" si="5"/>
        <v>998262.16891223239</v>
      </c>
      <c r="LS22" s="33">
        <f t="shared" si="5"/>
        <v>1002421.5946160334</v>
      </c>
      <c r="LT22" s="33">
        <f t="shared" si="5"/>
        <v>1006598.3512602668</v>
      </c>
      <c r="LU22" s="33">
        <f t="shared" si="5"/>
        <v>1010792.5110571847</v>
      </c>
      <c r="LV22" s="33">
        <f t="shared" si="5"/>
        <v>1015004.1465199229</v>
      </c>
      <c r="LW22" s="33">
        <f t="shared" si="5"/>
        <v>1019233.3304637559</v>
      </c>
      <c r="LX22" s="33">
        <f t="shared" si="5"/>
        <v>1023480.1360073548</v>
      </c>
      <c r="LY22" s="33">
        <f t="shared" si="5"/>
        <v>1027744.6365740522</v>
      </c>
      <c r="LZ22" s="33">
        <f t="shared" si="5"/>
        <v>1032026.9058931107</v>
      </c>
      <c r="MA22" s="33">
        <f t="shared" si="5"/>
        <v>1036327.0180009987</v>
      </c>
      <c r="MB22" s="33">
        <f t="shared" si="5"/>
        <v>1040645.0472426695</v>
      </c>
      <c r="MC22" s="33">
        <f t="shared" si="5"/>
        <v>1044981.0682728473</v>
      </c>
      <c r="MD22" s="33">
        <f t="shared" si="5"/>
        <v>1049335.1560573175</v>
      </c>
      <c r="ME22" s="33">
        <f t="shared" si="5"/>
        <v>1053707.385874223</v>
      </c>
      <c r="MF22" s="33">
        <f t="shared" si="5"/>
        <v>1058097.8333153655</v>
      </c>
      <c r="MG22" s="33">
        <f t="shared" si="5"/>
        <v>1062506.5742875128</v>
      </c>
      <c r="MH22" s="33">
        <f t="shared" si="5"/>
        <v>1066933.6850137108</v>
      </c>
      <c r="MI22" s="33">
        <f t="shared" si="5"/>
        <v>1071379.2420346013</v>
      </c>
      <c r="MJ22" s="33">
        <f t="shared" si="5"/>
        <v>1075843.3222097454</v>
      </c>
      <c r="MK22" s="33">
        <f t="shared" si="5"/>
        <v>1080326.0027189527</v>
      </c>
      <c r="ML22" s="33">
        <f t="shared" si="5"/>
        <v>1084827.361063615</v>
      </c>
      <c r="MM22" s="33">
        <f t="shared" si="5"/>
        <v>1089347.4750680467</v>
      </c>
      <c r="MN22" s="33">
        <f t="shared" si="5"/>
        <v>1093886.4228808302</v>
      </c>
      <c r="MO22" s="33">
        <f t="shared" si="5"/>
        <v>1098444.282976167</v>
      </c>
      <c r="MP22" s="33">
        <f t="shared" si="5"/>
        <v>1103021.1341552343</v>
      </c>
      <c r="MQ22" s="33">
        <f t="shared" si="5"/>
        <v>1107617.0555475478</v>
      </c>
      <c r="MR22" s="33">
        <f t="shared" si="5"/>
        <v>1112232.1266123292</v>
      </c>
      <c r="MS22" s="33">
        <f t="shared" si="5"/>
        <v>1116866.4271398806</v>
      </c>
      <c r="MT22" s="33">
        <f t="shared" si="5"/>
        <v>1121520.0372529635</v>
      </c>
      <c r="MU22" s="33">
        <f t="shared" si="5"/>
        <v>1126193.0374081843</v>
      </c>
      <c r="MV22" s="33">
        <f t="shared" si="5"/>
        <v>1130885.508397385</v>
      </c>
      <c r="MW22" s="33">
        <f t="shared" si="5"/>
        <v>1135597.5313490408</v>
      </c>
      <c r="MX22" s="55">
        <f t="shared" si="5"/>
        <v>1140329.1877296618</v>
      </c>
      <c r="MY22" s="1"/>
      <c r="MZ22" s="1"/>
      <c r="NA22" s="1"/>
      <c r="NB22" s="1"/>
      <c r="NC22" s="1"/>
      <c r="ND22" s="1"/>
      <c r="NE22" s="1"/>
      <c r="NF22" s="13">
        <v>0.105</v>
      </c>
      <c r="NG22" s="1">
        <f>Combine!A24</f>
        <v>49009</v>
      </c>
      <c r="NH22" s="14">
        <f>Combine!F24</f>
        <v>337646.48776206101</v>
      </c>
    </row>
    <row r="23" spans="1:372" ht="12.75" customHeight="1" x14ac:dyDescent="0.3">
      <c r="A23" s="31" t="s">
        <v>864</v>
      </c>
      <c r="B23" s="32">
        <f>B4-B6</f>
        <v>204188.79999999999</v>
      </c>
      <c r="C23" s="33">
        <f t="shared" ref="C23:BN23" si="6">B23-C27</f>
        <v>203985.5289772969</v>
      </c>
      <c r="D23" s="33">
        <f t="shared" si="6"/>
        <v>203781.24159948027</v>
      </c>
      <c r="E23" s="33">
        <f t="shared" si="6"/>
        <v>203575.93278477457</v>
      </c>
      <c r="F23" s="33">
        <f t="shared" si="6"/>
        <v>203369.59742599534</v>
      </c>
      <c r="G23" s="33">
        <f t="shared" si="6"/>
        <v>203162.23039042222</v>
      </c>
      <c r="H23" s="33">
        <f t="shared" si="6"/>
        <v>202953.82651967122</v>
      </c>
      <c r="I23" s="33">
        <f t="shared" si="6"/>
        <v>202744.38062956647</v>
      </c>
      <c r="J23" s="33">
        <f t="shared" si="6"/>
        <v>202533.88751001121</v>
      </c>
      <c r="K23" s="33">
        <f t="shared" si="6"/>
        <v>202322.34192485816</v>
      </c>
      <c r="L23" s="33">
        <f t="shared" si="6"/>
        <v>202109.73861177935</v>
      </c>
      <c r="M23" s="33">
        <f t="shared" si="6"/>
        <v>201896.07228213514</v>
      </c>
      <c r="N23" s="33">
        <f t="shared" si="6"/>
        <v>201681.33762084271</v>
      </c>
      <c r="O23" s="33">
        <f t="shared" si="6"/>
        <v>201465.52928624381</v>
      </c>
      <c r="P23" s="33">
        <f t="shared" si="6"/>
        <v>201248.64190997192</v>
      </c>
      <c r="Q23" s="33">
        <f t="shared" si="6"/>
        <v>201030.67009681868</v>
      </c>
      <c r="R23" s="33">
        <f t="shared" si="6"/>
        <v>200811.60842459966</v>
      </c>
      <c r="S23" s="33">
        <f t="shared" si="6"/>
        <v>200591.45144401956</v>
      </c>
      <c r="T23" s="33">
        <f t="shared" si="6"/>
        <v>200370.19367853657</v>
      </c>
      <c r="U23" s="33">
        <f t="shared" si="6"/>
        <v>200147.82962422614</v>
      </c>
      <c r="V23" s="33">
        <f t="shared" si="6"/>
        <v>199924.35374964416</v>
      </c>
      <c r="W23" s="33">
        <f t="shared" si="6"/>
        <v>199699.76049568926</v>
      </c>
      <c r="X23" s="33">
        <f t="shared" si="6"/>
        <v>199474.04427546461</v>
      </c>
      <c r="Y23" s="33">
        <f t="shared" si="6"/>
        <v>199247.19947413882</v>
      </c>
      <c r="Z23" s="33">
        <f t="shared" si="6"/>
        <v>199019.22044880642</v>
      </c>
      <c r="AA23" s="33">
        <f t="shared" si="6"/>
        <v>198790.10152834735</v>
      </c>
      <c r="AB23" s="33">
        <f t="shared" si="6"/>
        <v>198559.83701328599</v>
      </c>
      <c r="AC23" s="33">
        <f t="shared" si="6"/>
        <v>198328.4211756493</v>
      </c>
      <c r="AD23" s="33">
        <f t="shared" si="6"/>
        <v>198095.84825882444</v>
      </c>
      <c r="AE23" s="33">
        <f t="shared" si="6"/>
        <v>197862.11247741545</v>
      </c>
      <c r="AF23" s="33">
        <f t="shared" si="6"/>
        <v>197627.20801709942</v>
      </c>
      <c r="AG23" s="33">
        <f t="shared" si="6"/>
        <v>197391.1290344818</v>
      </c>
      <c r="AH23" s="33">
        <f t="shared" si="6"/>
        <v>197153.86965695111</v>
      </c>
      <c r="AI23" s="33">
        <f t="shared" si="6"/>
        <v>196915.42398253275</v>
      </c>
      <c r="AJ23" s="33">
        <f t="shared" si="6"/>
        <v>196675.78607974231</v>
      </c>
      <c r="AK23" s="33">
        <f t="shared" si="6"/>
        <v>196434.94998743793</v>
      </c>
      <c r="AL23" s="33">
        <f t="shared" si="6"/>
        <v>196192.90971467202</v>
      </c>
      <c r="AM23" s="33">
        <f t="shared" si="6"/>
        <v>195949.65924054227</v>
      </c>
      <c r="AN23" s="33">
        <f t="shared" si="6"/>
        <v>195705.19251404188</v>
      </c>
      <c r="AO23" s="33">
        <f t="shared" si="6"/>
        <v>195459.50345390898</v>
      </c>
      <c r="AP23" s="33">
        <f t="shared" si="6"/>
        <v>195212.58594847543</v>
      </c>
      <c r="AQ23" s="33">
        <f t="shared" si="6"/>
        <v>194964.43385551471</v>
      </c>
      <c r="AR23" s="33">
        <f t="shared" si="6"/>
        <v>194715.04100208919</v>
      </c>
      <c r="AS23" s="33">
        <f t="shared" si="6"/>
        <v>194464.40118439653</v>
      </c>
      <c r="AT23" s="33">
        <f t="shared" si="6"/>
        <v>194212.50816761539</v>
      </c>
      <c r="AU23" s="33">
        <f t="shared" si="6"/>
        <v>193959.35568575037</v>
      </c>
      <c r="AV23" s="33">
        <f t="shared" si="6"/>
        <v>193704.93744147601</v>
      </c>
      <c r="AW23" s="33">
        <f t="shared" si="6"/>
        <v>193449.24710598029</v>
      </c>
      <c r="AX23" s="33">
        <f t="shared" si="6"/>
        <v>193192.2783188071</v>
      </c>
      <c r="AY23" s="33">
        <f t="shared" si="6"/>
        <v>192934.02468769802</v>
      </c>
      <c r="AZ23" s="33">
        <f t="shared" si="6"/>
        <v>192674.47978843341</v>
      </c>
      <c r="BA23" s="33">
        <f t="shared" si="6"/>
        <v>192413.63716467249</v>
      </c>
      <c r="BB23" s="33">
        <f t="shared" si="6"/>
        <v>192151.49032779274</v>
      </c>
      <c r="BC23" s="33">
        <f t="shared" si="6"/>
        <v>191888.03275672859</v>
      </c>
      <c r="BD23" s="33">
        <f t="shared" si="6"/>
        <v>191623.25789780912</v>
      </c>
      <c r="BE23" s="33">
        <f t="shared" si="6"/>
        <v>191357.15916459507</v>
      </c>
      <c r="BF23" s="33">
        <f t="shared" si="6"/>
        <v>191089.72993771493</v>
      </c>
      <c r="BG23" s="33">
        <f t="shared" si="6"/>
        <v>190820.96356470042</v>
      </c>
      <c r="BH23" s="33">
        <f t="shared" si="6"/>
        <v>190550.85335982082</v>
      </c>
      <c r="BI23" s="33">
        <f t="shared" si="6"/>
        <v>190279.39260391681</v>
      </c>
      <c r="BJ23" s="33">
        <f t="shared" si="6"/>
        <v>190006.5745442333</v>
      </c>
      <c r="BK23" s="33">
        <f t="shared" si="6"/>
        <v>189732.39239425136</v>
      </c>
      <c r="BL23" s="33">
        <f t="shared" si="6"/>
        <v>189456.83933351951</v>
      </c>
      <c r="BM23" s="33">
        <f t="shared" si="6"/>
        <v>189179.90850748401</v>
      </c>
      <c r="BN23" s="33">
        <f t="shared" si="6"/>
        <v>188901.59302731833</v>
      </c>
      <c r="BO23" s="33">
        <f t="shared" ref="BO23:DZ23" si="7">BN23-BO27</f>
        <v>188621.88596975183</v>
      </c>
      <c r="BP23" s="33">
        <f t="shared" si="7"/>
        <v>188340.78037689748</v>
      </c>
      <c r="BQ23" s="33">
        <f t="shared" si="7"/>
        <v>188058.26925607887</v>
      </c>
      <c r="BR23" s="33">
        <f t="shared" si="7"/>
        <v>187774.34557965616</v>
      </c>
      <c r="BS23" s="33">
        <f t="shared" si="7"/>
        <v>187489.00228485133</v>
      </c>
      <c r="BT23" s="33">
        <f t="shared" si="7"/>
        <v>187202.23227357247</v>
      </c>
      <c r="BU23" s="33">
        <f t="shared" si="7"/>
        <v>186914.02841223724</v>
      </c>
      <c r="BV23" s="33">
        <f t="shared" si="7"/>
        <v>186624.38353159532</v>
      </c>
      <c r="BW23" s="33">
        <f t="shared" si="7"/>
        <v>186333.2904265502</v>
      </c>
      <c r="BX23" s="33">
        <f t="shared" si="7"/>
        <v>186040.74185597984</v>
      </c>
      <c r="BY23" s="33">
        <f t="shared" si="7"/>
        <v>185746.73054255664</v>
      </c>
      <c r="BZ23" s="33">
        <f t="shared" si="7"/>
        <v>185451.24917256631</v>
      </c>
      <c r="CA23" s="33">
        <f t="shared" si="7"/>
        <v>185154.29039572604</v>
      </c>
      <c r="CB23" s="33">
        <f t="shared" si="7"/>
        <v>184855.84682500156</v>
      </c>
      <c r="CC23" s="33">
        <f t="shared" si="7"/>
        <v>184555.91103642347</v>
      </c>
      <c r="CD23" s="33">
        <f t="shared" si="7"/>
        <v>184254.47556890248</v>
      </c>
      <c r="CE23" s="33">
        <f t="shared" si="7"/>
        <v>183951.53292404389</v>
      </c>
      <c r="CF23" s="33">
        <f t="shared" si="7"/>
        <v>183647.07556596101</v>
      </c>
      <c r="CG23" s="33">
        <f t="shared" si="7"/>
        <v>183341.09592108772</v>
      </c>
      <c r="CH23" s="33">
        <f t="shared" si="7"/>
        <v>183033.58637799005</v>
      </c>
      <c r="CI23" s="33">
        <f t="shared" si="7"/>
        <v>182724.53928717691</v>
      </c>
      <c r="CJ23" s="33">
        <f t="shared" si="7"/>
        <v>182413.9469609097</v>
      </c>
      <c r="CK23" s="33">
        <f t="shared" si="7"/>
        <v>182101.80167301116</v>
      </c>
      <c r="CL23" s="33">
        <f t="shared" si="7"/>
        <v>181788.09565867312</v>
      </c>
      <c r="CM23" s="33">
        <f t="shared" si="7"/>
        <v>181472.82111426338</v>
      </c>
      <c r="CN23" s="33">
        <f t="shared" si="7"/>
        <v>181155.9701971316</v>
      </c>
      <c r="CO23" s="33">
        <f t="shared" si="7"/>
        <v>180837.53502541414</v>
      </c>
      <c r="CP23" s="33">
        <f t="shared" si="7"/>
        <v>180517.50767783812</v>
      </c>
      <c r="CQ23" s="33">
        <f t="shared" si="7"/>
        <v>180195.88019352421</v>
      </c>
      <c r="CR23" s="33">
        <f t="shared" si="7"/>
        <v>179872.64457178873</v>
      </c>
      <c r="CS23" s="33">
        <f t="shared" si="7"/>
        <v>179547.79277194457</v>
      </c>
      <c r="CT23" s="33">
        <f t="shared" si="7"/>
        <v>179221.3167131012</v>
      </c>
      <c r="CU23" s="33">
        <f t="shared" si="7"/>
        <v>178893.2082739636</v>
      </c>
      <c r="CV23" s="33">
        <f t="shared" si="7"/>
        <v>178563.45929263032</v>
      </c>
      <c r="CW23" s="33">
        <f t="shared" si="7"/>
        <v>178232.06156639036</v>
      </c>
      <c r="CX23" s="33">
        <f t="shared" si="7"/>
        <v>177899.0068515192</v>
      </c>
      <c r="CY23" s="33">
        <f t="shared" si="7"/>
        <v>177564.28686307368</v>
      </c>
      <c r="CZ23" s="33">
        <f t="shared" si="7"/>
        <v>177227.89327468595</v>
      </c>
      <c r="DA23" s="33">
        <f t="shared" si="7"/>
        <v>176889.81771835627</v>
      </c>
      <c r="DB23" s="33">
        <f t="shared" si="7"/>
        <v>176550.05178424495</v>
      </c>
      <c r="DC23" s="33">
        <f t="shared" si="7"/>
        <v>176208.58702046308</v>
      </c>
      <c r="DD23" s="33">
        <f t="shared" si="7"/>
        <v>175865.4149328623</v>
      </c>
      <c r="DE23" s="33">
        <f t="shared" si="7"/>
        <v>175520.52698482352</v>
      </c>
      <c r="DF23" s="33">
        <f t="shared" si="7"/>
        <v>175173.91459704452</v>
      </c>
      <c r="DG23" s="33">
        <f t="shared" si="7"/>
        <v>174825.56914732663</v>
      </c>
      <c r="DH23" s="33">
        <f t="shared" si="7"/>
        <v>174475.48197036015</v>
      </c>
      <c r="DI23" s="33">
        <f t="shared" si="7"/>
        <v>174123.64435750886</v>
      </c>
      <c r="DJ23" s="33">
        <f t="shared" si="7"/>
        <v>173770.04755659332</v>
      </c>
      <c r="DK23" s="33">
        <f t="shared" si="7"/>
        <v>173414.68277167319</v>
      </c>
      <c r="DL23" s="33">
        <f t="shared" si="7"/>
        <v>173057.54116282845</v>
      </c>
      <c r="DM23" s="33">
        <f t="shared" si="7"/>
        <v>172698.61384593949</v>
      </c>
      <c r="DN23" s="33">
        <f t="shared" si="7"/>
        <v>172337.89189246608</v>
      </c>
      <c r="DO23" s="33">
        <f t="shared" si="7"/>
        <v>171975.3663292253</v>
      </c>
      <c r="DP23" s="33">
        <f t="shared" si="7"/>
        <v>171611.02813816833</v>
      </c>
      <c r="DQ23" s="33">
        <f t="shared" si="7"/>
        <v>171244.86825615607</v>
      </c>
      <c r="DR23" s="33">
        <f t="shared" si="7"/>
        <v>170876.87757473375</v>
      </c>
      <c r="DS23" s="33">
        <f t="shared" si="7"/>
        <v>170507.04693990431</v>
      </c>
      <c r="DT23" s="33">
        <f t="shared" si="7"/>
        <v>170135.36715190072</v>
      </c>
      <c r="DU23" s="33">
        <f t="shared" si="7"/>
        <v>169761.82896495712</v>
      </c>
      <c r="DV23" s="33">
        <f t="shared" si="7"/>
        <v>169386.42308707882</v>
      </c>
      <c r="DW23" s="33">
        <f t="shared" si="7"/>
        <v>169009.1401798111</v>
      </c>
      <c r="DX23" s="33">
        <f t="shared" si="7"/>
        <v>168629.97085800706</v>
      </c>
      <c r="DY23" s="33">
        <f t="shared" si="7"/>
        <v>168248.90568959399</v>
      </c>
      <c r="DZ23" s="33">
        <f t="shared" si="7"/>
        <v>167865.93519533885</v>
      </c>
      <c r="EA23" s="33">
        <f t="shared" ref="EA23:GL23" si="8">DZ23-EA27</f>
        <v>167481.04984861246</v>
      </c>
      <c r="EB23" s="33">
        <f t="shared" si="8"/>
        <v>167094.24007515243</v>
      </c>
      <c r="EC23" s="33">
        <f t="shared" si="8"/>
        <v>166705.49625282508</v>
      </c>
      <c r="ED23" s="33">
        <f t="shared" si="8"/>
        <v>166314.80871138611</v>
      </c>
      <c r="EE23" s="33">
        <f t="shared" si="8"/>
        <v>165922.16773223993</v>
      </c>
      <c r="EF23" s="33">
        <f t="shared" si="8"/>
        <v>165527.56354819803</v>
      </c>
      <c r="EG23" s="33">
        <f t="shared" si="8"/>
        <v>165130.98634323591</v>
      </c>
      <c r="EH23" s="33">
        <f t="shared" si="8"/>
        <v>164732.42625224899</v>
      </c>
      <c r="EI23" s="33">
        <f t="shared" si="8"/>
        <v>164331.87336080713</v>
      </c>
      <c r="EJ23" s="33">
        <f t="shared" si="8"/>
        <v>163929.31770490806</v>
      </c>
      <c r="EK23" s="33">
        <f t="shared" si="8"/>
        <v>163524.74927072949</v>
      </c>
      <c r="EL23" s="33">
        <f t="shared" si="8"/>
        <v>163118.15799438005</v>
      </c>
      <c r="EM23" s="33">
        <f t="shared" si="8"/>
        <v>162709.53376164884</v>
      </c>
      <c r="EN23" s="33">
        <f t="shared" si="8"/>
        <v>162298.86640775399</v>
      </c>
      <c r="EO23" s="33">
        <f t="shared" si="8"/>
        <v>161886.14571708965</v>
      </c>
      <c r="EP23" s="33">
        <f t="shared" si="8"/>
        <v>161471.361422972</v>
      </c>
      <c r="EQ23" s="33">
        <f t="shared" si="8"/>
        <v>161054.50320738376</v>
      </c>
      <c r="ER23" s="33">
        <f t="shared" si="8"/>
        <v>160635.56070071759</v>
      </c>
      <c r="ES23" s="33">
        <f t="shared" si="8"/>
        <v>160214.52348151806</v>
      </c>
      <c r="ET23" s="33">
        <f t="shared" si="8"/>
        <v>159791.38107622255</v>
      </c>
      <c r="EU23" s="33">
        <f t="shared" si="8"/>
        <v>159366.12295890055</v>
      </c>
      <c r="EV23" s="33">
        <f t="shared" si="8"/>
        <v>158938.73855099195</v>
      </c>
      <c r="EW23" s="33">
        <f t="shared" si="8"/>
        <v>158509.2172210438</v>
      </c>
      <c r="EX23" s="33">
        <f t="shared" si="8"/>
        <v>158077.54828444592</v>
      </c>
      <c r="EY23" s="33">
        <f t="shared" si="8"/>
        <v>157643.72100316503</v>
      </c>
      <c r="EZ23" s="33">
        <f t="shared" si="8"/>
        <v>157207.72458547776</v>
      </c>
      <c r="FA23" s="33">
        <f t="shared" si="8"/>
        <v>156769.54818570203</v>
      </c>
      <c r="FB23" s="33">
        <f t="shared" si="8"/>
        <v>156329.18090392745</v>
      </c>
      <c r="FC23" s="33">
        <f t="shared" si="8"/>
        <v>155886.611785744</v>
      </c>
      <c r="FD23" s="33">
        <f t="shared" si="8"/>
        <v>155441.82982196962</v>
      </c>
      <c r="FE23" s="33">
        <f t="shared" si="8"/>
        <v>154994.82394837635</v>
      </c>
      <c r="FF23" s="33">
        <f t="shared" si="8"/>
        <v>154545.58304541511</v>
      </c>
      <c r="FG23" s="33">
        <f t="shared" si="8"/>
        <v>154094.0959379391</v>
      </c>
      <c r="FH23" s="33">
        <f t="shared" si="8"/>
        <v>153640.3513949257</v>
      </c>
      <c r="FI23" s="33">
        <f t="shared" si="8"/>
        <v>153184.33812919722</v>
      </c>
      <c r="FJ23" s="33">
        <f t="shared" si="8"/>
        <v>152726.04479714012</v>
      </c>
      <c r="FK23" s="33">
        <f t="shared" si="8"/>
        <v>152265.45999842271</v>
      </c>
      <c r="FL23" s="33">
        <f t="shared" si="8"/>
        <v>151802.57227571172</v>
      </c>
      <c r="FM23" s="33">
        <f t="shared" si="8"/>
        <v>151337.37011438719</v>
      </c>
      <c r="FN23" s="33">
        <f t="shared" si="8"/>
        <v>150869.84194225603</v>
      </c>
      <c r="FO23" s="33">
        <f t="shared" si="8"/>
        <v>150399.97612926419</v>
      </c>
      <c r="FP23" s="33">
        <f t="shared" si="8"/>
        <v>149927.76098720741</v>
      </c>
      <c r="FQ23" s="33">
        <f t="shared" si="8"/>
        <v>149453.18476944036</v>
      </c>
      <c r="FR23" s="33">
        <f t="shared" si="8"/>
        <v>148976.23567058446</v>
      </c>
      <c r="FS23" s="33">
        <f t="shared" si="8"/>
        <v>148496.90182623427</v>
      </c>
      <c r="FT23" s="33">
        <f t="shared" si="8"/>
        <v>148015.17131266234</v>
      </c>
      <c r="FU23" s="33">
        <f t="shared" si="8"/>
        <v>147531.03214652254</v>
      </c>
      <c r="FV23" s="33">
        <f t="shared" si="8"/>
        <v>147044.47228455206</v>
      </c>
      <c r="FW23" s="33">
        <f t="shared" si="8"/>
        <v>146555.47962327171</v>
      </c>
      <c r="FX23" s="33">
        <f t="shared" si="8"/>
        <v>146064.04199868496</v>
      </c>
      <c r="FY23" s="33">
        <f t="shared" si="8"/>
        <v>145570.14718597528</v>
      </c>
      <c r="FZ23" s="33">
        <f t="shared" si="8"/>
        <v>145073.78289920205</v>
      </c>
      <c r="GA23" s="33">
        <f t="shared" si="8"/>
        <v>144574.93679099495</v>
      </c>
      <c r="GB23" s="33">
        <f t="shared" si="8"/>
        <v>144073.59645224683</v>
      </c>
      <c r="GC23" s="33">
        <f t="shared" si="8"/>
        <v>143569.74941180495</v>
      </c>
      <c r="GD23" s="33">
        <f t="shared" si="8"/>
        <v>143063.38313616088</v>
      </c>
      <c r="GE23" s="33">
        <f t="shared" si="8"/>
        <v>142554.48502913857</v>
      </c>
      <c r="GF23" s="33">
        <f t="shared" si="8"/>
        <v>142043.04243158115</v>
      </c>
      <c r="GG23" s="33">
        <f t="shared" si="8"/>
        <v>141529.04262103594</v>
      </c>
      <c r="GH23" s="33">
        <f t="shared" si="8"/>
        <v>141012.47281143803</v>
      </c>
      <c r="GI23" s="33">
        <f t="shared" si="8"/>
        <v>140493.32015279212</v>
      </c>
      <c r="GJ23" s="33">
        <f t="shared" si="8"/>
        <v>139971.57173085297</v>
      </c>
      <c r="GK23" s="33">
        <f t="shared" si="8"/>
        <v>139447.21456680412</v>
      </c>
      <c r="GL23" s="33">
        <f t="shared" si="8"/>
        <v>138920.23561693504</v>
      </c>
      <c r="GM23" s="33">
        <f t="shared" ref="GM23:IX23" si="9">GL23-GM27</f>
        <v>138390.6217723166</v>
      </c>
      <c r="GN23" s="33">
        <f t="shared" si="9"/>
        <v>137858.35985847507</v>
      </c>
      <c r="GO23" s="33">
        <f t="shared" si="9"/>
        <v>137323.43663506434</v>
      </c>
      <c r="GP23" s="33">
        <f t="shared" si="9"/>
        <v>136785.83879553655</v>
      </c>
      <c r="GQ23" s="33">
        <f t="shared" si="9"/>
        <v>136245.55296681111</v>
      </c>
      <c r="GR23" s="33">
        <f t="shared" si="9"/>
        <v>135702.56570894207</v>
      </c>
      <c r="GS23" s="33">
        <f t="shared" si="9"/>
        <v>135156.86351478368</v>
      </c>
      <c r="GT23" s="33">
        <f t="shared" si="9"/>
        <v>134608.43280965448</v>
      </c>
      <c r="GU23" s="33">
        <f t="shared" si="9"/>
        <v>134057.25995099964</v>
      </c>
      <c r="GV23" s="33">
        <f t="shared" si="9"/>
        <v>133503.33122805154</v>
      </c>
      <c r="GW23" s="33">
        <f t="shared" si="9"/>
        <v>132946.6328614887</v>
      </c>
      <c r="GX23" s="33">
        <f t="shared" si="9"/>
        <v>132387.15100309305</v>
      </c>
      <c r="GY23" s="33">
        <f t="shared" si="9"/>
        <v>131824.87173540541</v>
      </c>
      <c r="GZ23" s="33">
        <f t="shared" si="9"/>
        <v>131259.78107137934</v>
      </c>
      <c r="HA23" s="33">
        <f t="shared" si="9"/>
        <v>130691.86495403314</v>
      </c>
      <c r="HB23" s="33">
        <f t="shared" si="9"/>
        <v>130121.1092561002</v>
      </c>
      <c r="HC23" s="33">
        <f t="shared" si="9"/>
        <v>129547.4997796776</v>
      </c>
      <c r="HD23" s="33">
        <f t="shared" si="9"/>
        <v>128971.02225587289</v>
      </c>
      <c r="HE23" s="33">
        <f t="shared" si="9"/>
        <v>128391.66234444914</v>
      </c>
      <c r="HF23" s="33">
        <f t="shared" si="9"/>
        <v>127809.40563346828</v>
      </c>
      <c r="HG23" s="33">
        <f t="shared" si="9"/>
        <v>127224.23763893252</v>
      </c>
      <c r="HH23" s="33">
        <f t="shared" si="9"/>
        <v>126636.14380442408</v>
      </c>
      <c r="HI23" s="33">
        <f t="shared" si="9"/>
        <v>126045.1095007431</v>
      </c>
      <c r="HJ23" s="33">
        <f t="shared" si="9"/>
        <v>125451.12002554371</v>
      </c>
      <c r="HK23" s="33">
        <f t="shared" si="9"/>
        <v>124854.16060296833</v>
      </c>
      <c r="HL23" s="33">
        <f t="shared" si="9"/>
        <v>124254.21638328007</v>
      </c>
      <c r="HM23" s="33">
        <f t="shared" si="9"/>
        <v>123651.27244249337</v>
      </c>
      <c r="HN23" s="33">
        <f t="shared" si="9"/>
        <v>123045.31378200273</v>
      </c>
      <c r="HO23" s="33">
        <f t="shared" si="9"/>
        <v>122436.32532820964</v>
      </c>
      <c r="HP23" s="33">
        <f t="shared" si="9"/>
        <v>121824.29193214759</v>
      </c>
      <c r="HQ23" s="33">
        <f t="shared" si="9"/>
        <v>121209.19836910523</v>
      </c>
      <c r="HR23" s="33">
        <f t="shared" si="9"/>
        <v>120591.02933824765</v>
      </c>
      <c r="HS23" s="33">
        <f t="shared" si="9"/>
        <v>119969.76946223578</v>
      </c>
      <c r="HT23" s="33">
        <f t="shared" si="9"/>
        <v>119345.40328684385</v>
      </c>
      <c r="HU23" s="33">
        <f t="shared" si="9"/>
        <v>118717.91528057496</v>
      </c>
      <c r="HV23" s="33">
        <f t="shared" si="9"/>
        <v>118087.28983427474</v>
      </c>
      <c r="HW23" s="33">
        <f t="shared" si="9"/>
        <v>117453.51126074301</v>
      </c>
      <c r="HX23" s="33">
        <f t="shared" si="9"/>
        <v>116816.56379434362</v>
      </c>
      <c r="HY23" s="33">
        <f t="shared" si="9"/>
        <v>116176.43159061224</v>
      </c>
      <c r="HZ23" s="33">
        <f t="shared" si="9"/>
        <v>115533.09872586219</v>
      </c>
      <c r="IA23" s="33">
        <f t="shared" si="9"/>
        <v>114886.5491967884</v>
      </c>
      <c r="IB23" s="33">
        <f t="shared" si="9"/>
        <v>114236.76692006923</v>
      </c>
      <c r="IC23" s="33">
        <f t="shared" si="9"/>
        <v>113583.73573196647</v>
      </c>
      <c r="ID23" s="33">
        <f t="shared" si="9"/>
        <v>112927.43938792321</v>
      </c>
      <c r="IE23" s="33">
        <f t="shared" si="9"/>
        <v>112267.86156215973</v>
      </c>
      <c r="IF23" s="33">
        <f t="shared" si="9"/>
        <v>111604.98584726742</v>
      </c>
      <c r="IG23" s="33">
        <f t="shared" si="9"/>
        <v>110938.79575380066</v>
      </c>
      <c r="IH23" s="33">
        <f t="shared" si="9"/>
        <v>110269.27470986656</v>
      </c>
      <c r="II23" s="33">
        <f t="shared" si="9"/>
        <v>109596.40606071279</v>
      </c>
      <c r="IJ23" s="33">
        <f t="shared" si="9"/>
        <v>108920.17306831325</v>
      </c>
      <c r="IK23" s="33">
        <f t="shared" si="9"/>
        <v>108240.55891095172</v>
      </c>
      <c r="IL23" s="33">
        <f t="shared" si="9"/>
        <v>107557.54668280337</v>
      </c>
      <c r="IM23" s="33">
        <f t="shared" si="9"/>
        <v>106871.11939351428</v>
      </c>
      <c r="IN23" s="33">
        <f t="shared" si="9"/>
        <v>106181.25996777875</v>
      </c>
      <c r="IO23" s="33">
        <f t="shared" si="9"/>
        <v>105487.95124491454</v>
      </c>
      <c r="IP23" s="33">
        <f t="shared" si="9"/>
        <v>104791.175978436</v>
      </c>
      <c r="IQ23" s="33">
        <f t="shared" si="9"/>
        <v>104090.91683562507</v>
      </c>
      <c r="IR23" s="33">
        <f t="shared" si="9"/>
        <v>103387.1563971001</v>
      </c>
      <c r="IS23" s="33">
        <f t="shared" si="9"/>
        <v>102679.8771563825</v>
      </c>
      <c r="IT23" s="33">
        <f t="shared" si="9"/>
        <v>101969.06151946131</v>
      </c>
      <c r="IU23" s="33">
        <f t="shared" si="9"/>
        <v>101254.69180435551</v>
      </c>
      <c r="IV23" s="33">
        <f t="shared" si="9"/>
        <v>100536.75024067418</v>
      </c>
      <c r="IW23" s="33">
        <f t="shared" si="9"/>
        <v>99815.218969174457</v>
      </c>
      <c r="IX23" s="33">
        <f t="shared" si="9"/>
        <v>99090.080041317226</v>
      </c>
      <c r="IY23" s="33">
        <f t="shared" ref="IY23:LJ23" si="10">IX23-IY27</f>
        <v>98361.315418820712</v>
      </c>
      <c r="IZ23" s="33">
        <f t="shared" si="10"/>
        <v>97628.906973211706</v>
      </c>
      <c r="JA23" s="33">
        <f t="shared" si="10"/>
        <v>96892.836485374661</v>
      </c>
      <c r="JB23" s="33">
        <f t="shared" si="10"/>
        <v>96153.085645098428</v>
      </c>
      <c r="JC23" s="33">
        <f t="shared" si="10"/>
        <v>95409.636050620815</v>
      </c>
      <c r="JD23" s="33">
        <f t="shared" si="10"/>
        <v>94662.46920817082</v>
      </c>
      <c r="JE23" s="33">
        <f t="shared" si="10"/>
        <v>93911.566531508564</v>
      </c>
      <c r="JF23" s="33">
        <f t="shared" si="10"/>
        <v>93156.909341463004</v>
      </c>
      <c r="JG23" s="33">
        <f t="shared" si="10"/>
        <v>92398.478865467216</v>
      </c>
      <c r="JH23" s="33">
        <f t="shared" si="10"/>
        <v>91636.256237091453</v>
      </c>
      <c r="JI23" s="33">
        <f t="shared" si="10"/>
        <v>90870.222495573806</v>
      </c>
      <c r="JJ23" s="33">
        <f t="shared" si="10"/>
        <v>90100.358585348571</v>
      </c>
      <c r="JK23" s="33">
        <f t="shared" si="10"/>
        <v>89326.645355572211</v>
      </c>
      <c r="JL23" s="33">
        <f t="shared" si="10"/>
        <v>88549.063559646966</v>
      </c>
      <c r="JM23" s="33">
        <f t="shared" si="10"/>
        <v>87767.593854742096</v>
      </c>
      <c r="JN23" s="33">
        <f t="shared" si="10"/>
        <v>86982.216801312708</v>
      </c>
      <c r="JO23" s="33">
        <f t="shared" si="10"/>
        <v>86192.912862616169</v>
      </c>
      <c r="JP23" s="33">
        <f t="shared" si="10"/>
        <v>85399.662404226154</v>
      </c>
      <c r="JQ23" s="33">
        <f t="shared" si="10"/>
        <v>84602.445693544185</v>
      </c>
      <c r="JR23" s="33">
        <f t="shared" si="10"/>
        <v>83801.242899308796</v>
      </c>
      <c r="JS23" s="33">
        <f t="shared" si="10"/>
        <v>82996.034091102236</v>
      </c>
      <c r="JT23" s="33">
        <f t="shared" si="10"/>
        <v>82186.799238854641</v>
      </c>
      <c r="JU23" s="33">
        <f t="shared" si="10"/>
        <v>81373.518212345807</v>
      </c>
      <c r="JV23" s="33">
        <f t="shared" si="10"/>
        <v>80556.170780704429</v>
      </c>
      <c r="JW23" s="33">
        <f t="shared" si="10"/>
        <v>79734.736611904853</v>
      </c>
      <c r="JX23" s="33">
        <f t="shared" si="10"/>
        <v>78909.195272261277</v>
      </c>
      <c r="JY23" s="33">
        <f t="shared" si="10"/>
        <v>78079.526225919486</v>
      </c>
      <c r="JZ23" s="33">
        <f t="shared" si="10"/>
        <v>77245.708834345976</v>
      </c>
      <c r="KA23" s="33">
        <f t="shared" si="10"/>
        <v>76407.722355814607</v>
      </c>
      <c r="KB23" s="33">
        <f t="shared" si="10"/>
        <v>75565.545944890575</v>
      </c>
      <c r="KC23" s="33">
        <f t="shared" si="10"/>
        <v>74719.15865191193</v>
      </c>
      <c r="KD23" s="33">
        <f t="shared" si="10"/>
        <v>73868.539422468384</v>
      </c>
      <c r="KE23" s="33">
        <f t="shared" si="10"/>
        <v>73013.667096877616</v>
      </c>
      <c r="KF23" s="33">
        <f t="shared" si="10"/>
        <v>72154.5204096589</v>
      </c>
      <c r="KG23" s="33">
        <f t="shared" si="10"/>
        <v>71291.077989004087</v>
      </c>
      <c r="KH23" s="33">
        <f t="shared" si="10"/>
        <v>70423.318356246004</v>
      </c>
      <c r="KI23" s="33">
        <f t="shared" si="10"/>
        <v>69551.219925324127</v>
      </c>
      <c r="KJ23" s="33">
        <f t="shared" si="10"/>
        <v>68674.761002247644</v>
      </c>
      <c r="KK23" s="33">
        <f t="shared" si="10"/>
        <v>67793.919784555779</v>
      </c>
      <c r="KL23" s="33">
        <f t="shared" si="10"/>
        <v>66908.674360775462</v>
      </c>
      <c r="KM23" s="33">
        <f t="shared" si="10"/>
        <v>66019.002709876237</v>
      </c>
      <c r="KN23" s="33">
        <f t="shared" si="10"/>
        <v>65124.882700722512</v>
      </c>
      <c r="KO23" s="33">
        <f t="shared" si="10"/>
        <v>64226.292091523021</v>
      </c>
      <c r="KP23" s="33">
        <f t="shared" si="10"/>
        <v>63323.20852927753</v>
      </c>
      <c r="KQ23" s="33">
        <f t="shared" si="10"/>
        <v>62415.609549220811</v>
      </c>
      <c r="KR23" s="33">
        <f t="shared" si="10"/>
        <v>61503.472574263811</v>
      </c>
      <c r="KS23" s="33">
        <f t="shared" si="10"/>
        <v>60586.774914432026</v>
      </c>
      <c r="KT23" s="33">
        <f t="shared" si="10"/>
        <v>59665.493766301086</v>
      </c>
      <c r="KU23" s="33">
        <f t="shared" si="10"/>
        <v>58739.606212429491</v>
      </c>
      <c r="KV23" s="33">
        <f t="shared" si="10"/>
        <v>57809.089220788534</v>
      </c>
      <c r="KW23" s="33">
        <f t="shared" si="10"/>
        <v>56873.919644189373</v>
      </c>
      <c r="KX23" s="33">
        <f t="shared" si="10"/>
        <v>55934.074219707218</v>
      </c>
      <c r="KY23" s="33">
        <f t="shared" si="10"/>
        <v>54989.529568102647</v>
      </c>
      <c r="KZ23" s="33">
        <f t="shared" si="10"/>
        <v>54040.262193240058</v>
      </c>
      <c r="LA23" s="33">
        <f t="shared" si="10"/>
        <v>53086.248481503157</v>
      </c>
      <c r="LB23" s="33">
        <f t="shared" si="10"/>
        <v>52127.464701207573</v>
      </c>
      <c r="LC23" s="33">
        <f t="shared" si="10"/>
        <v>51163.88700201051</v>
      </c>
      <c r="LD23" s="33">
        <f t="shared" si="10"/>
        <v>50195.491414317461</v>
      </c>
      <c r="LE23" s="33">
        <f t="shared" si="10"/>
        <v>49222.253848685948</v>
      </c>
      <c r="LF23" s="33">
        <f t="shared" si="10"/>
        <v>48244.150095226272</v>
      </c>
      <c r="LG23" s="33">
        <f t="shared" si="10"/>
        <v>47261.155822999302</v>
      </c>
      <c r="LH23" s="33">
        <f t="shared" si="10"/>
        <v>46273.246579411192</v>
      </c>
      <c r="LI23" s="33">
        <f t="shared" si="10"/>
        <v>45280.397789605144</v>
      </c>
      <c r="LJ23" s="33">
        <f t="shared" si="10"/>
        <v>44282.584755850068</v>
      </c>
      <c r="LK23" s="33">
        <f t="shared" ref="LK23:MX23" si="11">LJ23-LK27</f>
        <v>43279.782656926218</v>
      </c>
      <c r="LL23" s="33">
        <f t="shared" si="11"/>
        <v>42271.966547507749</v>
      </c>
      <c r="LM23" s="33">
        <f t="shared" si="11"/>
        <v>41259.111357542184</v>
      </c>
      <c r="LN23" s="33">
        <f t="shared" si="11"/>
        <v>40241.19189162679</v>
      </c>
      <c r="LO23" s="33">
        <f t="shared" si="11"/>
        <v>39218.182828381818</v>
      </c>
      <c r="LP23" s="33">
        <f t="shared" si="11"/>
        <v>38190.058719820627</v>
      </c>
      <c r="LQ23" s="33">
        <f t="shared" si="11"/>
        <v>37156.793990716629</v>
      </c>
      <c r="LR23" s="33">
        <f t="shared" si="11"/>
        <v>36118.362937967111</v>
      </c>
      <c r="LS23" s="33">
        <f t="shared" si="11"/>
        <v>35074.739729953842</v>
      </c>
      <c r="LT23" s="33">
        <f t="shared" si="11"/>
        <v>34025.898405900509</v>
      </c>
      <c r="LU23" s="33">
        <f t="shared" si="11"/>
        <v>32971.812875226911</v>
      </c>
      <c r="LV23" s="33">
        <f t="shared" si="11"/>
        <v>31912.456916899944</v>
      </c>
      <c r="LW23" s="33">
        <f t="shared" si="11"/>
        <v>30847.804178781342</v>
      </c>
      <c r="LX23" s="33">
        <f t="shared" si="11"/>
        <v>29777.828176972143</v>
      </c>
      <c r="LY23" s="33">
        <f t="shared" si="11"/>
        <v>28702.502295153899</v>
      </c>
      <c r="LZ23" s="33">
        <f t="shared" si="11"/>
        <v>27621.799783926566</v>
      </c>
      <c r="MA23" s="33">
        <f t="shared" si="11"/>
        <v>26535.693760143095</v>
      </c>
      <c r="MB23" s="33">
        <f t="shared" si="11"/>
        <v>25444.157206240707</v>
      </c>
      <c r="MC23" s="33">
        <f t="shared" si="11"/>
        <v>24347.162969568806</v>
      </c>
      <c r="MD23" s="33">
        <f t="shared" si="11"/>
        <v>23244.683761713546</v>
      </c>
      <c r="ME23" s="33">
        <f t="shared" si="11"/>
        <v>22136.692157819012</v>
      </c>
      <c r="MF23" s="33">
        <f t="shared" si="11"/>
        <v>21023.160595905003</v>
      </c>
      <c r="MG23" s="33">
        <f t="shared" si="11"/>
        <v>19904.061376181424</v>
      </c>
      <c r="MH23" s="33">
        <f t="shared" si="11"/>
        <v>18779.366660359228</v>
      </c>
      <c r="MI23" s="33">
        <f t="shared" si="11"/>
        <v>17649.048470957921</v>
      </c>
      <c r="MJ23" s="33">
        <f t="shared" si="11"/>
        <v>16513.078690609607</v>
      </c>
      <c r="MK23" s="33">
        <f t="shared" si="11"/>
        <v>15371.429061359551</v>
      </c>
      <c r="ML23" s="33">
        <f t="shared" si="11"/>
        <v>14224.071183963246</v>
      </c>
      <c r="MM23" s="33">
        <f t="shared" si="11"/>
        <v>13070.976517179959</v>
      </c>
      <c r="MN23" s="33">
        <f t="shared" si="11"/>
        <v>11912.116377062755</v>
      </c>
      <c r="MO23" s="33">
        <f t="shared" si="11"/>
        <v>10747.461936244967</v>
      </c>
      <c r="MP23" s="33">
        <f t="shared" si="11"/>
        <v>9576.9842232230876</v>
      </c>
      <c r="MQ23" s="33">
        <f t="shared" si="11"/>
        <v>8400.6541216361002</v>
      </c>
      <c r="MR23" s="33">
        <f t="shared" si="11"/>
        <v>7218.442369541177</v>
      </c>
      <c r="MS23" s="33">
        <f t="shared" si="11"/>
        <v>6030.3195586857801</v>
      </c>
      <c r="MT23" s="33">
        <f t="shared" si="11"/>
        <v>4836.2561337761053</v>
      </c>
      <c r="MU23" s="33">
        <f t="shared" si="11"/>
        <v>3636.2223917418828</v>
      </c>
      <c r="MV23" s="33">
        <f t="shared" si="11"/>
        <v>2430.188480997489</v>
      </c>
      <c r="MW23" s="33">
        <f t="shared" si="11"/>
        <v>1218.1244006993734</v>
      </c>
      <c r="MX23" s="55">
        <f t="shared" si="11"/>
        <v>-2.3283064365386963E-10</v>
      </c>
      <c r="MY23" s="1"/>
      <c r="MZ23" s="1"/>
      <c r="NA23" s="1"/>
      <c r="NB23" s="1"/>
      <c r="NC23" s="1"/>
      <c r="ND23" s="1"/>
      <c r="NE23" s="1"/>
      <c r="NF23" s="13">
        <v>0.11</v>
      </c>
      <c r="NG23" s="1">
        <f>Combine!A25</f>
        <v>48224</v>
      </c>
      <c r="NH23" s="14">
        <f>Combine!F25</f>
        <v>69430.475806403498</v>
      </c>
    </row>
    <row r="24" spans="1:372" ht="12.75" customHeight="1" x14ac:dyDescent="0.3">
      <c r="A24" s="34" t="s">
        <v>865</v>
      </c>
      <c r="B24" s="35">
        <f>B6</f>
        <v>51047.200000000004</v>
      </c>
      <c r="C24" s="36">
        <f t="shared" ref="C24:BN24" si="12">C22-C23</f>
        <v>52313.95435603644</v>
      </c>
      <c r="D24" s="36">
        <f t="shared" si="12"/>
        <v>53586.15624774195</v>
      </c>
      <c r="E24" s="36">
        <f t="shared" si="12"/>
        <v>54863.829220144398</v>
      </c>
      <c r="F24" s="36">
        <f t="shared" si="12"/>
        <v>56146.996920610807</v>
      </c>
      <c r="G24" s="36">
        <f t="shared" si="12"/>
        <v>57435.68309929478</v>
      </c>
      <c r="H24" s="36">
        <f t="shared" si="12"/>
        <v>58729.91160958627</v>
      </c>
      <c r="I24" s="36">
        <f t="shared" si="12"/>
        <v>60029.706408562924</v>
      </c>
      <c r="J24" s="36">
        <f t="shared" si="12"/>
        <v>61335.091557443724</v>
      </c>
      <c r="K24" s="36">
        <f t="shared" si="12"/>
        <v>62646.091222044488</v>
      </c>
      <c r="L24" s="36">
        <f t="shared" si="12"/>
        <v>63962.729673235386</v>
      </c>
      <c r="M24" s="36">
        <f t="shared" si="12"/>
        <v>65285.031287400518</v>
      </c>
      <c r="N24" s="36">
        <f t="shared" si="12"/>
        <v>66613.020546899323</v>
      </c>
      <c r="O24" s="36">
        <f t="shared" si="12"/>
        <v>67946.722040530498</v>
      </c>
      <c r="P24" s="36">
        <f t="shared" si="12"/>
        <v>69286.16046399725</v>
      </c>
      <c r="Q24" s="36">
        <f t="shared" si="12"/>
        <v>70631.360620375344</v>
      </c>
      <c r="R24" s="36">
        <f t="shared" si="12"/>
        <v>71982.347420582693</v>
      </c>
      <c r="S24" s="36">
        <f t="shared" si="12"/>
        <v>73339.145883851044</v>
      </c>
      <c r="T24" s="36">
        <f t="shared" si="12"/>
        <v>74701.781138200138</v>
      </c>
      <c r="U24" s="36">
        <f t="shared" si="12"/>
        <v>76070.278420913615</v>
      </c>
      <c r="V24" s="36">
        <f t="shared" si="12"/>
        <v>77444.663079016987</v>
      </c>
      <c r="W24" s="36">
        <f t="shared" si="12"/>
        <v>78824.960569757939</v>
      </c>
      <c r="X24" s="36">
        <f t="shared" si="12"/>
        <v>80211.196461088606</v>
      </c>
      <c r="Y24" s="36">
        <f t="shared" si="12"/>
        <v>81603.39643215001</v>
      </c>
      <c r="Z24" s="36">
        <f t="shared" si="12"/>
        <v>83001.586273758614</v>
      </c>
      <c r="AA24" s="36">
        <f t="shared" si="12"/>
        <v>84405.791888895037</v>
      </c>
      <c r="AB24" s="36">
        <f t="shared" si="12"/>
        <v>85816.039293194917</v>
      </c>
      <c r="AC24" s="36">
        <f t="shared" si="12"/>
        <v>87232.35461544196</v>
      </c>
      <c r="AD24" s="36">
        <f t="shared" si="12"/>
        <v>88654.764098063053</v>
      </c>
      <c r="AE24" s="36">
        <f t="shared" si="12"/>
        <v>90083.294097625738</v>
      </c>
      <c r="AF24" s="36">
        <f t="shared" si="12"/>
        <v>91517.971085337747</v>
      </c>
      <c r="AG24" s="36">
        <f t="shared" si="12"/>
        <v>92958.821647548844</v>
      </c>
      <c r="AH24" s="36">
        <f t="shared" si="12"/>
        <v>94405.872486254666</v>
      </c>
      <c r="AI24" s="36">
        <f t="shared" si="12"/>
        <v>95859.150419603044</v>
      </c>
      <c r="AJ24" s="36">
        <f t="shared" si="12"/>
        <v>97318.68238240236</v>
      </c>
      <c r="AK24" s="36">
        <f t="shared" si="12"/>
        <v>98784.495426632348</v>
      </c>
      <c r="AL24" s="36">
        <f t="shared" si="12"/>
        <v>100256.61672195687</v>
      </c>
      <c r="AM24" s="36">
        <f t="shared" si="12"/>
        <v>101735.07355623925</v>
      </c>
      <c r="AN24" s="36">
        <f t="shared" si="12"/>
        <v>103219.89333605955</v>
      </c>
      <c r="AO24" s="36">
        <f t="shared" si="12"/>
        <v>104711.10358723454</v>
      </c>
      <c r="AP24" s="36">
        <f t="shared" si="12"/>
        <v>106208.73195533952</v>
      </c>
      <c r="AQ24" s="36">
        <f t="shared" si="12"/>
        <v>107712.80620623278</v>
      </c>
      <c r="AR24" s="36">
        <f t="shared" si="12"/>
        <v>109223.35422658225</v>
      </c>
      <c r="AS24" s="36">
        <f t="shared" si="12"/>
        <v>110740.40402439435</v>
      </c>
      <c r="AT24" s="36">
        <f t="shared" si="12"/>
        <v>112263.98372954543</v>
      </c>
      <c r="AU24" s="36">
        <f t="shared" si="12"/>
        <v>113794.12159431528</v>
      </c>
      <c r="AV24" s="36">
        <f t="shared" si="12"/>
        <v>115330.84599392323</v>
      </c>
      <c r="AW24" s="36">
        <f t="shared" si="12"/>
        <v>116874.18542706646</v>
      </c>
      <c r="AX24" s="36">
        <f t="shared" si="12"/>
        <v>118424.16851646066</v>
      </c>
      <c r="AY24" s="36">
        <f t="shared" si="12"/>
        <v>119980.82400938336</v>
      </c>
      <c r="AZ24" s="36">
        <f t="shared" si="12"/>
        <v>121544.18077821913</v>
      </c>
      <c r="BA24" s="36">
        <f t="shared" si="12"/>
        <v>123114.26782100776</v>
      </c>
      <c r="BB24" s="36">
        <f t="shared" si="12"/>
        <v>124691.11426199452</v>
      </c>
      <c r="BC24" s="36">
        <f t="shared" si="12"/>
        <v>126274.74935218279</v>
      </c>
      <c r="BD24" s="36">
        <f t="shared" si="12"/>
        <v>127865.20246988939</v>
      </c>
      <c r="BE24" s="36">
        <f t="shared" si="12"/>
        <v>129462.50312130217</v>
      </c>
      <c r="BF24" s="36">
        <f t="shared" si="12"/>
        <v>131066.68094104022</v>
      </c>
      <c r="BG24" s="36">
        <f t="shared" si="12"/>
        <v>132677.7656927162</v>
      </c>
      <c r="BH24" s="36">
        <f t="shared" si="12"/>
        <v>134295.78726950168</v>
      </c>
      <c r="BI24" s="36">
        <f t="shared" si="12"/>
        <v>135920.77569469454</v>
      </c>
      <c r="BJ24" s="36">
        <f t="shared" si="12"/>
        <v>137552.76112228891</v>
      </c>
      <c r="BK24" s="36">
        <f t="shared" si="12"/>
        <v>139191.77383754804</v>
      </c>
      <c r="BL24" s="36">
        <f t="shared" si="12"/>
        <v>140837.84425757907</v>
      </c>
      <c r="BM24" s="36">
        <f t="shared" si="12"/>
        <v>142491.0029319108</v>
      </c>
      <c r="BN24" s="36">
        <f t="shared" si="12"/>
        <v>144151.28054307392</v>
      </c>
      <c r="BO24" s="36">
        <f t="shared" ref="BO24:DZ24" si="13">BO22-BO23</f>
        <v>145818.70790718371</v>
      </c>
      <c r="BP24" s="36">
        <f t="shared" si="13"/>
        <v>147493.31597452529</v>
      </c>
      <c r="BQ24" s="36">
        <f t="shared" si="13"/>
        <v>149175.13583014149</v>
      </c>
      <c r="BR24" s="36">
        <f t="shared" si="13"/>
        <v>150864.19869442345</v>
      </c>
      <c r="BS24" s="36">
        <f t="shared" si="13"/>
        <v>152560.53592370363</v>
      </c>
      <c r="BT24" s="36">
        <f t="shared" si="13"/>
        <v>154264.17901085148</v>
      </c>
      <c r="BU24" s="36">
        <f t="shared" si="13"/>
        <v>155975.15958587179</v>
      </c>
      <c r="BV24" s="36">
        <f t="shared" si="13"/>
        <v>157693.50941650584</v>
      </c>
      <c r="BW24" s="36">
        <f t="shared" si="13"/>
        <v>159419.26040883473</v>
      </c>
      <c r="BX24" s="36">
        <f t="shared" si="13"/>
        <v>161152.44460788585</v>
      </c>
      <c r="BY24" s="36">
        <f t="shared" si="13"/>
        <v>162893.0941982418</v>
      </c>
      <c r="BZ24" s="36">
        <f t="shared" si="13"/>
        <v>164641.24150465211</v>
      </c>
      <c r="CA24" s="36">
        <f t="shared" si="13"/>
        <v>166396.91899264744</v>
      </c>
      <c r="CB24" s="36">
        <f t="shared" si="13"/>
        <v>168160.15926915678</v>
      </c>
      <c r="CC24" s="36">
        <f t="shared" si="13"/>
        <v>169930.99508312717</v>
      </c>
      <c r="CD24" s="36">
        <f t="shared" si="13"/>
        <v>171709.45932614626</v>
      </c>
      <c r="CE24" s="36">
        <f t="shared" si="13"/>
        <v>173495.58503306756</v>
      </c>
      <c r="CF24" s="36">
        <f t="shared" si="13"/>
        <v>175289.40538263839</v>
      </c>
      <c r="CG24" s="36">
        <f t="shared" si="13"/>
        <v>177090.95369813085</v>
      </c>
      <c r="CH24" s="36">
        <f t="shared" si="13"/>
        <v>178900.26344797525</v>
      </c>
      <c r="CI24" s="36">
        <f t="shared" si="13"/>
        <v>180717.3682463966</v>
      </c>
      <c r="CJ24" s="36">
        <f t="shared" si="13"/>
        <v>182542.30185405369</v>
      </c>
      <c r="CK24" s="36">
        <f t="shared" si="13"/>
        <v>184375.09817868122</v>
      </c>
      <c r="CL24" s="36">
        <f t="shared" si="13"/>
        <v>186215.79127573463</v>
      </c>
      <c r="CM24" s="36">
        <f t="shared" si="13"/>
        <v>188064.41534903774</v>
      </c>
      <c r="CN24" s="36">
        <f t="shared" si="13"/>
        <v>189921.0047514333</v>
      </c>
      <c r="CO24" s="36">
        <f t="shared" si="13"/>
        <v>191785.59398543643</v>
      </c>
      <c r="CP24" s="36">
        <f t="shared" si="13"/>
        <v>193658.21770389096</v>
      </c>
      <c r="CQ24" s="36">
        <f t="shared" si="13"/>
        <v>195538.91071062876</v>
      </c>
      <c r="CR24" s="36">
        <f t="shared" si="13"/>
        <v>197427.70796113153</v>
      </c>
      <c r="CS24" s="36">
        <f t="shared" si="13"/>
        <v>199324.6445631962</v>
      </c>
      <c r="CT24" s="36">
        <f t="shared" si="13"/>
        <v>201229.75577760264</v>
      </c>
      <c r="CU24" s="36">
        <f t="shared" si="13"/>
        <v>203143.07701878482</v>
      </c>
      <c r="CV24" s="36">
        <f t="shared" si="13"/>
        <v>205064.64385550458</v>
      </c>
      <c r="CW24" s="36">
        <f t="shared" si="13"/>
        <v>206994.49201152843</v>
      </c>
      <c r="CX24" s="36">
        <f t="shared" si="13"/>
        <v>208932.6573663076</v>
      </c>
      <c r="CY24" s="36">
        <f t="shared" si="13"/>
        <v>210879.17595566073</v>
      </c>
      <c r="CZ24" s="36">
        <f t="shared" si="13"/>
        <v>212834.08397245983</v>
      </c>
      <c r="DA24" s="36">
        <f t="shared" si="13"/>
        <v>214797.4177673193</v>
      </c>
      <c r="DB24" s="36">
        <f t="shared" si="13"/>
        <v>216769.2138492876</v>
      </c>
      <c r="DC24" s="36">
        <f t="shared" si="13"/>
        <v>218749.50888654252</v>
      </c>
      <c r="DD24" s="36">
        <f t="shared" si="13"/>
        <v>220738.33970708915</v>
      </c>
      <c r="DE24" s="36">
        <f t="shared" si="13"/>
        <v>222735.74329946109</v>
      </c>
      <c r="DF24" s="36">
        <f t="shared" si="13"/>
        <v>224741.75681342458</v>
      </c>
      <c r="DG24" s="36">
        <f t="shared" si="13"/>
        <v>226756.41756068607</v>
      </c>
      <c r="DH24" s="36">
        <f t="shared" si="13"/>
        <v>228779.7630156026</v>
      </c>
      <c r="DI24" s="36">
        <f t="shared" si="13"/>
        <v>230811.8308158954</v>
      </c>
      <c r="DJ24" s="36">
        <f t="shared" si="13"/>
        <v>232852.65876336681</v>
      </c>
      <c r="DK24" s="36">
        <f t="shared" si="13"/>
        <v>234902.28482462012</v>
      </c>
      <c r="DL24" s="36">
        <f t="shared" si="13"/>
        <v>236960.74713178276</v>
      </c>
      <c r="DM24" s="36">
        <f t="shared" si="13"/>
        <v>239028.08398323259</v>
      </c>
      <c r="DN24" s="36">
        <f t="shared" si="13"/>
        <v>241104.33384432751</v>
      </c>
      <c r="DO24" s="36">
        <f t="shared" si="13"/>
        <v>243189.53534813825</v>
      </c>
      <c r="DP24" s="36">
        <f t="shared" si="13"/>
        <v>245283.72729618422</v>
      </c>
      <c r="DQ24" s="36">
        <f t="shared" si="13"/>
        <v>247386.94865917295</v>
      </c>
      <c r="DR24" s="36">
        <f t="shared" si="13"/>
        <v>249499.23857774248</v>
      </c>
      <c r="DS24" s="36">
        <f t="shared" si="13"/>
        <v>251620.63636320722</v>
      </c>
      <c r="DT24" s="36">
        <f t="shared" si="13"/>
        <v>253751.18149830709</v>
      </c>
      <c r="DU24" s="36">
        <f t="shared" si="13"/>
        <v>255890.91363795989</v>
      </c>
      <c r="DV24" s="36">
        <f t="shared" si="13"/>
        <v>258039.87261001699</v>
      </c>
      <c r="DW24" s="36">
        <f t="shared" si="13"/>
        <v>260198.09841602261</v>
      </c>
      <c r="DX24" s="36">
        <f t="shared" si="13"/>
        <v>262365.63123197597</v>
      </c>
      <c r="DY24" s="36">
        <f t="shared" si="13"/>
        <v>264542.51140909729</v>
      </c>
      <c r="DZ24" s="36">
        <f t="shared" si="13"/>
        <v>266728.77947459696</v>
      </c>
      <c r="EA24" s="36">
        <f t="shared" ref="EA24:GL24" si="14">EA22-EA23</f>
        <v>268924.47613244806</v>
      </c>
      <c r="EB24" s="36">
        <f t="shared" si="14"/>
        <v>271129.64226416248</v>
      </c>
      <c r="EC24" s="36">
        <f t="shared" si="14"/>
        <v>273344.31892957032</v>
      </c>
      <c r="ED24" s="36">
        <f t="shared" si="14"/>
        <v>275568.54736760259</v>
      </c>
      <c r="EE24" s="36">
        <f t="shared" si="14"/>
        <v>277802.36899707787</v>
      </c>
      <c r="EF24" s="36">
        <f t="shared" si="14"/>
        <v>280045.8254174919</v>
      </c>
      <c r="EG24" s="36">
        <f t="shared" si="14"/>
        <v>282298.95840981102</v>
      </c>
      <c r="EH24" s="36">
        <f t="shared" si="14"/>
        <v>284561.80993726902</v>
      </c>
      <c r="EI24" s="36">
        <f t="shared" si="14"/>
        <v>286834.4221461672</v>
      </c>
      <c r="EJ24" s="36">
        <f t="shared" si="14"/>
        <v>289116.83736667864</v>
      </c>
      <c r="EK24" s="36">
        <f t="shared" si="14"/>
        <v>291409.09811365552</v>
      </c>
      <c r="EL24" s="36">
        <f t="shared" si="14"/>
        <v>293711.24708743987</v>
      </c>
      <c r="EM24" s="36">
        <f t="shared" si="14"/>
        <v>296023.32717467868</v>
      </c>
      <c r="EN24" s="36">
        <f t="shared" si="14"/>
        <v>298345.38144914154</v>
      </c>
      <c r="EO24" s="36">
        <f t="shared" si="14"/>
        <v>300677.45317254291</v>
      </c>
      <c r="EP24" s="36">
        <f t="shared" si="14"/>
        <v>303019.58579536737</v>
      </c>
      <c r="EQ24" s="36">
        <f t="shared" si="14"/>
        <v>305371.82295769872</v>
      </c>
      <c r="ER24" s="36">
        <f t="shared" si="14"/>
        <v>307734.20849005273</v>
      </c>
      <c r="ES24" s="36">
        <f t="shared" si="14"/>
        <v>310106.78641421371</v>
      </c>
      <c r="ET24" s="36">
        <f t="shared" si="14"/>
        <v>312489.6009440748</v>
      </c>
      <c r="EU24" s="36">
        <f t="shared" si="14"/>
        <v>314882.69648648135</v>
      </c>
      <c r="EV24" s="36">
        <f t="shared" si="14"/>
        <v>317286.11764207901</v>
      </c>
      <c r="EW24" s="36">
        <f t="shared" si="14"/>
        <v>319699.90920616488</v>
      </c>
      <c r="EX24" s="36">
        <f t="shared" si="14"/>
        <v>322124.11616954277</v>
      </c>
      <c r="EY24" s="36">
        <f t="shared" si="14"/>
        <v>324558.78371938202</v>
      </c>
      <c r="EZ24" s="36">
        <f t="shared" si="14"/>
        <v>327003.95724007988</v>
      </c>
      <c r="FA24" s="36">
        <f t="shared" si="14"/>
        <v>329459.68231412873</v>
      </c>
      <c r="FB24" s="36">
        <f t="shared" si="14"/>
        <v>331926.0047229859</v>
      </c>
      <c r="FC24" s="36">
        <f t="shared" si="14"/>
        <v>334402.9704479482</v>
      </c>
      <c r="FD24" s="36">
        <f t="shared" si="14"/>
        <v>336890.62567102961</v>
      </c>
      <c r="FE24" s="36">
        <f t="shared" si="14"/>
        <v>339389.01677584369</v>
      </c>
      <c r="FF24" s="36">
        <f t="shared" si="14"/>
        <v>341898.19034848915</v>
      </c>
      <c r="FG24" s="36">
        <f t="shared" si="14"/>
        <v>344418.19317843975</v>
      </c>
      <c r="FH24" s="36">
        <f t="shared" si="14"/>
        <v>346949.07225943811</v>
      </c>
      <c r="FI24" s="36">
        <f t="shared" si="14"/>
        <v>349490.87479039305</v>
      </c>
      <c r="FJ24" s="36">
        <f t="shared" si="14"/>
        <v>352043.64817628177</v>
      </c>
      <c r="FK24" s="36">
        <f t="shared" si="14"/>
        <v>354607.44002905511</v>
      </c>
      <c r="FL24" s="36">
        <f t="shared" si="14"/>
        <v>357182.29816854722</v>
      </c>
      <c r="FM24" s="36">
        <f t="shared" si="14"/>
        <v>359768.27062338952</v>
      </c>
      <c r="FN24" s="36">
        <f t="shared" si="14"/>
        <v>362365.40563192806</v>
      </c>
      <c r="FO24" s="36">
        <f t="shared" si="14"/>
        <v>364973.75164314569</v>
      </c>
      <c r="FP24" s="36">
        <f t="shared" si="14"/>
        <v>367593.35731758748</v>
      </c>
      <c r="FQ24" s="36">
        <f t="shared" si="14"/>
        <v>370224.27152829117</v>
      </c>
      <c r="FR24" s="36">
        <f t="shared" si="14"/>
        <v>372866.54336172098</v>
      </c>
      <c r="FS24" s="36">
        <f t="shared" si="14"/>
        <v>375520.22211870574</v>
      </c>
      <c r="FT24" s="36">
        <f t="shared" si="14"/>
        <v>378185.35731538164</v>
      </c>
      <c r="FU24" s="36">
        <f t="shared" si="14"/>
        <v>380861.99868413829</v>
      </c>
      <c r="FV24" s="36">
        <f t="shared" si="14"/>
        <v>383550.19617456989</v>
      </c>
      <c r="FW24" s="36">
        <f t="shared" si="14"/>
        <v>386249.99995442992</v>
      </c>
      <c r="FX24" s="36">
        <f t="shared" si="14"/>
        <v>388961.4604105904</v>
      </c>
      <c r="FY24" s="36">
        <f t="shared" si="14"/>
        <v>391684.62815000542</v>
      </c>
      <c r="FZ24" s="36">
        <f t="shared" si="14"/>
        <v>394419.55400067847</v>
      </c>
      <c r="GA24" s="36">
        <f t="shared" si="14"/>
        <v>397166.28901263513</v>
      </c>
      <c r="GB24" s="36">
        <f t="shared" si="14"/>
        <v>399924.88445889839</v>
      </c>
      <c r="GC24" s="36">
        <f t="shared" si="14"/>
        <v>402695.39183646999</v>
      </c>
      <c r="GD24" s="36">
        <f t="shared" si="14"/>
        <v>405477.86286731518</v>
      </c>
      <c r="GE24" s="36">
        <f t="shared" si="14"/>
        <v>408272.34949935199</v>
      </c>
      <c r="GF24" s="36">
        <f t="shared" si="14"/>
        <v>411078.90390744479</v>
      </c>
      <c r="GG24" s="36">
        <f t="shared" si="14"/>
        <v>413897.57849440258</v>
      </c>
      <c r="GH24" s="36">
        <f t="shared" si="14"/>
        <v>416728.42589198146</v>
      </c>
      <c r="GI24" s="36">
        <f t="shared" si="14"/>
        <v>419571.49896189163</v>
      </c>
      <c r="GJ24" s="36">
        <f t="shared" si="14"/>
        <v>422426.85079680872</v>
      </c>
      <c r="GK24" s="36">
        <f t="shared" si="14"/>
        <v>425294.53472138941</v>
      </c>
      <c r="GL24" s="36">
        <f t="shared" si="14"/>
        <v>428174.60429329262</v>
      </c>
      <c r="GM24" s="36">
        <f t="shared" ref="GM24:IX24" si="15">GM22-GM23</f>
        <v>431067.11330420361</v>
      </c>
      <c r="GN24" s="36">
        <f t="shared" si="15"/>
        <v>433972.11578086403</v>
      </c>
      <c r="GO24" s="36">
        <f t="shared" si="15"/>
        <v>436889.66598610533</v>
      </c>
      <c r="GP24" s="36">
        <f t="shared" si="15"/>
        <v>439819.81841988792</v>
      </c>
      <c r="GQ24" s="36">
        <f t="shared" si="15"/>
        <v>442762.62782034429</v>
      </c>
      <c r="GR24" s="36">
        <f t="shared" si="15"/>
        <v>445718.14916482643</v>
      </c>
      <c r="GS24" s="36">
        <f t="shared" si="15"/>
        <v>448686.43767095881</v>
      </c>
      <c r="GT24" s="36">
        <f t="shared" si="15"/>
        <v>451667.5487976952</v>
      </c>
      <c r="GU24" s="36">
        <f t="shared" si="15"/>
        <v>454661.53824638063</v>
      </c>
      <c r="GV24" s="36">
        <f t="shared" si="15"/>
        <v>457668.46196181781</v>
      </c>
      <c r="GW24" s="36">
        <f t="shared" si="15"/>
        <v>460688.37613333843</v>
      </c>
      <c r="GX24" s="36">
        <f t="shared" si="15"/>
        <v>463721.33719587926</v>
      </c>
      <c r="GY24" s="36">
        <f t="shared" si="15"/>
        <v>466767.40183106263</v>
      </c>
      <c r="GZ24" s="36">
        <f t="shared" si="15"/>
        <v>469826.62696828227</v>
      </c>
      <c r="HA24" s="36">
        <f t="shared" si="15"/>
        <v>472899.06978579366</v>
      </c>
      <c r="HB24" s="36">
        <f t="shared" si="15"/>
        <v>475984.78771180921</v>
      </c>
      <c r="HC24" s="36">
        <f t="shared" si="15"/>
        <v>479083.83842559811</v>
      </c>
      <c r="HD24" s="36">
        <f t="shared" si="15"/>
        <v>482196.27985859144</v>
      </c>
      <c r="HE24" s="36">
        <f t="shared" si="15"/>
        <v>485322.17019549216</v>
      </c>
      <c r="HF24" s="36">
        <f t="shared" si="15"/>
        <v>488461.56787538936</v>
      </c>
      <c r="HG24" s="36">
        <f t="shared" si="15"/>
        <v>491614.53159287863</v>
      </c>
      <c r="HH24" s="36">
        <f t="shared" si="15"/>
        <v>494781.12029918632</v>
      </c>
      <c r="HI24" s="36">
        <f t="shared" si="15"/>
        <v>497961.39320329903</v>
      </c>
      <c r="HJ24" s="36">
        <f t="shared" si="15"/>
        <v>501155.40977309854</v>
      </c>
      <c r="HK24" s="36">
        <f t="shared" si="15"/>
        <v>504363.22973650158</v>
      </c>
      <c r="HL24" s="36">
        <f t="shared" si="15"/>
        <v>507584.91308260424</v>
      </c>
      <c r="HM24" s="36">
        <f t="shared" si="15"/>
        <v>510820.52006283216</v>
      </c>
      <c r="HN24" s="36">
        <f t="shared" si="15"/>
        <v>514070.11119209504</v>
      </c>
      <c r="HO24" s="36">
        <f t="shared" si="15"/>
        <v>517333.74724994681</v>
      </c>
      <c r="HP24" s="36">
        <f t="shared" si="15"/>
        <v>520611.48928175122</v>
      </c>
      <c r="HQ24" s="36">
        <f t="shared" si="15"/>
        <v>523903.39859985141</v>
      </c>
      <c r="HR24" s="36">
        <f t="shared" si="15"/>
        <v>527209.53678474633</v>
      </c>
      <c r="HS24" s="36">
        <f t="shared" si="15"/>
        <v>530529.96568627062</v>
      </c>
      <c r="HT24" s="36">
        <f t="shared" si="15"/>
        <v>533864.74742478132</v>
      </c>
      <c r="HU24" s="36">
        <f t="shared" si="15"/>
        <v>537213.94439234864</v>
      </c>
      <c r="HV24" s="36">
        <f t="shared" si="15"/>
        <v>540577.61925395275</v>
      </c>
      <c r="HW24" s="36">
        <f t="shared" si="15"/>
        <v>543955.83494868537</v>
      </c>
      <c r="HX24" s="36">
        <f t="shared" si="15"/>
        <v>547348.6546909574</v>
      </c>
      <c r="HY24" s="36">
        <f t="shared" si="15"/>
        <v>550756.14197171084</v>
      </c>
      <c r="HZ24" s="36">
        <f t="shared" si="15"/>
        <v>554178.36055963719</v>
      </c>
      <c r="IA24" s="36">
        <f t="shared" si="15"/>
        <v>557615.37450240063</v>
      </c>
      <c r="IB24" s="36">
        <f t="shared" si="15"/>
        <v>561067.2481278663</v>
      </c>
      <c r="IC24" s="36">
        <f t="shared" si="15"/>
        <v>564534.04604533548</v>
      </c>
      <c r="ID24" s="36">
        <f t="shared" si="15"/>
        <v>568015.83314678411</v>
      </c>
      <c r="IE24" s="36">
        <f t="shared" si="15"/>
        <v>571512.67460810882</v>
      </c>
      <c r="IF24" s="36">
        <f t="shared" si="15"/>
        <v>575024.63589037722</v>
      </c>
      <c r="IG24" s="36">
        <f t="shared" si="15"/>
        <v>578551.78274108423</v>
      </c>
      <c r="IH24" s="36">
        <f t="shared" si="15"/>
        <v>582094.18119541369</v>
      </c>
      <c r="II24" s="36">
        <f t="shared" si="15"/>
        <v>585651.89757750614</v>
      </c>
      <c r="IJ24" s="36">
        <f t="shared" si="15"/>
        <v>589224.99850173155</v>
      </c>
      <c r="IK24" s="36">
        <f t="shared" si="15"/>
        <v>592813.55087396828</v>
      </c>
      <c r="IL24" s="36">
        <f t="shared" si="15"/>
        <v>596417.62189288717</v>
      </c>
      <c r="IM24" s="36">
        <f t="shared" si="15"/>
        <v>600037.27905124158</v>
      </c>
      <c r="IN24" s="36">
        <f t="shared" si="15"/>
        <v>603672.59013716364</v>
      </c>
      <c r="IO24" s="36">
        <f t="shared" si="15"/>
        <v>607323.62323546503</v>
      </c>
      <c r="IP24" s="36">
        <f t="shared" si="15"/>
        <v>610990.44672894513</v>
      </c>
      <c r="IQ24" s="36">
        <f t="shared" si="15"/>
        <v>614673.12929970352</v>
      </c>
      <c r="IR24" s="36">
        <f t="shared" si="15"/>
        <v>618371.73993045907</v>
      </c>
      <c r="IS24" s="36">
        <f t="shared" si="15"/>
        <v>622086.34790587472</v>
      </c>
      <c r="IT24" s="36">
        <f t="shared" si="15"/>
        <v>625817.02281388862</v>
      </c>
      <c r="IU24" s="36">
        <f t="shared" si="15"/>
        <v>629563.83454705006</v>
      </c>
      <c r="IV24" s="36">
        <f t="shared" si="15"/>
        <v>633326.85330386227</v>
      </c>
      <c r="IW24" s="36">
        <f t="shared" si="15"/>
        <v>637106.1495901309</v>
      </c>
      <c r="IX24" s="36">
        <f t="shared" si="15"/>
        <v>640901.79422031844</v>
      </c>
      <c r="IY24" s="36">
        <f t="shared" ref="IY24:LJ24" si="16">IY22-IY23</f>
        <v>644713.85831890511</v>
      </c>
      <c r="IZ24" s="36">
        <f t="shared" si="16"/>
        <v>648542.41332175466</v>
      </c>
      <c r="JA24" s="36">
        <f t="shared" si="16"/>
        <v>652387.53097748733</v>
      </c>
      <c r="JB24" s="36">
        <f t="shared" si="16"/>
        <v>656249.28334885882</v>
      </c>
      <c r="JC24" s="36">
        <f t="shared" si="16"/>
        <v>660127.74281414459</v>
      </c>
      <c r="JD24" s="36">
        <f t="shared" si="16"/>
        <v>664022.9820685311</v>
      </c>
      <c r="JE24" s="36">
        <f t="shared" si="16"/>
        <v>667935.07412551285</v>
      </c>
      <c r="JF24" s="36">
        <f t="shared" si="16"/>
        <v>671864.09231829597</v>
      </c>
      <c r="JG24" s="36">
        <f t="shared" si="16"/>
        <v>675810.1103012074</v>
      </c>
      <c r="JH24" s="36">
        <f t="shared" si="16"/>
        <v>679773.20205111091</v>
      </c>
      <c r="JI24" s="36">
        <f t="shared" si="16"/>
        <v>683753.44186882942</v>
      </c>
      <c r="JJ24" s="36">
        <f t="shared" si="16"/>
        <v>687750.90438057296</v>
      </c>
      <c r="JK24" s="36">
        <f t="shared" si="16"/>
        <v>691765.66453937395</v>
      </c>
      <c r="JL24" s="36">
        <f t="shared" si="16"/>
        <v>695797.79762652819</v>
      </c>
      <c r="JM24" s="36">
        <f t="shared" si="16"/>
        <v>699847.37925304205</v>
      </c>
      <c r="JN24" s="36">
        <f t="shared" si="16"/>
        <v>703914.48536108714</v>
      </c>
      <c r="JO24" s="36">
        <f t="shared" si="16"/>
        <v>707999.19222546043</v>
      </c>
      <c r="JP24" s="36">
        <f t="shared" si="16"/>
        <v>712101.57645505073</v>
      </c>
      <c r="JQ24" s="36">
        <f t="shared" si="16"/>
        <v>716221.71499431296</v>
      </c>
      <c r="JR24" s="36">
        <f t="shared" si="16"/>
        <v>720359.6851247478</v>
      </c>
      <c r="JS24" s="36">
        <f t="shared" si="16"/>
        <v>724515.56446638796</v>
      </c>
      <c r="JT24" s="36">
        <f t="shared" si="16"/>
        <v>728689.43097929168</v>
      </c>
      <c r="JU24" s="36">
        <f t="shared" si="16"/>
        <v>732881.36296504282</v>
      </c>
      <c r="JV24" s="36">
        <f t="shared" si="16"/>
        <v>737091.43906825653</v>
      </c>
      <c r="JW24" s="36">
        <f t="shared" si="16"/>
        <v>741319.73827809351</v>
      </c>
      <c r="JX24" s="36">
        <f t="shared" si="16"/>
        <v>745566.33992977871</v>
      </c>
      <c r="JY24" s="36">
        <f t="shared" si="16"/>
        <v>749831.32370612898</v>
      </c>
      <c r="JZ24" s="36">
        <f t="shared" si="16"/>
        <v>754114.76963908598</v>
      </c>
      <c r="KA24" s="36">
        <f t="shared" si="16"/>
        <v>758416.75811125664</v>
      </c>
      <c r="KB24" s="36">
        <f t="shared" si="16"/>
        <v>762737.36985746014</v>
      </c>
      <c r="KC24" s="36">
        <f t="shared" si="16"/>
        <v>767076.68596628192</v>
      </c>
      <c r="KD24" s="36">
        <f t="shared" si="16"/>
        <v>771434.78788163455</v>
      </c>
      <c r="KE24" s="36">
        <f t="shared" si="16"/>
        <v>775811.75740432576</v>
      </c>
      <c r="KF24" s="36">
        <f t="shared" si="16"/>
        <v>780207.67669363273</v>
      </c>
      <c r="KG24" s="36">
        <f t="shared" si="16"/>
        <v>784622.62826888461</v>
      </c>
      <c r="KH24" s="36">
        <f t="shared" si="16"/>
        <v>789056.69501105056</v>
      </c>
      <c r="KI24" s="36">
        <f t="shared" si="16"/>
        <v>793509.96016433614</v>
      </c>
      <c r="KJ24" s="36">
        <f t="shared" si="16"/>
        <v>797982.50733778614</v>
      </c>
      <c r="KK24" s="36">
        <f t="shared" si="16"/>
        <v>802474.42050689482</v>
      </c>
      <c r="KL24" s="36">
        <f t="shared" si="16"/>
        <v>806985.7840152228</v>
      </c>
      <c r="KM24" s="36">
        <f t="shared" si="16"/>
        <v>811516.68257602199</v>
      </c>
      <c r="KN24" s="36">
        <f t="shared" si="16"/>
        <v>816067.20127386693</v>
      </c>
      <c r="KO24" s="36">
        <f t="shared" si="16"/>
        <v>820637.42556629388</v>
      </c>
      <c r="KP24" s="36">
        <f t="shared" si="16"/>
        <v>825227.44128544698</v>
      </c>
      <c r="KQ24" s="36">
        <f t="shared" si="16"/>
        <v>829837.33463973168</v>
      </c>
      <c r="KR24" s="36">
        <f t="shared" si="16"/>
        <v>834467.19221547595</v>
      </c>
      <c r="KS24" s="36">
        <f t="shared" si="16"/>
        <v>839117.10097859823</v>
      </c>
      <c r="KT24" s="36">
        <f t="shared" si="16"/>
        <v>843787.14827628352</v>
      </c>
      <c r="KU24" s="36">
        <f t="shared" si="16"/>
        <v>848477.42183866585</v>
      </c>
      <c r="KV24" s="36">
        <f t="shared" si="16"/>
        <v>853188.00978051964</v>
      </c>
      <c r="KW24" s="36">
        <f t="shared" si="16"/>
        <v>857919.00060295756</v>
      </c>
      <c r="KX24" s="36">
        <f t="shared" si="16"/>
        <v>862670.48319513618</v>
      </c>
      <c r="KY24" s="36">
        <f t="shared" si="16"/>
        <v>867442.5468359692</v>
      </c>
      <c r="KZ24" s="36">
        <f t="shared" si="16"/>
        <v>872235.28119584871</v>
      </c>
      <c r="LA24" s="36">
        <f t="shared" si="16"/>
        <v>877048.77633837354</v>
      </c>
      <c r="LB24" s="36">
        <f t="shared" si="16"/>
        <v>881883.12272208522</v>
      </c>
      <c r="LC24" s="36">
        <f t="shared" si="16"/>
        <v>886738.41120221268</v>
      </c>
      <c r="LD24" s="36">
        <f t="shared" si="16"/>
        <v>891614.73303242319</v>
      </c>
      <c r="LE24" s="36">
        <f t="shared" si="16"/>
        <v>896512.17986658274</v>
      </c>
      <c r="LF24" s="36">
        <f t="shared" si="16"/>
        <v>901430.84376052278</v>
      </c>
      <c r="LG24" s="36">
        <f t="shared" si="16"/>
        <v>906370.81717381533</v>
      </c>
      <c r="LH24" s="36">
        <f t="shared" si="16"/>
        <v>911332.1929715568</v>
      </c>
      <c r="LI24" s="36">
        <f t="shared" si="16"/>
        <v>916315.06442615844</v>
      </c>
      <c r="LJ24" s="36">
        <f t="shared" si="16"/>
        <v>921319.52521914593</v>
      </c>
      <c r="LK24" s="36">
        <f t="shared" ref="LK24:MX24" si="17">LK22-LK23</f>
        <v>926345.66944296553</v>
      </c>
      <c r="LL24" s="36">
        <f t="shared" si="17"/>
        <v>931393.59160280018</v>
      </c>
      <c r="LM24" s="36">
        <f t="shared" si="17"/>
        <v>936463.38661839208</v>
      </c>
      <c r="LN24" s="36">
        <f t="shared" si="17"/>
        <v>941555.1498258739</v>
      </c>
      <c r="LO24" s="36">
        <f t="shared" si="17"/>
        <v>946668.97697960853</v>
      </c>
      <c r="LP24" s="36">
        <f t="shared" si="17"/>
        <v>951804.96425403631</v>
      </c>
      <c r="LQ24" s="36">
        <f t="shared" si="17"/>
        <v>956963.20824553142</v>
      </c>
      <c r="LR24" s="36">
        <f t="shared" si="17"/>
        <v>962143.80597426533</v>
      </c>
      <c r="LS24" s="36">
        <f t="shared" si="17"/>
        <v>967346.85488607956</v>
      </c>
      <c r="LT24" s="36">
        <f t="shared" si="17"/>
        <v>972572.45285436639</v>
      </c>
      <c r="LU24" s="36">
        <f t="shared" si="17"/>
        <v>977820.6981819577</v>
      </c>
      <c r="LV24" s="36">
        <f t="shared" si="17"/>
        <v>983091.689603023</v>
      </c>
      <c r="LW24" s="36">
        <f t="shared" si="17"/>
        <v>988385.52628497453</v>
      </c>
      <c r="LX24" s="36">
        <f t="shared" si="17"/>
        <v>993702.30783038272</v>
      </c>
      <c r="LY24" s="36">
        <f t="shared" si="17"/>
        <v>999042.13427889824</v>
      </c>
      <c r="LZ24" s="36">
        <f t="shared" si="17"/>
        <v>1004405.1061091841</v>
      </c>
      <c r="MA24" s="36">
        <f t="shared" si="17"/>
        <v>1009791.3242408555</v>
      </c>
      <c r="MB24" s="36">
        <f t="shared" si="17"/>
        <v>1015200.8900364288</v>
      </c>
      <c r="MC24" s="36">
        <f t="shared" si="17"/>
        <v>1020633.9053032785</v>
      </c>
      <c r="MD24" s="36">
        <f t="shared" si="17"/>
        <v>1026090.4722956039</v>
      </c>
      <c r="ME24" s="36">
        <f t="shared" si="17"/>
        <v>1031570.6937164039</v>
      </c>
      <c r="MF24" s="36">
        <f t="shared" si="17"/>
        <v>1037074.6727194604</v>
      </c>
      <c r="MG24" s="36">
        <f t="shared" si="17"/>
        <v>1042602.5129113314</v>
      </c>
      <c r="MH24" s="36">
        <f t="shared" si="17"/>
        <v>1048154.3183533516</v>
      </c>
      <c r="MI24" s="36">
        <f t="shared" si="17"/>
        <v>1053730.1935636434</v>
      </c>
      <c r="MJ24" s="36">
        <f t="shared" si="17"/>
        <v>1059330.2435191358</v>
      </c>
      <c r="MK24" s="36">
        <f t="shared" si="17"/>
        <v>1064954.5736575932</v>
      </c>
      <c r="ML24" s="36">
        <f t="shared" si="17"/>
        <v>1070603.2898796517</v>
      </c>
      <c r="MM24" s="36">
        <f t="shared" si="17"/>
        <v>1076276.4985508667</v>
      </c>
      <c r="MN24" s="36">
        <f t="shared" si="17"/>
        <v>1081974.3065037674</v>
      </c>
      <c r="MO24" s="36">
        <f t="shared" si="17"/>
        <v>1087696.8210399221</v>
      </c>
      <c r="MP24" s="36">
        <f t="shared" si="17"/>
        <v>1093444.1499320113</v>
      </c>
      <c r="MQ24" s="36">
        <f t="shared" si="17"/>
        <v>1099216.4014259116</v>
      </c>
      <c r="MR24" s="36">
        <f t="shared" si="17"/>
        <v>1105013.684242788</v>
      </c>
      <c r="MS24" s="36">
        <f t="shared" si="17"/>
        <v>1110836.1075811947</v>
      </c>
      <c r="MT24" s="36">
        <f t="shared" si="17"/>
        <v>1116683.7811191874</v>
      </c>
      <c r="MU24" s="36">
        <f t="shared" si="17"/>
        <v>1122556.8150164424</v>
      </c>
      <c r="MV24" s="36">
        <f t="shared" si="17"/>
        <v>1128455.3199163876</v>
      </c>
      <c r="MW24" s="36">
        <f t="shared" si="17"/>
        <v>1134379.4069483415</v>
      </c>
      <c r="MX24" s="56">
        <f t="shared" si="17"/>
        <v>1140329.1877296621</v>
      </c>
      <c r="MY24" s="1"/>
      <c r="MZ24" s="1"/>
      <c r="NA24" s="1"/>
      <c r="NB24" s="1"/>
      <c r="NC24" s="1"/>
      <c r="ND24" s="1"/>
      <c r="NE24" s="1"/>
      <c r="NF24" s="13">
        <v>0.115</v>
      </c>
      <c r="NG24" s="1">
        <f>Combine!A26</f>
        <v>48188</v>
      </c>
      <c r="NH24" s="14">
        <f>Combine!F26</f>
        <v>400386.22997990402</v>
      </c>
    </row>
    <row r="25" spans="1:372" ht="12.75" customHeight="1" x14ac:dyDescent="0.3">
      <c r="A25" s="31" t="s">
        <v>866</v>
      </c>
      <c r="B25" s="32"/>
      <c r="C25" s="33">
        <f t="shared" ref="C25:BN25" si="18">B23*$B$7/12</f>
        <v>1020.944</v>
      </c>
      <c r="D25" s="33">
        <f t="shared" si="18"/>
        <v>1019.9276448864845</v>
      </c>
      <c r="E25" s="33">
        <f t="shared" si="18"/>
        <v>1018.9062079974013</v>
      </c>
      <c r="F25" s="33">
        <f t="shared" si="18"/>
        <v>1017.8796639238727</v>
      </c>
      <c r="G25" s="33">
        <f t="shared" si="18"/>
        <v>1016.8479871299766</v>
      </c>
      <c r="H25" s="33">
        <f t="shared" si="18"/>
        <v>1015.8111519521111</v>
      </c>
      <c r="I25" s="33">
        <f t="shared" si="18"/>
        <v>1014.769132598356</v>
      </c>
      <c r="J25" s="33">
        <f t="shared" si="18"/>
        <v>1013.7219031478322</v>
      </c>
      <c r="K25" s="33">
        <f t="shared" si="18"/>
        <v>1012.669437550056</v>
      </c>
      <c r="L25" s="33">
        <f t="shared" si="18"/>
        <v>1011.6117096242907</v>
      </c>
      <c r="M25" s="33">
        <f t="shared" si="18"/>
        <v>1010.5486930588968</v>
      </c>
      <c r="N25" s="33">
        <f t="shared" si="18"/>
        <v>1009.4803614106758</v>
      </c>
      <c r="O25" s="33">
        <f t="shared" si="18"/>
        <v>1008.4066881042136</v>
      </c>
      <c r="P25" s="33">
        <f t="shared" si="18"/>
        <v>1007.327646431219</v>
      </c>
      <c r="Q25" s="33">
        <f t="shared" si="18"/>
        <v>1006.2432095498597</v>
      </c>
      <c r="R25" s="33">
        <f t="shared" si="18"/>
        <v>1005.1533504840933</v>
      </c>
      <c r="S25" s="33">
        <f t="shared" si="18"/>
        <v>1004.0580421229982</v>
      </c>
      <c r="T25" s="33">
        <f t="shared" si="18"/>
        <v>1002.9572572200977</v>
      </c>
      <c r="U25" s="33">
        <f t="shared" si="18"/>
        <v>1001.8509683926828</v>
      </c>
      <c r="V25" s="33">
        <f t="shared" si="18"/>
        <v>1000.7391481211307</v>
      </c>
      <c r="W25" s="33">
        <f t="shared" si="18"/>
        <v>999.6217687482208</v>
      </c>
      <c r="X25" s="33">
        <f t="shared" si="18"/>
        <v>998.49880247844624</v>
      </c>
      <c r="Y25" s="33">
        <f t="shared" si="18"/>
        <v>997.37022137732299</v>
      </c>
      <c r="Z25" s="33">
        <f t="shared" si="18"/>
        <v>996.23599737069401</v>
      </c>
      <c r="AA25" s="33">
        <f t="shared" si="18"/>
        <v>995.09610224403207</v>
      </c>
      <c r="AB25" s="33">
        <f t="shared" si="18"/>
        <v>993.95050764173675</v>
      </c>
      <c r="AC25" s="33">
        <f t="shared" si="18"/>
        <v>992.79918506642991</v>
      </c>
      <c r="AD25" s="33">
        <f t="shared" si="18"/>
        <v>991.64210587824653</v>
      </c>
      <c r="AE25" s="33">
        <f t="shared" si="18"/>
        <v>990.47924129412206</v>
      </c>
      <c r="AF25" s="33">
        <f t="shared" si="18"/>
        <v>989.31056238707708</v>
      </c>
      <c r="AG25" s="33">
        <f t="shared" si="18"/>
        <v>988.13604008549703</v>
      </c>
      <c r="AH25" s="33">
        <f t="shared" si="18"/>
        <v>986.95564517240894</v>
      </c>
      <c r="AI25" s="33">
        <f t="shared" si="18"/>
        <v>985.76934828475544</v>
      </c>
      <c r="AJ25" s="33">
        <f t="shared" si="18"/>
        <v>984.57711991266376</v>
      </c>
      <c r="AK25" s="33">
        <f t="shared" si="18"/>
        <v>983.37893039871142</v>
      </c>
      <c r="AL25" s="33">
        <f t="shared" si="18"/>
        <v>982.17474993718952</v>
      </c>
      <c r="AM25" s="33">
        <f t="shared" si="18"/>
        <v>980.96454857336005</v>
      </c>
      <c r="AN25" s="33">
        <f t="shared" si="18"/>
        <v>979.74829620271123</v>
      </c>
      <c r="AO25" s="33">
        <f t="shared" si="18"/>
        <v>978.52596257020934</v>
      </c>
      <c r="AP25" s="33">
        <f t="shared" si="18"/>
        <v>977.29751726954498</v>
      </c>
      <c r="AQ25" s="33">
        <f t="shared" si="18"/>
        <v>976.06292974237715</v>
      </c>
      <c r="AR25" s="33">
        <f t="shared" si="18"/>
        <v>974.82216927757361</v>
      </c>
      <c r="AS25" s="33">
        <f t="shared" si="18"/>
        <v>973.57520501044598</v>
      </c>
      <c r="AT25" s="33">
        <f t="shared" si="18"/>
        <v>972.32200592198262</v>
      </c>
      <c r="AU25" s="33">
        <f t="shared" si="18"/>
        <v>971.06254083807698</v>
      </c>
      <c r="AV25" s="33">
        <f t="shared" si="18"/>
        <v>969.79677842875174</v>
      </c>
      <c r="AW25" s="33">
        <f t="shared" si="18"/>
        <v>968.52468720738</v>
      </c>
      <c r="AX25" s="33">
        <f t="shared" si="18"/>
        <v>967.24623552990136</v>
      </c>
      <c r="AY25" s="33">
        <f t="shared" si="18"/>
        <v>965.96139159403549</v>
      </c>
      <c r="AZ25" s="33">
        <f t="shared" si="18"/>
        <v>964.67012343849001</v>
      </c>
      <c r="BA25" s="33">
        <f t="shared" si="18"/>
        <v>963.37239894216702</v>
      </c>
      <c r="BB25" s="33">
        <f t="shared" si="18"/>
        <v>962.06818582336246</v>
      </c>
      <c r="BC25" s="33">
        <f t="shared" si="18"/>
        <v>960.75745163896363</v>
      </c>
      <c r="BD25" s="33">
        <f t="shared" si="18"/>
        <v>959.44016378364279</v>
      </c>
      <c r="BE25" s="33">
        <f t="shared" si="18"/>
        <v>958.11628948904547</v>
      </c>
      <c r="BF25" s="33">
        <f t="shared" si="18"/>
        <v>956.78579582297527</v>
      </c>
      <c r="BG25" s="33">
        <f t="shared" si="18"/>
        <v>955.44864968857462</v>
      </c>
      <c r="BH25" s="33">
        <f t="shared" si="18"/>
        <v>954.104817823502</v>
      </c>
      <c r="BI25" s="33">
        <f t="shared" si="18"/>
        <v>952.75426679910413</v>
      </c>
      <c r="BJ25" s="33">
        <f t="shared" si="18"/>
        <v>951.39696301958395</v>
      </c>
      <c r="BK25" s="33">
        <f t="shared" si="18"/>
        <v>950.03287272116643</v>
      </c>
      <c r="BL25" s="33">
        <f t="shared" si="18"/>
        <v>948.6619619712568</v>
      </c>
      <c r="BM25" s="33">
        <f t="shared" si="18"/>
        <v>947.28419666759748</v>
      </c>
      <c r="BN25" s="33">
        <f t="shared" si="18"/>
        <v>945.89954253742007</v>
      </c>
      <c r="BO25" s="33">
        <f t="shared" ref="BO25:DZ25" si="19">BN23*$B$7/12</f>
        <v>944.50796513659168</v>
      </c>
      <c r="BP25" s="33">
        <f t="shared" si="19"/>
        <v>943.10942984875919</v>
      </c>
      <c r="BQ25" s="33">
        <f t="shared" si="19"/>
        <v>941.70390188448744</v>
      </c>
      <c r="BR25" s="33">
        <f t="shared" si="19"/>
        <v>940.29134628039435</v>
      </c>
      <c r="BS25" s="33">
        <f t="shared" si="19"/>
        <v>938.87172789828082</v>
      </c>
      <c r="BT25" s="33">
        <f t="shared" si="19"/>
        <v>937.44501142425668</v>
      </c>
      <c r="BU25" s="33">
        <f t="shared" si="19"/>
        <v>936.01116136786231</v>
      </c>
      <c r="BV25" s="33">
        <f t="shared" si="19"/>
        <v>934.57014206118617</v>
      </c>
      <c r="BW25" s="33">
        <f t="shared" si="19"/>
        <v>933.12191765797661</v>
      </c>
      <c r="BX25" s="33">
        <f t="shared" si="19"/>
        <v>931.66645213275103</v>
      </c>
      <c r="BY25" s="33">
        <f t="shared" si="19"/>
        <v>930.20370927989916</v>
      </c>
      <c r="BZ25" s="33">
        <f t="shared" si="19"/>
        <v>928.73365271278317</v>
      </c>
      <c r="CA25" s="33">
        <f t="shared" si="19"/>
        <v>927.25624586283163</v>
      </c>
      <c r="CB25" s="33">
        <f t="shared" si="19"/>
        <v>925.77145197863013</v>
      </c>
      <c r="CC25" s="33">
        <f t="shared" si="19"/>
        <v>924.27923412500775</v>
      </c>
      <c r="CD25" s="33">
        <f t="shared" si="19"/>
        <v>922.77955518211729</v>
      </c>
      <c r="CE25" s="33">
        <f t="shared" si="19"/>
        <v>921.27237784451233</v>
      </c>
      <c r="CF25" s="33">
        <f t="shared" si="19"/>
        <v>919.75766462021932</v>
      </c>
      <c r="CG25" s="33">
        <f t="shared" si="19"/>
        <v>918.23537782980509</v>
      </c>
      <c r="CH25" s="33">
        <f t="shared" si="19"/>
        <v>916.70547960543854</v>
      </c>
      <c r="CI25" s="33">
        <f t="shared" si="19"/>
        <v>915.16793188995018</v>
      </c>
      <c r="CJ25" s="33">
        <f t="shared" si="19"/>
        <v>913.62269643588445</v>
      </c>
      <c r="CK25" s="33">
        <f t="shared" si="19"/>
        <v>912.06973480454837</v>
      </c>
      <c r="CL25" s="33">
        <f t="shared" si="19"/>
        <v>910.50900836505571</v>
      </c>
      <c r="CM25" s="33">
        <f t="shared" si="19"/>
        <v>908.94047829336557</v>
      </c>
      <c r="CN25" s="33">
        <f t="shared" si="19"/>
        <v>907.36410557131694</v>
      </c>
      <c r="CO25" s="33">
        <f t="shared" si="19"/>
        <v>905.77985098565796</v>
      </c>
      <c r="CP25" s="33">
        <f t="shared" si="19"/>
        <v>904.18767512707063</v>
      </c>
      <c r="CQ25" s="33">
        <f t="shared" si="19"/>
        <v>902.58753838919063</v>
      </c>
      <c r="CR25" s="33">
        <f t="shared" si="19"/>
        <v>900.97940096762102</v>
      </c>
      <c r="CS25" s="33">
        <f t="shared" si="19"/>
        <v>899.36322285894357</v>
      </c>
      <c r="CT25" s="33">
        <f t="shared" si="19"/>
        <v>897.73896385972284</v>
      </c>
      <c r="CU25" s="33">
        <f t="shared" si="19"/>
        <v>896.10658356550596</v>
      </c>
      <c r="CV25" s="33">
        <f t="shared" si="19"/>
        <v>894.46604136981796</v>
      </c>
      <c r="CW25" s="33">
        <f t="shared" si="19"/>
        <v>892.81729646315159</v>
      </c>
      <c r="CX25" s="33">
        <f t="shared" si="19"/>
        <v>891.16030783195174</v>
      </c>
      <c r="CY25" s="33">
        <f t="shared" si="19"/>
        <v>889.49503425759588</v>
      </c>
      <c r="CZ25" s="33">
        <f t="shared" si="19"/>
        <v>887.82143431536826</v>
      </c>
      <c r="DA25" s="33">
        <f t="shared" si="19"/>
        <v>886.13946637342963</v>
      </c>
      <c r="DB25" s="33">
        <f t="shared" si="19"/>
        <v>884.44908859178133</v>
      </c>
      <c r="DC25" s="33">
        <f t="shared" si="19"/>
        <v>882.7502589212246</v>
      </c>
      <c r="DD25" s="33">
        <f t="shared" si="19"/>
        <v>881.04293510231537</v>
      </c>
      <c r="DE25" s="33">
        <f t="shared" si="19"/>
        <v>879.32707466431145</v>
      </c>
      <c r="DF25" s="33">
        <f t="shared" si="19"/>
        <v>877.60263492411752</v>
      </c>
      <c r="DG25" s="33">
        <f t="shared" si="19"/>
        <v>875.86957298522259</v>
      </c>
      <c r="DH25" s="33">
        <f t="shared" si="19"/>
        <v>874.12784573663305</v>
      </c>
      <c r="DI25" s="33">
        <f t="shared" si="19"/>
        <v>872.37740985180073</v>
      </c>
      <c r="DJ25" s="33">
        <f t="shared" si="19"/>
        <v>870.61822178754426</v>
      </c>
      <c r="DK25" s="33">
        <f t="shared" si="19"/>
        <v>868.85023778296647</v>
      </c>
      <c r="DL25" s="33">
        <f t="shared" si="19"/>
        <v>867.07341385836583</v>
      </c>
      <c r="DM25" s="33">
        <f t="shared" si="19"/>
        <v>865.28770581414221</v>
      </c>
      <c r="DN25" s="33">
        <f t="shared" si="19"/>
        <v>863.49306922969743</v>
      </c>
      <c r="DO25" s="33">
        <f t="shared" si="19"/>
        <v>861.68945946233043</v>
      </c>
      <c r="DP25" s="33">
        <f t="shared" si="19"/>
        <v>859.87683164612645</v>
      </c>
      <c r="DQ25" s="33">
        <f t="shared" si="19"/>
        <v>858.05514069084165</v>
      </c>
      <c r="DR25" s="33">
        <f t="shared" si="19"/>
        <v>856.22434128078032</v>
      </c>
      <c r="DS25" s="33">
        <f t="shared" si="19"/>
        <v>854.38438787366874</v>
      </c>
      <c r="DT25" s="33">
        <f t="shared" si="19"/>
        <v>852.53523469952154</v>
      </c>
      <c r="DU25" s="33">
        <f t="shared" si="19"/>
        <v>850.67683575950366</v>
      </c>
      <c r="DV25" s="33">
        <f t="shared" si="19"/>
        <v>848.80914482478556</v>
      </c>
      <c r="DW25" s="33">
        <f t="shared" si="19"/>
        <v>846.93211543539394</v>
      </c>
      <c r="DX25" s="33">
        <f t="shared" si="19"/>
        <v>845.04570089905553</v>
      </c>
      <c r="DY25" s="33">
        <f t="shared" si="19"/>
        <v>843.14985429003525</v>
      </c>
      <c r="DZ25" s="33">
        <f t="shared" si="19"/>
        <v>841.24452844796997</v>
      </c>
      <c r="EA25" s="33">
        <f t="shared" ref="EA25:GL25" si="20">DZ23*$B$7/12</f>
        <v>839.32967597669415</v>
      </c>
      <c r="EB25" s="33">
        <f t="shared" si="20"/>
        <v>837.40524924306226</v>
      </c>
      <c r="EC25" s="33">
        <f t="shared" si="20"/>
        <v>835.47120037576212</v>
      </c>
      <c r="ED25" s="33">
        <f t="shared" si="20"/>
        <v>833.52748126412541</v>
      </c>
      <c r="EE25" s="33">
        <f t="shared" si="20"/>
        <v>831.57404355693052</v>
      </c>
      <c r="EF25" s="33">
        <f t="shared" si="20"/>
        <v>829.61083866119964</v>
      </c>
      <c r="EG25" s="33">
        <f t="shared" si="20"/>
        <v>827.63781774099016</v>
      </c>
      <c r="EH25" s="33">
        <f t="shared" si="20"/>
        <v>825.65493171617948</v>
      </c>
      <c r="EI25" s="33">
        <f t="shared" si="20"/>
        <v>823.66213126124501</v>
      </c>
      <c r="EJ25" s="33">
        <f t="shared" si="20"/>
        <v>821.65936680403559</v>
      </c>
      <c r="EK25" s="33">
        <f t="shared" si="20"/>
        <v>819.64658852454022</v>
      </c>
      <c r="EL25" s="33">
        <f t="shared" si="20"/>
        <v>817.62374635364733</v>
      </c>
      <c r="EM25" s="33">
        <f t="shared" si="20"/>
        <v>815.59078997190011</v>
      </c>
      <c r="EN25" s="33">
        <f t="shared" si="20"/>
        <v>813.54766880824411</v>
      </c>
      <c r="EO25" s="33">
        <f t="shared" si="20"/>
        <v>811.49433203876981</v>
      </c>
      <c r="EP25" s="33">
        <f t="shared" si="20"/>
        <v>809.43072858544826</v>
      </c>
      <c r="EQ25" s="33">
        <f t="shared" si="20"/>
        <v>807.35680711485986</v>
      </c>
      <c r="ER25" s="33">
        <f t="shared" si="20"/>
        <v>805.27251603691877</v>
      </c>
      <c r="ES25" s="33">
        <f t="shared" si="20"/>
        <v>803.17780350358782</v>
      </c>
      <c r="ET25" s="33">
        <f t="shared" si="20"/>
        <v>801.07261740759031</v>
      </c>
      <c r="EU25" s="33">
        <f t="shared" si="20"/>
        <v>798.95690538111273</v>
      </c>
      <c r="EV25" s="33">
        <f t="shared" si="20"/>
        <v>796.83061479450271</v>
      </c>
      <c r="EW25" s="33">
        <f t="shared" si="20"/>
        <v>794.69369275495967</v>
      </c>
      <c r="EX25" s="33">
        <f t="shared" si="20"/>
        <v>792.54608610521893</v>
      </c>
      <c r="EY25" s="33">
        <f t="shared" si="20"/>
        <v>790.38774142222962</v>
      </c>
      <c r="EZ25" s="33">
        <f t="shared" si="20"/>
        <v>788.21860501582512</v>
      </c>
      <c r="FA25" s="33">
        <f t="shared" si="20"/>
        <v>786.0386229273887</v>
      </c>
      <c r="FB25" s="33">
        <f t="shared" si="20"/>
        <v>783.84774092851012</v>
      </c>
      <c r="FC25" s="33">
        <f t="shared" si="20"/>
        <v>781.64590451963716</v>
      </c>
      <c r="FD25" s="33">
        <f t="shared" si="20"/>
        <v>779.43305892872002</v>
      </c>
      <c r="FE25" s="33">
        <f t="shared" si="20"/>
        <v>777.20914910984811</v>
      </c>
      <c r="FF25" s="33">
        <f t="shared" si="20"/>
        <v>774.97411974188174</v>
      </c>
      <c r="FG25" s="33">
        <f t="shared" si="20"/>
        <v>772.72791522707564</v>
      </c>
      <c r="FH25" s="33">
        <f t="shared" si="20"/>
        <v>770.47047968969548</v>
      </c>
      <c r="FI25" s="33">
        <f t="shared" si="20"/>
        <v>768.20175697462855</v>
      </c>
      <c r="FJ25" s="33">
        <f t="shared" si="20"/>
        <v>765.92169064598602</v>
      </c>
      <c r="FK25" s="33">
        <f t="shared" si="20"/>
        <v>763.63022398570058</v>
      </c>
      <c r="FL25" s="33">
        <f t="shared" si="20"/>
        <v>761.32729999211358</v>
      </c>
      <c r="FM25" s="33">
        <f t="shared" si="20"/>
        <v>759.01286137855857</v>
      </c>
      <c r="FN25" s="33">
        <f t="shared" si="20"/>
        <v>756.68685057193591</v>
      </c>
      <c r="FO25" s="33">
        <f t="shared" si="20"/>
        <v>754.3492097112802</v>
      </c>
      <c r="FP25" s="33">
        <f t="shared" si="20"/>
        <v>751.99988064632089</v>
      </c>
      <c r="FQ25" s="33">
        <f t="shared" si="20"/>
        <v>749.63880493603699</v>
      </c>
      <c r="FR25" s="33">
        <f t="shared" si="20"/>
        <v>747.26592384720163</v>
      </c>
      <c r="FS25" s="33">
        <f t="shared" si="20"/>
        <v>744.88117835292223</v>
      </c>
      <c r="FT25" s="33">
        <f t="shared" si="20"/>
        <v>742.48450913117131</v>
      </c>
      <c r="FU25" s="33">
        <f t="shared" si="20"/>
        <v>740.07585656331173</v>
      </c>
      <c r="FV25" s="33">
        <f t="shared" si="20"/>
        <v>737.65516073261267</v>
      </c>
      <c r="FW25" s="33">
        <f t="shared" si="20"/>
        <v>735.22236142276017</v>
      </c>
      <c r="FX25" s="33">
        <f t="shared" si="20"/>
        <v>732.77739811635854</v>
      </c>
      <c r="FY25" s="33">
        <f t="shared" si="20"/>
        <v>730.32020999342478</v>
      </c>
      <c r="FZ25" s="33">
        <f t="shared" si="20"/>
        <v>727.85073592987635</v>
      </c>
      <c r="GA25" s="33">
        <f t="shared" si="20"/>
        <v>725.36891449601023</v>
      </c>
      <c r="GB25" s="33">
        <f t="shared" si="20"/>
        <v>722.87468395497478</v>
      </c>
      <c r="GC25" s="33">
        <f t="shared" si="20"/>
        <v>720.36798226123403</v>
      </c>
      <c r="GD25" s="33">
        <f t="shared" si="20"/>
        <v>717.84874705902473</v>
      </c>
      <c r="GE25" s="33">
        <f t="shared" si="20"/>
        <v>715.31691568080441</v>
      </c>
      <c r="GF25" s="33">
        <f t="shared" si="20"/>
        <v>712.77242514569286</v>
      </c>
      <c r="GG25" s="33">
        <f t="shared" si="20"/>
        <v>710.21521215790574</v>
      </c>
      <c r="GH25" s="33">
        <f t="shared" si="20"/>
        <v>707.64521310517966</v>
      </c>
      <c r="GI25" s="33">
        <f t="shared" si="20"/>
        <v>705.06236405719017</v>
      </c>
      <c r="GJ25" s="33">
        <f t="shared" si="20"/>
        <v>702.46660076396063</v>
      </c>
      <c r="GK25" s="33">
        <f t="shared" si="20"/>
        <v>699.85785865426487</v>
      </c>
      <c r="GL25" s="33">
        <f t="shared" si="20"/>
        <v>697.23607283402055</v>
      </c>
      <c r="GM25" s="33">
        <f t="shared" ref="GM25:IX25" si="21">GL23*$B$7/12</f>
        <v>694.60117808467521</v>
      </c>
      <c r="GN25" s="33">
        <f t="shared" si="21"/>
        <v>691.95310886158302</v>
      </c>
      <c r="GO25" s="33">
        <f t="shared" si="21"/>
        <v>689.29179929237534</v>
      </c>
      <c r="GP25" s="33">
        <f t="shared" si="21"/>
        <v>686.61718317532166</v>
      </c>
      <c r="GQ25" s="33">
        <f t="shared" si="21"/>
        <v>683.92919397768264</v>
      </c>
      <c r="GR25" s="33">
        <f t="shared" si="21"/>
        <v>681.22776483405551</v>
      </c>
      <c r="GS25" s="33">
        <f t="shared" si="21"/>
        <v>678.51282854471026</v>
      </c>
      <c r="GT25" s="33">
        <f t="shared" si="21"/>
        <v>675.78431757391843</v>
      </c>
      <c r="GU25" s="33">
        <f t="shared" si="21"/>
        <v>673.04216404827241</v>
      </c>
      <c r="GV25" s="33">
        <f t="shared" si="21"/>
        <v>670.28629975499814</v>
      </c>
      <c r="GW25" s="33">
        <f t="shared" si="21"/>
        <v>667.51665614025762</v>
      </c>
      <c r="GX25" s="33">
        <f t="shared" si="21"/>
        <v>664.73316430744342</v>
      </c>
      <c r="GY25" s="33">
        <f t="shared" si="21"/>
        <v>661.93575501546525</v>
      </c>
      <c r="GZ25" s="33">
        <f t="shared" si="21"/>
        <v>659.12435867702709</v>
      </c>
      <c r="HA25" s="33">
        <f t="shared" si="21"/>
        <v>656.29890535689663</v>
      </c>
      <c r="HB25" s="33">
        <f t="shared" si="21"/>
        <v>653.45932477016561</v>
      </c>
      <c r="HC25" s="33">
        <f t="shared" si="21"/>
        <v>650.60554628050102</v>
      </c>
      <c r="HD25" s="33">
        <f t="shared" si="21"/>
        <v>647.73749889838803</v>
      </c>
      <c r="HE25" s="33">
        <f t="shared" si="21"/>
        <v>644.85511127936445</v>
      </c>
      <c r="HF25" s="33">
        <f t="shared" si="21"/>
        <v>641.95831172224564</v>
      </c>
      <c r="HG25" s="33">
        <f t="shared" si="21"/>
        <v>639.04702816734141</v>
      </c>
      <c r="HH25" s="33">
        <f t="shared" si="21"/>
        <v>636.12118819466252</v>
      </c>
      <c r="HI25" s="33">
        <f t="shared" si="21"/>
        <v>633.18071902212034</v>
      </c>
      <c r="HJ25" s="33">
        <f t="shared" si="21"/>
        <v>630.22554750371546</v>
      </c>
      <c r="HK25" s="33">
        <f t="shared" si="21"/>
        <v>627.25560012771859</v>
      </c>
      <c r="HL25" s="33">
        <f t="shared" si="21"/>
        <v>624.27080301484159</v>
      </c>
      <c r="HM25" s="33">
        <f t="shared" si="21"/>
        <v>621.27108191640036</v>
      </c>
      <c r="HN25" s="33">
        <f t="shared" si="21"/>
        <v>618.2563622124668</v>
      </c>
      <c r="HO25" s="33">
        <f t="shared" si="21"/>
        <v>615.22656891001361</v>
      </c>
      <c r="HP25" s="33">
        <f t="shared" si="21"/>
        <v>612.18162664104818</v>
      </c>
      <c r="HQ25" s="33">
        <f t="shared" si="21"/>
        <v>609.12145966073797</v>
      </c>
      <c r="HR25" s="33">
        <f t="shared" si="21"/>
        <v>606.04599184552615</v>
      </c>
      <c r="HS25" s="33">
        <f t="shared" si="21"/>
        <v>602.95514669123827</v>
      </c>
      <c r="HT25" s="33">
        <f t="shared" si="21"/>
        <v>599.84884731117893</v>
      </c>
      <c r="HU25" s="33">
        <f t="shared" si="21"/>
        <v>596.72701643421931</v>
      </c>
      <c r="HV25" s="33">
        <f t="shared" si="21"/>
        <v>593.58957640287474</v>
      </c>
      <c r="HW25" s="33">
        <f t="shared" si="21"/>
        <v>590.43644917137362</v>
      </c>
      <c r="HX25" s="33">
        <f t="shared" si="21"/>
        <v>587.26755630371497</v>
      </c>
      <c r="HY25" s="33">
        <f t="shared" si="21"/>
        <v>584.08281897171798</v>
      </c>
      <c r="HZ25" s="33">
        <f t="shared" si="21"/>
        <v>580.88215795306121</v>
      </c>
      <c r="IA25" s="33">
        <f t="shared" si="21"/>
        <v>577.66549362931096</v>
      </c>
      <c r="IB25" s="33">
        <f t="shared" si="21"/>
        <v>574.43274598394203</v>
      </c>
      <c r="IC25" s="33">
        <f t="shared" si="21"/>
        <v>571.18383460034613</v>
      </c>
      <c r="ID25" s="33">
        <f t="shared" si="21"/>
        <v>567.91867865983238</v>
      </c>
      <c r="IE25" s="33">
        <f t="shared" si="21"/>
        <v>564.63719693961605</v>
      </c>
      <c r="IF25" s="33">
        <f t="shared" si="21"/>
        <v>561.33930781079869</v>
      </c>
      <c r="IG25" s="33">
        <f t="shared" si="21"/>
        <v>558.02492923633713</v>
      </c>
      <c r="IH25" s="33">
        <f t="shared" si="21"/>
        <v>554.69397876900325</v>
      </c>
      <c r="II25" s="33">
        <f t="shared" si="21"/>
        <v>551.34637354933272</v>
      </c>
      <c r="IJ25" s="33">
        <f t="shared" si="21"/>
        <v>547.98203030356387</v>
      </c>
      <c r="IK25" s="33">
        <f t="shared" si="21"/>
        <v>544.60086534156619</v>
      </c>
      <c r="IL25" s="33">
        <f t="shared" si="21"/>
        <v>541.2027945547585</v>
      </c>
      <c r="IM25" s="33">
        <f t="shared" si="21"/>
        <v>537.78773341401677</v>
      </c>
      <c r="IN25" s="33">
        <f t="shared" si="21"/>
        <v>534.35559696757139</v>
      </c>
      <c r="IO25" s="33">
        <f t="shared" si="21"/>
        <v>530.90629983889369</v>
      </c>
      <c r="IP25" s="33">
        <f t="shared" si="21"/>
        <v>527.43975622457265</v>
      </c>
      <c r="IQ25" s="33">
        <f t="shared" si="21"/>
        <v>523.95587989217995</v>
      </c>
      <c r="IR25" s="33">
        <f t="shared" si="21"/>
        <v>520.4545841781254</v>
      </c>
      <c r="IS25" s="33">
        <f t="shared" si="21"/>
        <v>516.93578198550051</v>
      </c>
      <c r="IT25" s="33">
        <f t="shared" si="21"/>
        <v>513.39938578191243</v>
      </c>
      <c r="IU25" s="33">
        <f t="shared" si="21"/>
        <v>509.84530759730654</v>
      </c>
      <c r="IV25" s="33">
        <f t="shared" si="21"/>
        <v>506.27345902177746</v>
      </c>
      <c r="IW25" s="33">
        <f t="shared" si="21"/>
        <v>502.68375120337095</v>
      </c>
      <c r="IX25" s="33">
        <f t="shared" si="21"/>
        <v>499.07609484587232</v>
      </c>
      <c r="IY25" s="33">
        <f t="shared" ref="IY25:LJ25" si="22">IX23*$B$7/12</f>
        <v>495.45040020658615</v>
      </c>
      <c r="IZ25" s="33">
        <f t="shared" si="22"/>
        <v>491.80657709410349</v>
      </c>
      <c r="JA25" s="33">
        <f t="shared" si="22"/>
        <v>488.14453486605856</v>
      </c>
      <c r="JB25" s="33">
        <f t="shared" si="22"/>
        <v>484.46418242687332</v>
      </c>
      <c r="JC25" s="33">
        <f t="shared" si="22"/>
        <v>480.76542822549209</v>
      </c>
      <c r="JD25" s="33">
        <f t="shared" si="22"/>
        <v>477.04818025310402</v>
      </c>
      <c r="JE25" s="33">
        <f t="shared" si="22"/>
        <v>473.31234604085404</v>
      </c>
      <c r="JF25" s="33">
        <f t="shared" si="22"/>
        <v>469.5578326575428</v>
      </c>
      <c r="JG25" s="33">
        <f t="shared" si="22"/>
        <v>465.78454670731503</v>
      </c>
      <c r="JH25" s="33">
        <f t="shared" si="22"/>
        <v>461.99239432733606</v>
      </c>
      <c r="JI25" s="33">
        <f t="shared" si="22"/>
        <v>458.18128118545724</v>
      </c>
      <c r="JJ25" s="33">
        <f t="shared" si="22"/>
        <v>454.35111247786904</v>
      </c>
      <c r="JK25" s="33">
        <f t="shared" si="22"/>
        <v>450.50179292674284</v>
      </c>
      <c r="JL25" s="33">
        <f t="shared" si="22"/>
        <v>446.63322677786101</v>
      </c>
      <c r="JM25" s="33">
        <f t="shared" si="22"/>
        <v>442.74531779823479</v>
      </c>
      <c r="JN25" s="33">
        <f t="shared" si="22"/>
        <v>438.83796927371048</v>
      </c>
      <c r="JO25" s="33">
        <f t="shared" si="22"/>
        <v>434.9110840065635</v>
      </c>
      <c r="JP25" s="33">
        <f t="shared" si="22"/>
        <v>430.96456431308087</v>
      </c>
      <c r="JQ25" s="33">
        <f t="shared" si="22"/>
        <v>426.99831202113074</v>
      </c>
      <c r="JR25" s="33">
        <f t="shared" si="22"/>
        <v>423.01222846772089</v>
      </c>
      <c r="JS25" s="33">
        <f t="shared" si="22"/>
        <v>419.00621449654392</v>
      </c>
      <c r="JT25" s="33">
        <f t="shared" si="22"/>
        <v>414.98017045551114</v>
      </c>
      <c r="JU25" s="33">
        <f t="shared" si="22"/>
        <v>410.93399619427322</v>
      </c>
      <c r="JV25" s="33">
        <f t="shared" si="22"/>
        <v>406.867591061729</v>
      </c>
      <c r="JW25" s="33">
        <f t="shared" si="22"/>
        <v>402.78085390352209</v>
      </c>
      <c r="JX25" s="33">
        <f t="shared" si="22"/>
        <v>398.67368305952419</v>
      </c>
      <c r="JY25" s="33">
        <f t="shared" si="22"/>
        <v>394.54597636130637</v>
      </c>
      <c r="JZ25" s="33">
        <f t="shared" si="22"/>
        <v>390.39763112959741</v>
      </c>
      <c r="KA25" s="33">
        <f t="shared" si="22"/>
        <v>386.22854417172988</v>
      </c>
      <c r="KB25" s="33">
        <f t="shared" si="22"/>
        <v>382.03861177907305</v>
      </c>
      <c r="KC25" s="33">
        <f t="shared" si="22"/>
        <v>377.82772972445287</v>
      </c>
      <c r="KD25" s="33">
        <f t="shared" si="22"/>
        <v>373.59579325955968</v>
      </c>
      <c r="KE25" s="33">
        <f t="shared" si="22"/>
        <v>369.34269711234191</v>
      </c>
      <c r="KF25" s="33">
        <f t="shared" si="22"/>
        <v>365.06833548438811</v>
      </c>
      <c r="KG25" s="33">
        <f t="shared" si="22"/>
        <v>360.77260204829446</v>
      </c>
      <c r="KH25" s="33">
        <f t="shared" si="22"/>
        <v>356.45538994502044</v>
      </c>
      <c r="KI25" s="33">
        <f t="shared" si="22"/>
        <v>352.11659178123</v>
      </c>
      <c r="KJ25" s="33">
        <f t="shared" si="22"/>
        <v>347.75609962662065</v>
      </c>
      <c r="KK25" s="33">
        <f t="shared" si="22"/>
        <v>343.37380501123818</v>
      </c>
      <c r="KL25" s="33">
        <f t="shared" si="22"/>
        <v>338.96959892277886</v>
      </c>
      <c r="KM25" s="33">
        <f t="shared" si="22"/>
        <v>334.54337180387728</v>
      </c>
      <c r="KN25" s="33">
        <f t="shared" si="22"/>
        <v>330.09501354938118</v>
      </c>
      <c r="KO25" s="33">
        <f t="shared" si="22"/>
        <v>325.62441350361252</v>
      </c>
      <c r="KP25" s="33">
        <f t="shared" si="22"/>
        <v>321.13146045761511</v>
      </c>
      <c r="KQ25" s="33">
        <f t="shared" si="22"/>
        <v>316.61604264638765</v>
      </c>
      <c r="KR25" s="33">
        <f t="shared" si="22"/>
        <v>312.07804774610406</v>
      </c>
      <c r="KS25" s="33">
        <f t="shared" si="22"/>
        <v>307.51736287131905</v>
      </c>
      <c r="KT25" s="33">
        <f t="shared" si="22"/>
        <v>302.93387457216011</v>
      </c>
      <c r="KU25" s="33">
        <f t="shared" si="22"/>
        <v>298.32746883150543</v>
      </c>
      <c r="KV25" s="33">
        <f t="shared" si="22"/>
        <v>293.69803106214744</v>
      </c>
      <c r="KW25" s="33">
        <f t="shared" si="22"/>
        <v>289.04544610394265</v>
      </c>
      <c r="KX25" s="33">
        <f t="shared" si="22"/>
        <v>284.36959822094684</v>
      </c>
      <c r="KY25" s="33">
        <f t="shared" si="22"/>
        <v>279.67037109853607</v>
      </c>
      <c r="KZ25" s="33">
        <f t="shared" si="22"/>
        <v>274.94764784051324</v>
      </c>
      <c r="LA25" s="33">
        <f t="shared" si="22"/>
        <v>270.20131096620031</v>
      </c>
      <c r="LB25" s="33">
        <f t="shared" si="22"/>
        <v>265.43124240751575</v>
      </c>
      <c r="LC25" s="33">
        <f t="shared" si="22"/>
        <v>260.63732350603783</v>
      </c>
      <c r="LD25" s="33">
        <f t="shared" si="22"/>
        <v>255.81943501005253</v>
      </c>
      <c r="LE25" s="33">
        <f t="shared" si="22"/>
        <v>250.97745707158731</v>
      </c>
      <c r="LF25" s="33">
        <f t="shared" si="22"/>
        <v>246.11126924342975</v>
      </c>
      <c r="LG25" s="33">
        <f t="shared" si="22"/>
        <v>241.22075047613134</v>
      </c>
      <c r="LH25" s="33">
        <f t="shared" si="22"/>
        <v>236.30577911499651</v>
      </c>
      <c r="LI25" s="33">
        <f t="shared" si="22"/>
        <v>231.36623289705597</v>
      </c>
      <c r="LJ25" s="33">
        <f t="shared" si="22"/>
        <v>226.40198894802572</v>
      </c>
      <c r="LK25" s="33">
        <f t="shared" ref="LK25:MX25" si="23">LJ23*$B$7/12</f>
        <v>221.41292377925035</v>
      </c>
      <c r="LL25" s="33">
        <f t="shared" si="23"/>
        <v>216.39891328463111</v>
      </c>
      <c r="LM25" s="33">
        <f t="shared" si="23"/>
        <v>211.35983273753871</v>
      </c>
      <c r="LN25" s="33">
        <f t="shared" si="23"/>
        <v>206.29555678771092</v>
      </c>
      <c r="LO25" s="33">
        <f t="shared" si="23"/>
        <v>201.20595945813395</v>
      </c>
      <c r="LP25" s="33">
        <f t="shared" si="23"/>
        <v>196.09091414190905</v>
      </c>
      <c r="LQ25" s="33">
        <f t="shared" si="23"/>
        <v>190.95029359910313</v>
      </c>
      <c r="LR25" s="33">
        <f t="shared" si="23"/>
        <v>185.78396995358312</v>
      </c>
      <c r="LS25" s="33">
        <f t="shared" si="23"/>
        <v>180.59181468983556</v>
      </c>
      <c r="LT25" s="33">
        <f t="shared" si="23"/>
        <v>175.37369864976918</v>
      </c>
      <c r="LU25" s="33">
        <f t="shared" si="23"/>
        <v>170.12949202950253</v>
      </c>
      <c r="LV25" s="33">
        <f t="shared" si="23"/>
        <v>164.85906437613457</v>
      </c>
      <c r="LW25" s="33">
        <f t="shared" si="23"/>
        <v>159.56228458449971</v>
      </c>
      <c r="LX25" s="33">
        <f t="shared" si="23"/>
        <v>154.23902089390671</v>
      </c>
      <c r="LY25" s="33">
        <f t="shared" si="23"/>
        <v>148.88914088486072</v>
      </c>
      <c r="LZ25" s="33">
        <f t="shared" si="23"/>
        <v>143.51251147576949</v>
      </c>
      <c r="MA25" s="33">
        <f t="shared" si="23"/>
        <v>138.10899891963282</v>
      </c>
      <c r="MB25" s="33">
        <f t="shared" si="23"/>
        <v>132.67846880071548</v>
      </c>
      <c r="MC25" s="33">
        <f t="shared" si="23"/>
        <v>127.22078603120353</v>
      </c>
      <c r="MD25" s="33">
        <f t="shared" si="23"/>
        <v>121.73581484784403</v>
      </c>
      <c r="ME25" s="33">
        <f t="shared" si="23"/>
        <v>116.22341880856773</v>
      </c>
      <c r="MF25" s="33">
        <f t="shared" si="23"/>
        <v>110.68346078909507</v>
      </c>
      <c r="MG25" s="33">
        <f t="shared" si="23"/>
        <v>105.11580297952501</v>
      </c>
      <c r="MH25" s="33">
        <f t="shared" si="23"/>
        <v>99.520306880907114</v>
      </c>
      <c r="MI25" s="33">
        <f t="shared" si="23"/>
        <v>93.89683330179615</v>
      </c>
      <c r="MJ25" s="33">
        <f t="shared" si="23"/>
        <v>88.245242354789596</v>
      </c>
      <c r="MK25" s="33">
        <f t="shared" si="23"/>
        <v>82.565393453048031</v>
      </c>
      <c r="ML25" s="33">
        <f t="shared" si="23"/>
        <v>76.857145306797761</v>
      </c>
      <c r="MM25" s="33">
        <f t="shared" si="23"/>
        <v>71.12035591981622</v>
      </c>
      <c r="MN25" s="33">
        <f t="shared" si="23"/>
        <v>65.354882585899801</v>
      </c>
      <c r="MO25" s="33">
        <f t="shared" si="23"/>
        <v>59.560581885313773</v>
      </c>
      <c r="MP25" s="33">
        <f t="shared" si="23"/>
        <v>53.737309681224836</v>
      </c>
      <c r="MQ25" s="33">
        <f t="shared" si="23"/>
        <v>47.884921116115436</v>
      </c>
      <c r="MR25" s="33">
        <f t="shared" si="23"/>
        <v>42.0032706081805</v>
      </c>
      <c r="MS25" s="33">
        <f t="shared" si="23"/>
        <v>36.092211847705883</v>
      </c>
      <c r="MT25" s="33">
        <f t="shared" si="23"/>
        <v>30.151597793428902</v>
      </c>
      <c r="MU25" s="33">
        <f t="shared" si="23"/>
        <v>24.181280668880529</v>
      </c>
      <c r="MV25" s="33">
        <f t="shared" si="23"/>
        <v>18.181111958709412</v>
      </c>
      <c r="MW25" s="33">
        <f t="shared" si="23"/>
        <v>12.150942404987445</v>
      </c>
      <c r="MX25" s="55">
        <f t="shared" si="23"/>
        <v>6.0906220034968674</v>
      </c>
      <c r="MY25" s="1"/>
      <c r="MZ25" s="1"/>
      <c r="NA25" s="1"/>
      <c r="NB25" s="1"/>
      <c r="NC25" s="1"/>
      <c r="ND25" s="1"/>
      <c r="NE25" s="1"/>
      <c r="NF25" s="13">
        <v>0.12</v>
      </c>
      <c r="NG25" s="1">
        <f>Combine!A27</f>
        <v>48183</v>
      </c>
      <c r="NH25" s="14">
        <f>Combine!F27</f>
        <v>227304.19453739701</v>
      </c>
    </row>
    <row r="26" spans="1:372" ht="12.75" customHeight="1" x14ac:dyDescent="0.3">
      <c r="A26" s="31" t="s">
        <v>867</v>
      </c>
      <c r="B26" s="32"/>
      <c r="C26" s="33">
        <f t="shared" ref="C26:BN26" si="24">$B$15</f>
        <v>1224.2150227031032</v>
      </c>
      <c r="D26" s="33">
        <f t="shared" si="24"/>
        <v>1224.2150227031032</v>
      </c>
      <c r="E26" s="33">
        <f t="shared" si="24"/>
        <v>1224.2150227031032</v>
      </c>
      <c r="F26" s="33">
        <f t="shared" si="24"/>
        <v>1224.2150227031032</v>
      </c>
      <c r="G26" s="33">
        <f t="shared" si="24"/>
        <v>1224.2150227031032</v>
      </c>
      <c r="H26" s="33">
        <f t="shared" si="24"/>
        <v>1224.2150227031032</v>
      </c>
      <c r="I26" s="33">
        <f t="shared" si="24"/>
        <v>1224.2150227031032</v>
      </c>
      <c r="J26" s="33">
        <f t="shared" si="24"/>
        <v>1224.2150227031032</v>
      </c>
      <c r="K26" s="33">
        <f t="shared" si="24"/>
        <v>1224.2150227031032</v>
      </c>
      <c r="L26" s="33">
        <f t="shared" si="24"/>
        <v>1224.2150227031032</v>
      </c>
      <c r="M26" s="33">
        <f t="shared" si="24"/>
        <v>1224.2150227031032</v>
      </c>
      <c r="N26" s="33">
        <f t="shared" si="24"/>
        <v>1224.2150227031032</v>
      </c>
      <c r="O26" s="33">
        <f t="shared" si="24"/>
        <v>1224.2150227031032</v>
      </c>
      <c r="P26" s="33">
        <f t="shared" si="24"/>
        <v>1224.2150227031032</v>
      </c>
      <c r="Q26" s="33">
        <f t="shared" si="24"/>
        <v>1224.2150227031032</v>
      </c>
      <c r="R26" s="33">
        <f t="shared" si="24"/>
        <v>1224.2150227031032</v>
      </c>
      <c r="S26" s="33">
        <f t="shared" si="24"/>
        <v>1224.2150227031032</v>
      </c>
      <c r="T26" s="33">
        <f t="shared" si="24"/>
        <v>1224.2150227031032</v>
      </c>
      <c r="U26" s="33">
        <f t="shared" si="24"/>
        <v>1224.2150227031032</v>
      </c>
      <c r="V26" s="33">
        <f t="shared" si="24"/>
        <v>1224.2150227031032</v>
      </c>
      <c r="W26" s="33">
        <f t="shared" si="24"/>
        <v>1224.2150227031032</v>
      </c>
      <c r="X26" s="33">
        <f t="shared" si="24"/>
        <v>1224.2150227031032</v>
      </c>
      <c r="Y26" s="33">
        <f t="shared" si="24"/>
        <v>1224.2150227031032</v>
      </c>
      <c r="Z26" s="33">
        <f t="shared" si="24"/>
        <v>1224.2150227031032</v>
      </c>
      <c r="AA26" s="33">
        <f t="shared" si="24"/>
        <v>1224.2150227031032</v>
      </c>
      <c r="AB26" s="33">
        <f t="shared" si="24"/>
        <v>1224.2150227031032</v>
      </c>
      <c r="AC26" s="33">
        <f t="shared" si="24"/>
        <v>1224.2150227031032</v>
      </c>
      <c r="AD26" s="33">
        <f t="shared" si="24"/>
        <v>1224.2150227031032</v>
      </c>
      <c r="AE26" s="33">
        <f t="shared" si="24"/>
        <v>1224.2150227031032</v>
      </c>
      <c r="AF26" s="33">
        <f t="shared" si="24"/>
        <v>1224.2150227031032</v>
      </c>
      <c r="AG26" s="33">
        <f t="shared" si="24"/>
        <v>1224.2150227031032</v>
      </c>
      <c r="AH26" s="33">
        <f t="shared" si="24"/>
        <v>1224.2150227031032</v>
      </c>
      <c r="AI26" s="33">
        <f t="shared" si="24"/>
        <v>1224.2150227031032</v>
      </c>
      <c r="AJ26" s="33">
        <f t="shared" si="24"/>
        <v>1224.2150227031032</v>
      </c>
      <c r="AK26" s="33">
        <f t="shared" si="24"/>
        <v>1224.2150227031032</v>
      </c>
      <c r="AL26" s="33">
        <f t="shared" si="24"/>
        <v>1224.2150227031032</v>
      </c>
      <c r="AM26" s="33">
        <f t="shared" si="24"/>
        <v>1224.2150227031032</v>
      </c>
      <c r="AN26" s="33">
        <f t="shared" si="24"/>
        <v>1224.2150227031032</v>
      </c>
      <c r="AO26" s="33">
        <f t="shared" si="24"/>
        <v>1224.2150227031032</v>
      </c>
      <c r="AP26" s="33">
        <f t="shared" si="24"/>
        <v>1224.2150227031032</v>
      </c>
      <c r="AQ26" s="33">
        <f t="shared" si="24"/>
        <v>1224.2150227031032</v>
      </c>
      <c r="AR26" s="33">
        <f t="shared" si="24"/>
        <v>1224.2150227031032</v>
      </c>
      <c r="AS26" s="33">
        <f t="shared" si="24"/>
        <v>1224.2150227031032</v>
      </c>
      <c r="AT26" s="33">
        <f t="shared" si="24"/>
        <v>1224.2150227031032</v>
      </c>
      <c r="AU26" s="33">
        <f t="shared" si="24"/>
        <v>1224.2150227031032</v>
      </c>
      <c r="AV26" s="33">
        <f t="shared" si="24"/>
        <v>1224.2150227031032</v>
      </c>
      <c r="AW26" s="33">
        <f t="shared" si="24"/>
        <v>1224.2150227031032</v>
      </c>
      <c r="AX26" s="33">
        <f t="shared" si="24"/>
        <v>1224.2150227031032</v>
      </c>
      <c r="AY26" s="33">
        <f t="shared" si="24"/>
        <v>1224.2150227031032</v>
      </c>
      <c r="AZ26" s="33">
        <f t="shared" si="24"/>
        <v>1224.2150227031032</v>
      </c>
      <c r="BA26" s="33">
        <f t="shared" si="24"/>
        <v>1224.2150227031032</v>
      </c>
      <c r="BB26" s="33">
        <f t="shared" si="24"/>
        <v>1224.2150227031032</v>
      </c>
      <c r="BC26" s="33">
        <f t="shared" si="24"/>
        <v>1224.2150227031032</v>
      </c>
      <c r="BD26" s="33">
        <f t="shared" si="24"/>
        <v>1224.2150227031032</v>
      </c>
      <c r="BE26" s="33">
        <f t="shared" si="24"/>
        <v>1224.2150227031032</v>
      </c>
      <c r="BF26" s="33">
        <f t="shared" si="24"/>
        <v>1224.2150227031032</v>
      </c>
      <c r="BG26" s="33">
        <f t="shared" si="24"/>
        <v>1224.2150227031032</v>
      </c>
      <c r="BH26" s="33">
        <f t="shared" si="24"/>
        <v>1224.2150227031032</v>
      </c>
      <c r="BI26" s="33">
        <f t="shared" si="24"/>
        <v>1224.2150227031032</v>
      </c>
      <c r="BJ26" s="33">
        <f t="shared" si="24"/>
        <v>1224.2150227031032</v>
      </c>
      <c r="BK26" s="33">
        <f t="shared" si="24"/>
        <v>1224.2150227031032</v>
      </c>
      <c r="BL26" s="33">
        <f t="shared" si="24"/>
        <v>1224.2150227031032</v>
      </c>
      <c r="BM26" s="33">
        <f t="shared" si="24"/>
        <v>1224.2150227031032</v>
      </c>
      <c r="BN26" s="33">
        <f t="shared" si="24"/>
        <v>1224.2150227031032</v>
      </c>
      <c r="BO26" s="33">
        <f t="shared" ref="BO26:DZ26" si="25">$B$15</f>
        <v>1224.2150227031032</v>
      </c>
      <c r="BP26" s="33">
        <f t="shared" si="25"/>
        <v>1224.2150227031032</v>
      </c>
      <c r="BQ26" s="33">
        <f t="shared" si="25"/>
        <v>1224.2150227031032</v>
      </c>
      <c r="BR26" s="33">
        <f t="shared" si="25"/>
        <v>1224.2150227031032</v>
      </c>
      <c r="BS26" s="33">
        <f t="shared" si="25"/>
        <v>1224.2150227031032</v>
      </c>
      <c r="BT26" s="33">
        <f t="shared" si="25"/>
        <v>1224.2150227031032</v>
      </c>
      <c r="BU26" s="33">
        <f t="shared" si="25"/>
        <v>1224.2150227031032</v>
      </c>
      <c r="BV26" s="33">
        <f t="shared" si="25"/>
        <v>1224.2150227031032</v>
      </c>
      <c r="BW26" s="33">
        <f t="shared" si="25"/>
        <v>1224.2150227031032</v>
      </c>
      <c r="BX26" s="33">
        <f t="shared" si="25"/>
        <v>1224.2150227031032</v>
      </c>
      <c r="BY26" s="33">
        <f t="shared" si="25"/>
        <v>1224.2150227031032</v>
      </c>
      <c r="BZ26" s="33">
        <f t="shared" si="25"/>
        <v>1224.2150227031032</v>
      </c>
      <c r="CA26" s="33">
        <f t="shared" si="25"/>
        <v>1224.2150227031032</v>
      </c>
      <c r="CB26" s="33">
        <f t="shared" si="25"/>
        <v>1224.2150227031032</v>
      </c>
      <c r="CC26" s="33">
        <f t="shared" si="25"/>
        <v>1224.2150227031032</v>
      </c>
      <c r="CD26" s="33">
        <f t="shared" si="25"/>
        <v>1224.2150227031032</v>
      </c>
      <c r="CE26" s="33">
        <f t="shared" si="25"/>
        <v>1224.2150227031032</v>
      </c>
      <c r="CF26" s="33">
        <f t="shared" si="25"/>
        <v>1224.2150227031032</v>
      </c>
      <c r="CG26" s="33">
        <f t="shared" si="25"/>
        <v>1224.2150227031032</v>
      </c>
      <c r="CH26" s="33">
        <f t="shared" si="25"/>
        <v>1224.2150227031032</v>
      </c>
      <c r="CI26" s="33">
        <f t="shared" si="25"/>
        <v>1224.2150227031032</v>
      </c>
      <c r="CJ26" s="33">
        <f t="shared" si="25"/>
        <v>1224.2150227031032</v>
      </c>
      <c r="CK26" s="33">
        <f t="shared" si="25"/>
        <v>1224.2150227031032</v>
      </c>
      <c r="CL26" s="33">
        <f t="shared" si="25"/>
        <v>1224.2150227031032</v>
      </c>
      <c r="CM26" s="33">
        <f t="shared" si="25"/>
        <v>1224.2150227031032</v>
      </c>
      <c r="CN26" s="33">
        <f t="shared" si="25"/>
        <v>1224.2150227031032</v>
      </c>
      <c r="CO26" s="33">
        <f t="shared" si="25"/>
        <v>1224.2150227031032</v>
      </c>
      <c r="CP26" s="33">
        <f t="shared" si="25"/>
        <v>1224.2150227031032</v>
      </c>
      <c r="CQ26" s="33">
        <f t="shared" si="25"/>
        <v>1224.2150227031032</v>
      </c>
      <c r="CR26" s="33">
        <f t="shared" si="25"/>
        <v>1224.2150227031032</v>
      </c>
      <c r="CS26" s="33">
        <f t="shared" si="25"/>
        <v>1224.2150227031032</v>
      </c>
      <c r="CT26" s="33">
        <f t="shared" si="25"/>
        <v>1224.2150227031032</v>
      </c>
      <c r="CU26" s="33">
        <f t="shared" si="25"/>
        <v>1224.2150227031032</v>
      </c>
      <c r="CV26" s="33">
        <f t="shared" si="25"/>
        <v>1224.2150227031032</v>
      </c>
      <c r="CW26" s="33">
        <f t="shared" si="25"/>
        <v>1224.2150227031032</v>
      </c>
      <c r="CX26" s="33">
        <f t="shared" si="25"/>
        <v>1224.2150227031032</v>
      </c>
      <c r="CY26" s="33">
        <f t="shared" si="25"/>
        <v>1224.2150227031032</v>
      </c>
      <c r="CZ26" s="33">
        <f t="shared" si="25"/>
        <v>1224.2150227031032</v>
      </c>
      <c r="DA26" s="33">
        <f t="shared" si="25"/>
        <v>1224.2150227031032</v>
      </c>
      <c r="DB26" s="33">
        <f t="shared" si="25"/>
        <v>1224.2150227031032</v>
      </c>
      <c r="DC26" s="33">
        <f t="shared" si="25"/>
        <v>1224.2150227031032</v>
      </c>
      <c r="DD26" s="33">
        <f t="shared" si="25"/>
        <v>1224.2150227031032</v>
      </c>
      <c r="DE26" s="33">
        <f t="shared" si="25"/>
        <v>1224.2150227031032</v>
      </c>
      <c r="DF26" s="33">
        <f t="shared" si="25"/>
        <v>1224.2150227031032</v>
      </c>
      <c r="DG26" s="33">
        <f t="shared" si="25"/>
        <v>1224.2150227031032</v>
      </c>
      <c r="DH26" s="33">
        <f t="shared" si="25"/>
        <v>1224.2150227031032</v>
      </c>
      <c r="DI26" s="33">
        <f t="shared" si="25"/>
        <v>1224.2150227031032</v>
      </c>
      <c r="DJ26" s="33">
        <f t="shared" si="25"/>
        <v>1224.2150227031032</v>
      </c>
      <c r="DK26" s="33">
        <f t="shared" si="25"/>
        <v>1224.2150227031032</v>
      </c>
      <c r="DL26" s="33">
        <f t="shared" si="25"/>
        <v>1224.2150227031032</v>
      </c>
      <c r="DM26" s="33">
        <f t="shared" si="25"/>
        <v>1224.2150227031032</v>
      </c>
      <c r="DN26" s="33">
        <f t="shared" si="25"/>
        <v>1224.2150227031032</v>
      </c>
      <c r="DO26" s="33">
        <f t="shared" si="25"/>
        <v>1224.2150227031032</v>
      </c>
      <c r="DP26" s="33">
        <f t="shared" si="25"/>
        <v>1224.2150227031032</v>
      </c>
      <c r="DQ26" s="33">
        <f t="shared" si="25"/>
        <v>1224.2150227031032</v>
      </c>
      <c r="DR26" s="33">
        <f t="shared" si="25"/>
        <v>1224.2150227031032</v>
      </c>
      <c r="DS26" s="33">
        <f t="shared" si="25"/>
        <v>1224.2150227031032</v>
      </c>
      <c r="DT26" s="33">
        <f t="shared" si="25"/>
        <v>1224.2150227031032</v>
      </c>
      <c r="DU26" s="33">
        <f t="shared" si="25"/>
        <v>1224.2150227031032</v>
      </c>
      <c r="DV26" s="33">
        <f t="shared" si="25"/>
        <v>1224.2150227031032</v>
      </c>
      <c r="DW26" s="33">
        <f t="shared" si="25"/>
        <v>1224.2150227031032</v>
      </c>
      <c r="DX26" s="33">
        <f t="shared" si="25"/>
        <v>1224.2150227031032</v>
      </c>
      <c r="DY26" s="33">
        <f t="shared" si="25"/>
        <v>1224.2150227031032</v>
      </c>
      <c r="DZ26" s="33">
        <f t="shared" si="25"/>
        <v>1224.2150227031032</v>
      </c>
      <c r="EA26" s="33">
        <f t="shared" ref="EA26:GL26" si="26">$B$15</f>
        <v>1224.2150227031032</v>
      </c>
      <c r="EB26" s="33">
        <f t="shared" si="26"/>
        <v>1224.2150227031032</v>
      </c>
      <c r="EC26" s="33">
        <f t="shared" si="26"/>
        <v>1224.2150227031032</v>
      </c>
      <c r="ED26" s="33">
        <f t="shared" si="26"/>
        <v>1224.2150227031032</v>
      </c>
      <c r="EE26" s="33">
        <f t="shared" si="26"/>
        <v>1224.2150227031032</v>
      </c>
      <c r="EF26" s="33">
        <f t="shared" si="26"/>
        <v>1224.2150227031032</v>
      </c>
      <c r="EG26" s="33">
        <f t="shared" si="26"/>
        <v>1224.2150227031032</v>
      </c>
      <c r="EH26" s="33">
        <f t="shared" si="26"/>
        <v>1224.2150227031032</v>
      </c>
      <c r="EI26" s="33">
        <f t="shared" si="26"/>
        <v>1224.2150227031032</v>
      </c>
      <c r="EJ26" s="33">
        <f t="shared" si="26"/>
        <v>1224.2150227031032</v>
      </c>
      <c r="EK26" s="33">
        <f t="shared" si="26"/>
        <v>1224.2150227031032</v>
      </c>
      <c r="EL26" s="33">
        <f t="shared" si="26"/>
        <v>1224.2150227031032</v>
      </c>
      <c r="EM26" s="33">
        <f t="shared" si="26"/>
        <v>1224.2150227031032</v>
      </c>
      <c r="EN26" s="33">
        <f t="shared" si="26"/>
        <v>1224.2150227031032</v>
      </c>
      <c r="EO26" s="33">
        <f t="shared" si="26"/>
        <v>1224.2150227031032</v>
      </c>
      <c r="EP26" s="33">
        <f t="shared" si="26"/>
        <v>1224.2150227031032</v>
      </c>
      <c r="EQ26" s="33">
        <f t="shared" si="26"/>
        <v>1224.2150227031032</v>
      </c>
      <c r="ER26" s="33">
        <f t="shared" si="26"/>
        <v>1224.2150227031032</v>
      </c>
      <c r="ES26" s="33">
        <f t="shared" si="26"/>
        <v>1224.2150227031032</v>
      </c>
      <c r="ET26" s="33">
        <f t="shared" si="26"/>
        <v>1224.2150227031032</v>
      </c>
      <c r="EU26" s="33">
        <f t="shared" si="26"/>
        <v>1224.2150227031032</v>
      </c>
      <c r="EV26" s="33">
        <f t="shared" si="26"/>
        <v>1224.2150227031032</v>
      </c>
      <c r="EW26" s="33">
        <f t="shared" si="26"/>
        <v>1224.2150227031032</v>
      </c>
      <c r="EX26" s="33">
        <f t="shared" si="26"/>
        <v>1224.2150227031032</v>
      </c>
      <c r="EY26" s="33">
        <f t="shared" si="26"/>
        <v>1224.2150227031032</v>
      </c>
      <c r="EZ26" s="33">
        <f t="shared" si="26"/>
        <v>1224.2150227031032</v>
      </c>
      <c r="FA26" s="33">
        <f t="shared" si="26"/>
        <v>1224.2150227031032</v>
      </c>
      <c r="FB26" s="33">
        <f t="shared" si="26"/>
        <v>1224.2150227031032</v>
      </c>
      <c r="FC26" s="33">
        <f t="shared" si="26"/>
        <v>1224.2150227031032</v>
      </c>
      <c r="FD26" s="33">
        <f t="shared" si="26"/>
        <v>1224.2150227031032</v>
      </c>
      <c r="FE26" s="33">
        <f t="shared" si="26"/>
        <v>1224.2150227031032</v>
      </c>
      <c r="FF26" s="33">
        <f t="shared" si="26"/>
        <v>1224.2150227031032</v>
      </c>
      <c r="FG26" s="33">
        <f t="shared" si="26"/>
        <v>1224.2150227031032</v>
      </c>
      <c r="FH26" s="33">
        <f t="shared" si="26"/>
        <v>1224.2150227031032</v>
      </c>
      <c r="FI26" s="33">
        <f t="shared" si="26"/>
        <v>1224.2150227031032</v>
      </c>
      <c r="FJ26" s="33">
        <f t="shared" si="26"/>
        <v>1224.2150227031032</v>
      </c>
      <c r="FK26" s="33">
        <f t="shared" si="26"/>
        <v>1224.2150227031032</v>
      </c>
      <c r="FL26" s="33">
        <f t="shared" si="26"/>
        <v>1224.2150227031032</v>
      </c>
      <c r="FM26" s="33">
        <f t="shared" si="26"/>
        <v>1224.2150227031032</v>
      </c>
      <c r="FN26" s="33">
        <f t="shared" si="26"/>
        <v>1224.2150227031032</v>
      </c>
      <c r="FO26" s="33">
        <f t="shared" si="26"/>
        <v>1224.2150227031032</v>
      </c>
      <c r="FP26" s="33">
        <f t="shared" si="26"/>
        <v>1224.2150227031032</v>
      </c>
      <c r="FQ26" s="33">
        <f t="shared" si="26"/>
        <v>1224.2150227031032</v>
      </c>
      <c r="FR26" s="33">
        <f t="shared" si="26"/>
        <v>1224.2150227031032</v>
      </c>
      <c r="FS26" s="33">
        <f t="shared" si="26"/>
        <v>1224.2150227031032</v>
      </c>
      <c r="FT26" s="33">
        <f t="shared" si="26"/>
        <v>1224.2150227031032</v>
      </c>
      <c r="FU26" s="33">
        <f t="shared" si="26"/>
        <v>1224.2150227031032</v>
      </c>
      <c r="FV26" s="33">
        <f t="shared" si="26"/>
        <v>1224.2150227031032</v>
      </c>
      <c r="FW26" s="33">
        <f t="shared" si="26"/>
        <v>1224.2150227031032</v>
      </c>
      <c r="FX26" s="33">
        <f t="shared" si="26"/>
        <v>1224.2150227031032</v>
      </c>
      <c r="FY26" s="33">
        <f t="shared" si="26"/>
        <v>1224.2150227031032</v>
      </c>
      <c r="FZ26" s="33">
        <f t="shared" si="26"/>
        <v>1224.2150227031032</v>
      </c>
      <c r="GA26" s="33">
        <f t="shared" si="26"/>
        <v>1224.2150227031032</v>
      </c>
      <c r="GB26" s="33">
        <f t="shared" si="26"/>
        <v>1224.2150227031032</v>
      </c>
      <c r="GC26" s="33">
        <f t="shared" si="26"/>
        <v>1224.2150227031032</v>
      </c>
      <c r="GD26" s="33">
        <f t="shared" si="26"/>
        <v>1224.2150227031032</v>
      </c>
      <c r="GE26" s="33">
        <f t="shared" si="26"/>
        <v>1224.2150227031032</v>
      </c>
      <c r="GF26" s="33">
        <f t="shared" si="26"/>
        <v>1224.2150227031032</v>
      </c>
      <c r="GG26" s="33">
        <f t="shared" si="26"/>
        <v>1224.2150227031032</v>
      </c>
      <c r="GH26" s="33">
        <f t="shared" si="26"/>
        <v>1224.2150227031032</v>
      </c>
      <c r="GI26" s="33">
        <f t="shared" si="26"/>
        <v>1224.2150227031032</v>
      </c>
      <c r="GJ26" s="33">
        <f t="shared" si="26"/>
        <v>1224.2150227031032</v>
      </c>
      <c r="GK26" s="33">
        <f t="shared" si="26"/>
        <v>1224.2150227031032</v>
      </c>
      <c r="GL26" s="33">
        <f t="shared" si="26"/>
        <v>1224.2150227031032</v>
      </c>
      <c r="GM26" s="33">
        <f t="shared" ref="GM26:IX26" si="27">$B$15</f>
        <v>1224.2150227031032</v>
      </c>
      <c r="GN26" s="33">
        <f t="shared" si="27"/>
        <v>1224.2150227031032</v>
      </c>
      <c r="GO26" s="33">
        <f t="shared" si="27"/>
        <v>1224.2150227031032</v>
      </c>
      <c r="GP26" s="33">
        <f t="shared" si="27"/>
        <v>1224.2150227031032</v>
      </c>
      <c r="GQ26" s="33">
        <f t="shared" si="27"/>
        <v>1224.2150227031032</v>
      </c>
      <c r="GR26" s="33">
        <f t="shared" si="27"/>
        <v>1224.2150227031032</v>
      </c>
      <c r="GS26" s="33">
        <f t="shared" si="27"/>
        <v>1224.2150227031032</v>
      </c>
      <c r="GT26" s="33">
        <f t="shared" si="27"/>
        <v>1224.2150227031032</v>
      </c>
      <c r="GU26" s="33">
        <f t="shared" si="27"/>
        <v>1224.2150227031032</v>
      </c>
      <c r="GV26" s="33">
        <f t="shared" si="27"/>
        <v>1224.2150227031032</v>
      </c>
      <c r="GW26" s="33">
        <f t="shared" si="27"/>
        <v>1224.2150227031032</v>
      </c>
      <c r="GX26" s="33">
        <f t="shared" si="27"/>
        <v>1224.2150227031032</v>
      </c>
      <c r="GY26" s="33">
        <f t="shared" si="27"/>
        <v>1224.2150227031032</v>
      </c>
      <c r="GZ26" s="33">
        <f t="shared" si="27"/>
        <v>1224.2150227031032</v>
      </c>
      <c r="HA26" s="33">
        <f t="shared" si="27"/>
        <v>1224.2150227031032</v>
      </c>
      <c r="HB26" s="33">
        <f t="shared" si="27"/>
        <v>1224.2150227031032</v>
      </c>
      <c r="HC26" s="33">
        <f t="shared" si="27"/>
        <v>1224.2150227031032</v>
      </c>
      <c r="HD26" s="33">
        <f t="shared" si="27"/>
        <v>1224.2150227031032</v>
      </c>
      <c r="HE26" s="33">
        <f t="shared" si="27"/>
        <v>1224.2150227031032</v>
      </c>
      <c r="HF26" s="33">
        <f t="shared" si="27"/>
        <v>1224.2150227031032</v>
      </c>
      <c r="HG26" s="33">
        <f t="shared" si="27"/>
        <v>1224.2150227031032</v>
      </c>
      <c r="HH26" s="33">
        <f t="shared" si="27"/>
        <v>1224.2150227031032</v>
      </c>
      <c r="HI26" s="33">
        <f t="shared" si="27"/>
        <v>1224.2150227031032</v>
      </c>
      <c r="HJ26" s="33">
        <f t="shared" si="27"/>
        <v>1224.2150227031032</v>
      </c>
      <c r="HK26" s="33">
        <f t="shared" si="27"/>
        <v>1224.2150227031032</v>
      </c>
      <c r="HL26" s="33">
        <f t="shared" si="27"/>
        <v>1224.2150227031032</v>
      </c>
      <c r="HM26" s="33">
        <f t="shared" si="27"/>
        <v>1224.2150227031032</v>
      </c>
      <c r="HN26" s="33">
        <f t="shared" si="27"/>
        <v>1224.2150227031032</v>
      </c>
      <c r="HO26" s="33">
        <f t="shared" si="27"/>
        <v>1224.2150227031032</v>
      </c>
      <c r="HP26" s="33">
        <f t="shared" si="27"/>
        <v>1224.2150227031032</v>
      </c>
      <c r="HQ26" s="33">
        <f t="shared" si="27"/>
        <v>1224.2150227031032</v>
      </c>
      <c r="HR26" s="33">
        <f t="shared" si="27"/>
        <v>1224.2150227031032</v>
      </c>
      <c r="HS26" s="33">
        <f t="shared" si="27"/>
        <v>1224.2150227031032</v>
      </c>
      <c r="HT26" s="33">
        <f t="shared" si="27"/>
        <v>1224.2150227031032</v>
      </c>
      <c r="HU26" s="33">
        <f t="shared" si="27"/>
        <v>1224.2150227031032</v>
      </c>
      <c r="HV26" s="33">
        <f t="shared" si="27"/>
        <v>1224.2150227031032</v>
      </c>
      <c r="HW26" s="33">
        <f t="shared" si="27"/>
        <v>1224.2150227031032</v>
      </c>
      <c r="HX26" s="33">
        <f t="shared" si="27"/>
        <v>1224.2150227031032</v>
      </c>
      <c r="HY26" s="33">
        <f t="shared" si="27"/>
        <v>1224.2150227031032</v>
      </c>
      <c r="HZ26" s="33">
        <f t="shared" si="27"/>
        <v>1224.2150227031032</v>
      </c>
      <c r="IA26" s="33">
        <f t="shared" si="27"/>
        <v>1224.2150227031032</v>
      </c>
      <c r="IB26" s="33">
        <f t="shared" si="27"/>
        <v>1224.2150227031032</v>
      </c>
      <c r="IC26" s="33">
        <f t="shared" si="27"/>
        <v>1224.2150227031032</v>
      </c>
      <c r="ID26" s="33">
        <f t="shared" si="27"/>
        <v>1224.2150227031032</v>
      </c>
      <c r="IE26" s="33">
        <f t="shared" si="27"/>
        <v>1224.2150227031032</v>
      </c>
      <c r="IF26" s="33">
        <f t="shared" si="27"/>
        <v>1224.2150227031032</v>
      </c>
      <c r="IG26" s="33">
        <f t="shared" si="27"/>
        <v>1224.2150227031032</v>
      </c>
      <c r="IH26" s="33">
        <f t="shared" si="27"/>
        <v>1224.2150227031032</v>
      </c>
      <c r="II26" s="33">
        <f t="shared" si="27"/>
        <v>1224.2150227031032</v>
      </c>
      <c r="IJ26" s="33">
        <f t="shared" si="27"/>
        <v>1224.2150227031032</v>
      </c>
      <c r="IK26" s="33">
        <f t="shared" si="27"/>
        <v>1224.2150227031032</v>
      </c>
      <c r="IL26" s="33">
        <f t="shared" si="27"/>
        <v>1224.2150227031032</v>
      </c>
      <c r="IM26" s="33">
        <f t="shared" si="27"/>
        <v>1224.2150227031032</v>
      </c>
      <c r="IN26" s="33">
        <f t="shared" si="27"/>
        <v>1224.2150227031032</v>
      </c>
      <c r="IO26" s="33">
        <f t="shared" si="27"/>
        <v>1224.2150227031032</v>
      </c>
      <c r="IP26" s="33">
        <f t="shared" si="27"/>
        <v>1224.2150227031032</v>
      </c>
      <c r="IQ26" s="33">
        <f t="shared" si="27"/>
        <v>1224.2150227031032</v>
      </c>
      <c r="IR26" s="33">
        <f t="shared" si="27"/>
        <v>1224.2150227031032</v>
      </c>
      <c r="IS26" s="33">
        <f t="shared" si="27"/>
        <v>1224.2150227031032</v>
      </c>
      <c r="IT26" s="33">
        <f t="shared" si="27"/>
        <v>1224.2150227031032</v>
      </c>
      <c r="IU26" s="33">
        <f t="shared" si="27"/>
        <v>1224.2150227031032</v>
      </c>
      <c r="IV26" s="33">
        <f t="shared" si="27"/>
        <v>1224.2150227031032</v>
      </c>
      <c r="IW26" s="33">
        <f t="shared" si="27"/>
        <v>1224.2150227031032</v>
      </c>
      <c r="IX26" s="33">
        <f t="shared" si="27"/>
        <v>1224.2150227031032</v>
      </c>
      <c r="IY26" s="33">
        <f t="shared" ref="IY26:LJ26" si="28">$B$15</f>
        <v>1224.2150227031032</v>
      </c>
      <c r="IZ26" s="33">
        <f t="shared" si="28"/>
        <v>1224.2150227031032</v>
      </c>
      <c r="JA26" s="33">
        <f t="shared" si="28"/>
        <v>1224.2150227031032</v>
      </c>
      <c r="JB26" s="33">
        <f t="shared" si="28"/>
        <v>1224.2150227031032</v>
      </c>
      <c r="JC26" s="33">
        <f t="shared" si="28"/>
        <v>1224.2150227031032</v>
      </c>
      <c r="JD26" s="33">
        <f t="shared" si="28"/>
        <v>1224.2150227031032</v>
      </c>
      <c r="JE26" s="33">
        <f t="shared" si="28"/>
        <v>1224.2150227031032</v>
      </c>
      <c r="JF26" s="33">
        <f t="shared" si="28"/>
        <v>1224.2150227031032</v>
      </c>
      <c r="JG26" s="33">
        <f t="shared" si="28"/>
        <v>1224.2150227031032</v>
      </c>
      <c r="JH26" s="33">
        <f t="shared" si="28"/>
        <v>1224.2150227031032</v>
      </c>
      <c r="JI26" s="33">
        <f t="shared" si="28"/>
        <v>1224.2150227031032</v>
      </c>
      <c r="JJ26" s="33">
        <f t="shared" si="28"/>
        <v>1224.2150227031032</v>
      </c>
      <c r="JK26" s="33">
        <f t="shared" si="28"/>
        <v>1224.2150227031032</v>
      </c>
      <c r="JL26" s="33">
        <f t="shared" si="28"/>
        <v>1224.2150227031032</v>
      </c>
      <c r="JM26" s="33">
        <f t="shared" si="28"/>
        <v>1224.2150227031032</v>
      </c>
      <c r="JN26" s="33">
        <f t="shared" si="28"/>
        <v>1224.2150227031032</v>
      </c>
      <c r="JO26" s="33">
        <f t="shared" si="28"/>
        <v>1224.2150227031032</v>
      </c>
      <c r="JP26" s="33">
        <f t="shared" si="28"/>
        <v>1224.2150227031032</v>
      </c>
      <c r="JQ26" s="33">
        <f t="shared" si="28"/>
        <v>1224.2150227031032</v>
      </c>
      <c r="JR26" s="33">
        <f t="shared" si="28"/>
        <v>1224.2150227031032</v>
      </c>
      <c r="JS26" s="33">
        <f t="shared" si="28"/>
        <v>1224.2150227031032</v>
      </c>
      <c r="JT26" s="33">
        <f t="shared" si="28"/>
        <v>1224.2150227031032</v>
      </c>
      <c r="JU26" s="33">
        <f t="shared" si="28"/>
        <v>1224.2150227031032</v>
      </c>
      <c r="JV26" s="33">
        <f t="shared" si="28"/>
        <v>1224.2150227031032</v>
      </c>
      <c r="JW26" s="33">
        <f t="shared" si="28"/>
        <v>1224.2150227031032</v>
      </c>
      <c r="JX26" s="33">
        <f t="shared" si="28"/>
        <v>1224.2150227031032</v>
      </c>
      <c r="JY26" s="33">
        <f t="shared" si="28"/>
        <v>1224.2150227031032</v>
      </c>
      <c r="JZ26" s="33">
        <f t="shared" si="28"/>
        <v>1224.2150227031032</v>
      </c>
      <c r="KA26" s="33">
        <f t="shared" si="28"/>
        <v>1224.2150227031032</v>
      </c>
      <c r="KB26" s="33">
        <f t="shared" si="28"/>
        <v>1224.2150227031032</v>
      </c>
      <c r="KC26" s="33">
        <f t="shared" si="28"/>
        <v>1224.2150227031032</v>
      </c>
      <c r="KD26" s="33">
        <f t="shared" si="28"/>
        <v>1224.2150227031032</v>
      </c>
      <c r="KE26" s="33">
        <f t="shared" si="28"/>
        <v>1224.2150227031032</v>
      </c>
      <c r="KF26" s="33">
        <f t="shared" si="28"/>
        <v>1224.2150227031032</v>
      </c>
      <c r="KG26" s="33">
        <f t="shared" si="28"/>
        <v>1224.2150227031032</v>
      </c>
      <c r="KH26" s="33">
        <f t="shared" si="28"/>
        <v>1224.2150227031032</v>
      </c>
      <c r="KI26" s="33">
        <f t="shared" si="28"/>
        <v>1224.2150227031032</v>
      </c>
      <c r="KJ26" s="33">
        <f t="shared" si="28"/>
        <v>1224.2150227031032</v>
      </c>
      <c r="KK26" s="33">
        <f t="shared" si="28"/>
        <v>1224.2150227031032</v>
      </c>
      <c r="KL26" s="33">
        <f t="shared" si="28"/>
        <v>1224.2150227031032</v>
      </c>
      <c r="KM26" s="33">
        <f t="shared" si="28"/>
        <v>1224.2150227031032</v>
      </c>
      <c r="KN26" s="33">
        <f t="shared" si="28"/>
        <v>1224.2150227031032</v>
      </c>
      <c r="KO26" s="33">
        <f t="shared" si="28"/>
        <v>1224.2150227031032</v>
      </c>
      <c r="KP26" s="33">
        <f t="shared" si="28"/>
        <v>1224.2150227031032</v>
      </c>
      <c r="KQ26" s="33">
        <f t="shared" si="28"/>
        <v>1224.2150227031032</v>
      </c>
      <c r="KR26" s="33">
        <f t="shared" si="28"/>
        <v>1224.2150227031032</v>
      </c>
      <c r="KS26" s="33">
        <f t="shared" si="28"/>
        <v>1224.2150227031032</v>
      </c>
      <c r="KT26" s="33">
        <f t="shared" si="28"/>
        <v>1224.2150227031032</v>
      </c>
      <c r="KU26" s="33">
        <f t="shared" si="28"/>
        <v>1224.2150227031032</v>
      </c>
      <c r="KV26" s="33">
        <f t="shared" si="28"/>
        <v>1224.2150227031032</v>
      </c>
      <c r="KW26" s="33">
        <f t="shared" si="28"/>
        <v>1224.2150227031032</v>
      </c>
      <c r="KX26" s="33">
        <f t="shared" si="28"/>
        <v>1224.2150227031032</v>
      </c>
      <c r="KY26" s="33">
        <f t="shared" si="28"/>
        <v>1224.2150227031032</v>
      </c>
      <c r="KZ26" s="33">
        <f t="shared" si="28"/>
        <v>1224.2150227031032</v>
      </c>
      <c r="LA26" s="33">
        <f t="shared" si="28"/>
        <v>1224.2150227031032</v>
      </c>
      <c r="LB26" s="33">
        <f t="shared" si="28"/>
        <v>1224.2150227031032</v>
      </c>
      <c r="LC26" s="33">
        <f t="shared" si="28"/>
        <v>1224.2150227031032</v>
      </c>
      <c r="LD26" s="33">
        <f t="shared" si="28"/>
        <v>1224.2150227031032</v>
      </c>
      <c r="LE26" s="33">
        <f t="shared" si="28"/>
        <v>1224.2150227031032</v>
      </c>
      <c r="LF26" s="33">
        <f t="shared" si="28"/>
        <v>1224.2150227031032</v>
      </c>
      <c r="LG26" s="33">
        <f t="shared" si="28"/>
        <v>1224.2150227031032</v>
      </c>
      <c r="LH26" s="33">
        <f t="shared" si="28"/>
        <v>1224.2150227031032</v>
      </c>
      <c r="LI26" s="33">
        <f t="shared" si="28"/>
        <v>1224.2150227031032</v>
      </c>
      <c r="LJ26" s="33">
        <f t="shared" si="28"/>
        <v>1224.2150227031032</v>
      </c>
      <c r="LK26" s="33">
        <f t="shared" ref="LK26:MX26" si="29">$B$15</f>
        <v>1224.2150227031032</v>
      </c>
      <c r="LL26" s="33">
        <f t="shared" si="29"/>
        <v>1224.2150227031032</v>
      </c>
      <c r="LM26" s="33">
        <f t="shared" si="29"/>
        <v>1224.2150227031032</v>
      </c>
      <c r="LN26" s="33">
        <f t="shared" si="29"/>
        <v>1224.2150227031032</v>
      </c>
      <c r="LO26" s="33">
        <f t="shared" si="29"/>
        <v>1224.2150227031032</v>
      </c>
      <c r="LP26" s="33">
        <f t="shared" si="29"/>
        <v>1224.2150227031032</v>
      </c>
      <c r="LQ26" s="33">
        <f t="shared" si="29"/>
        <v>1224.2150227031032</v>
      </c>
      <c r="LR26" s="33">
        <f t="shared" si="29"/>
        <v>1224.2150227031032</v>
      </c>
      <c r="LS26" s="33">
        <f t="shared" si="29"/>
        <v>1224.2150227031032</v>
      </c>
      <c r="LT26" s="33">
        <f t="shared" si="29"/>
        <v>1224.2150227031032</v>
      </c>
      <c r="LU26" s="33">
        <f t="shared" si="29"/>
        <v>1224.2150227031032</v>
      </c>
      <c r="LV26" s="33">
        <f t="shared" si="29"/>
        <v>1224.2150227031032</v>
      </c>
      <c r="LW26" s="33">
        <f t="shared" si="29"/>
        <v>1224.2150227031032</v>
      </c>
      <c r="LX26" s="33">
        <f t="shared" si="29"/>
        <v>1224.2150227031032</v>
      </c>
      <c r="LY26" s="33">
        <f t="shared" si="29"/>
        <v>1224.2150227031032</v>
      </c>
      <c r="LZ26" s="33">
        <f t="shared" si="29"/>
        <v>1224.2150227031032</v>
      </c>
      <c r="MA26" s="33">
        <f t="shared" si="29"/>
        <v>1224.2150227031032</v>
      </c>
      <c r="MB26" s="33">
        <f t="shared" si="29"/>
        <v>1224.2150227031032</v>
      </c>
      <c r="MC26" s="33">
        <f t="shared" si="29"/>
        <v>1224.2150227031032</v>
      </c>
      <c r="MD26" s="33">
        <f t="shared" si="29"/>
        <v>1224.2150227031032</v>
      </c>
      <c r="ME26" s="33">
        <f t="shared" si="29"/>
        <v>1224.2150227031032</v>
      </c>
      <c r="MF26" s="33">
        <f t="shared" si="29"/>
        <v>1224.2150227031032</v>
      </c>
      <c r="MG26" s="33">
        <f t="shared" si="29"/>
        <v>1224.2150227031032</v>
      </c>
      <c r="MH26" s="33">
        <f t="shared" si="29"/>
        <v>1224.2150227031032</v>
      </c>
      <c r="MI26" s="33">
        <f t="shared" si="29"/>
        <v>1224.2150227031032</v>
      </c>
      <c r="MJ26" s="33">
        <f t="shared" si="29"/>
        <v>1224.2150227031032</v>
      </c>
      <c r="MK26" s="33">
        <f t="shared" si="29"/>
        <v>1224.2150227031032</v>
      </c>
      <c r="ML26" s="33">
        <f t="shared" si="29"/>
        <v>1224.2150227031032</v>
      </c>
      <c r="MM26" s="33">
        <f t="shared" si="29"/>
        <v>1224.2150227031032</v>
      </c>
      <c r="MN26" s="33">
        <f t="shared" si="29"/>
        <v>1224.2150227031032</v>
      </c>
      <c r="MO26" s="33">
        <f t="shared" si="29"/>
        <v>1224.2150227031032</v>
      </c>
      <c r="MP26" s="33">
        <f t="shared" si="29"/>
        <v>1224.2150227031032</v>
      </c>
      <c r="MQ26" s="33">
        <f t="shared" si="29"/>
        <v>1224.2150227031032</v>
      </c>
      <c r="MR26" s="33">
        <f t="shared" si="29"/>
        <v>1224.2150227031032</v>
      </c>
      <c r="MS26" s="33">
        <f t="shared" si="29"/>
        <v>1224.2150227031032</v>
      </c>
      <c r="MT26" s="33">
        <f t="shared" si="29"/>
        <v>1224.2150227031032</v>
      </c>
      <c r="MU26" s="33">
        <f t="shared" si="29"/>
        <v>1224.2150227031032</v>
      </c>
      <c r="MV26" s="33">
        <f t="shared" si="29"/>
        <v>1224.2150227031032</v>
      </c>
      <c r="MW26" s="33">
        <f t="shared" si="29"/>
        <v>1224.2150227031032</v>
      </c>
      <c r="MX26" s="55">
        <f t="shared" si="29"/>
        <v>1224.2150227031032</v>
      </c>
      <c r="MY26" s="1"/>
      <c r="MZ26" s="1"/>
      <c r="NA26" s="1"/>
      <c r="NB26" s="1"/>
      <c r="NC26" s="1"/>
      <c r="ND26" s="1"/>
      <c r="NE26" s="1"/>
      <c r="NF26" s="13">
        <v>0.125</v>
      </c>
      <c r="NG26" s="1">
        <f>Combine!A28</f>
        <v>48038</v>
      </c>
      <c r="NH26" s="14">
        <f>Combine!F28</f>
        <v>300291.63964488101</v>
      </c>
    </row>
    <row r="27" spans="1:372" ht="12.75" customHeight="1" x14ac:dyDescent="0.3">
      <c r="A27" s="31" t="s">
        <v>868</v>
      </c>
      <c r="B27" s="32"/>
      <c r="C27" s="33">
        <f t="shared" ref="C27:BN27" si="30">C26-C25</f>
        <v>203.2710227031032</v>
      </c>
      <c r="D27" s="33">
        <f t="shared" si="30"/>
        <v>204.28737781661869</v>
      </c>
      <c r="E27" s="33">
        <f t="shared" si="30"/>
        <v>205.30881470570182</v>
      </c>
      <c r="F27" s="33">
        <f t="shared" si="30"/>
        <v>206.33535877923043</v>
      </c>
      <c r="G27" s="33">
        <f t="shared" si="30"/>
        <v>207.3670355731266</v>
      </c>
      <c r="H27" s="33">
        <f t="shared" si="30"/>
        <v>208.40387075099204</v>
      </c>
      <c r="I27" s="33">
        <f t="shared" si="30"/>
        <v>209.44589010474715</v>
      </c>
      <c r="J27" s="33">
        <f t="shared" si="30"/>
        <v>210.49311955527094</v>
      </c>
      <c r="K27" s="33">
        <f t="shared" si="30"/>
        <v>211.54558515304711</v>
      </c>
      <c r="L27" s="33">
        <f t="shared" si="30"/>
        <v>212.60331307881245</v>
      </c>
      <c r="M27" s="33">
        <f t="shared" si="30"/>
        <v>213.66632964420637</v>
      </c>
      <c r="N27" s="33">
        <f t="shared" si="30"/>
        <v>214.7346612924274</v>
      </c>
      <c r="O27" s="33">
        <f t="shared" si="30"/>
        <v>215.80833459888959</v>
      </c>
      <c r="P27" s="33">
        <f t="shared" si="30"/>
        <v>216.88737627188414</v>
      </c>
      <c r="Q27" s="33">
        <f t="shared" si="30"/>
        <v>217.97181315324349</v>
      </c>
      <c r="R27" s="33">
        <f t="shared" si="30"/>
        <v>219.06167221900989</v>
      </c>
      <c r="S27" s="33">
        <f t="shared" si="30"/>
        <v>220.15698058010491</v>
      </c>
      <c r="T27" s="33">
        <f t="shared" si="30"/>
        <v>221.25776548300541</v>
      </c>
      <c r="U27" s="33">
        <f t="shared" si="30"/>
        <v>222.36405431042033</v>
      </c>
      <c r="V27" s="33">
        <f t="shared" si="30"/>
        <v>223.47587458197245</v>
      </c>
      <c r="W27" s="33">
        <f t="shared" si="30"/>
        <v>224.59325395488236</v>
      </c>
      <c r="X27" s="33">
        <f t="shared" si="30"/>
        <v>225.71622022465692</v>
      </c>
      <c r="Y27" s="33">
        <f t="shared" si="30"/>
        <v>226.84480132578017</v>
      </c>
      <c r="Z27" s="33">
        <f t="shared" si="30"/>
        <v>227.97902533240915</v>
      </c>
      <c r="AA27" s="33">
        <f t="shared" si="30"/>
        <v>229.11892045907109</v>
      </c>
      <c r="AB27" s="33">
        <f t="shared" si="30"/>
        <v>230.26451506136641</v>
      </c>
      <c r="AC27" s="33">
        <f t="shared" si="30"/>
        <v>231.41583763667325</v>
      </c>
      <c r="AD27" s="33">
        <f t="shared" si="30"/>
        <v>232.57291682485663</v>
      </c>
      <c r="AE27" s="33">
        <f t="shared" si="30"/>
        <v>233.7357814089811</v>
      </c>
      <c r="AF27" s="33">
        <f t="shared" si="30"/>
        <v>234.90446031602607</v>
      </c>
      <c r="AG27" s="33">
        <f t="shared" si="30"/>
        <v>236.07898261760613</v>
      </c>
      <c r="AH27" s="33">
        <f t="shared" si="30"/>
        <v>237.25937753069422</v>
      </c>
      <c r="AI27" s="33">
        <f t="shared" si="30"/>
        <v>238.44567441834772</v>
      </c>
      <c r="AJ27" s="33">
        <f t="shared" si="30"/>
        <v>239.6379027904394</v>
      </c>
      <c r="AK27" s="33">
        <f t="shared" si="30"/>
        <v>240.83609230439174</v>
      </c>
      <c r="AL27" s="33">
        <f t="shared" si="30"/>
        <v>242.04027276591364</v>
      </c>
      <c r="AM27" s="33">
        <f t="shared" si="30"/>
        <v>243.25047412974311</v>
      </c>
      <c r="AN27" s="33">
        <f t="shared" si="30"/>
        <v>244.46672650039193</v>
      </c>
      <c r="AO27" s="33">
        <f t="shared" si="30"/>
        <v>245.68906013289381</v>
      </c>
      <c r="AP27" s="33">
        <f t="shared" si="30"/>
        <v>246.91750543355818</v>
      </c>
      <c r="AQ27" s="33">
        <f t="shared" si="30"/>
        <v>248.15209296072601</v>
      </c>
      <c r="AR27" s="33">
        <f t="shared" si="30"/>
        <v>249.39285342552955</v>
      </c>
      <c r="AS27" s="33">
        <f t="shared" si="30"/>
        <v>250.63981769265718</v>
      </c>
      <c r="AT27" s="33">
        <f t="shared" si="30"/>
        <v>251.89301678112054</v>
      </c>
      <c r="AU27" s="33">
        <f t="shared" si="30"/>
        <v>253.15248186502618</v>
      </c>
      <c r="AV27" s="33">
        <f t="shared" si="30"/>
        <v>254.41824427435142</v>
      </c>
      <c r="AW27" s="33">
        <f t="shared" si="30"/>
        <v>255.69033549572316</v>
      </c>
      <c r="AX27" s="33">
        <f t="shared" si="30"/>
        <v>256.9687871732018</v>
      </c>
      <c r="AY27" s="33">
        <f t="shared" si="30"/>
        <v>258.25363110906767</v>
      </c>
      <c r="AZ27" s="33">
        <f t="shared" si="30"/>
        <v>259.54489926461315</v>
      </c>
      <c r="BA27" s="33">
        <f t="shared" si="30"/>
        <v>260.84262376093614</v>
      </c>
      <c r="BB27" s="33">
        <f t="shared" si="30"/>
        <v>262.1468368797407</v>
      </c>
      <c r="BC27" s="33">
        <f t="shared" si="30"/>
        <v>263.45757106413953</v>
      </c>
      <c r="BD27" s="33">
        <f t="shared" si="30"/>
        <v>264.77485891946037</v>
      </c>
      <c r="BE27" s="33">
        <f t="shared" si="30"/>
        <v>266.09873321405769</v>
      </c>
      <c r="BF27" s="33">
        <f t="shared" si="30"/>
        <v>267.42922688012789</v>
      </c>
      <c r="BG27" s="33">
        <f t="shared" si="30"/>
        <v>268.76637301452854</v>
      </c>
      <c r="BH27" s="33">
        <f t="shared" si="30"/>
        <v>270.11020487960116</v>
      </c>
      <c r="BI27" s="33">
        <f t="shared" si="30"/>
        <v>271.46075590399903</v>
      </c>
      <c r="BJ27" s="33">
        <f t="shared" si="30"/>
        <v>272.81805968351921</v>
      </c>
      <c r="BK27" s="33">
        <f t="shared" si="30"/>
        <v>274.18214998193673</v>
      </c>
      <c r="BL27" s="33">
        <f t="shared" si="30"/>
        <v>275.55306073184636</v>
      </c>
      <c r="BM27" s="33">
        <f t="shared" si="30"/>
        <v>276.93082603550567</v>
      </c>
      <c r="BN27" s="33">
        <f t="shared" si="30"/>
        <v>278.31548016568308</v>
      </c>
      <c r="BO27" s="33">
        <f t="shared" ref="BO27:DZ27" si="31">BO26-BO25</f>
        <v>279.70705756651148</v>
      </c>
      <c r="BP27" s="33">
        <f t="shared" si="31"/>
        <v>281.10559285434397</v>
      </c>
      <c r="BQ27" s="33">
        <f t="shared" si="31"/>
        <v>282.51112081861572</v>
      </c>
      <c r="BR27" s="33">
        <f t="shared" si="31"/>
        <v>283.92367642270881</v>
      </c>
      <c r="BS27" s="33">
        <f t="shared" si="31"/>
        <v>285.34329480482234</v>
      </c>
      <c r="BT27" s="33">
        <f t="shared" si="31"/>
        <v>286.77001127884648</v>
      </c>
      <c r="BU27" s="33">
        <f t="shared" si="31"/>
        <v>288.20386133524084</v>
      </c>
      <c r="BV27" s="33">
        <f t="shared" si="31"/>
        <v>289.64488064191698</v>
      </c>
      <c r="BW27" s="33">
        <f t="shared" si="31"/>
        <v>291.09310504512655</v>
      </c>
      <c r="BX27" s="33">
        <f t="shared" si="31"/>
        <v>292.54857057035213</v>
      </c>
      <c r="BY27" s="33">
        <f t="shared" si="31"/>
        <v>294.011313423204</v>
      </c>
      <c r="BZ27" s="33">
        <f t="shared" si="31"/>
        <v>295.48136999031999</v>
      </c>
      <c r="CA27" s="33">
        <f t="shared" si="31"/>
        <v>296.95877684027153</v>
      </c>
      <c r="CB27" s="33">
        <f t="shared" si="31"/>
        <v>298.44357072447303</v>
      </c>
      <c r="CC27" s="33">
        <f t="shared" si="31"/>
        <v>299.93578857809541</v>
      </c>
      <c r="CD27" s="33">
        <f t="shared" si="31"/>
        <v>301.43546752098587</v>
      </c>
      <c r="CE27" s="33">
        <f t="shared" si="31"/>
        <v>302.94264485859082</v>
      </c>
      <c r="CF27" s="33">
        <f t="shared" si="31"/>
        <v>304.45735808288384</v>
      </c>
      <c r="CG27" s="33">
        <f t="shared" si="31"/>
        <v>305.97964487329807</v>
      </c>
      <c r="CH27" s="33">
        <f t="shared" si="31"/>
        <v>307.50954309766462</v>
      </c>
      <c r="CI27" s="33">
        <f t="shared" si="31"/>
        <v>309.04709081315298</v>
      </c>
      <c r="CJ27" s="33">
        <f t="shared" si="31"/>
        <v>310.59232626721871</v>
      </c>
      <c r="CK27" s="33">
        <f t="shared" si="31"/>
        <v>312.14528789855478</v>
      </c>
      <c r="CL27" s="33">
        <f t="shared" si="31"/>
        <v>313.70601433804745</v>
      </c>
      <c r="CM27" s="33">
        <f t="shared" si="31"/>
        <v>315.27454440973759</v>
      </c>
      <c r="CN27" s="33">
        <f t="shared" si="31"/>
        <v>316.85091713178622</v>
      </c>
      <c r="CO27" s="33">
        <f t="shared" si="31"/>
        <v>318.4351717174452</v>
      </c>
      <c r="CP27" s="33">
        <f t="shared" si="31"/>
        <v>320.02734757603253</v>
      </c>
      <c r="CQ27" s="33">
        <f t="shared" si="31"/>
        <v>321.62748431391253</v>
      </c>
      <c r="CR27" s="33">
        <f t="shared" si="31"/>
        <v>323.23562173548214</v>
      </c>
      <c r="CS27" s="33">
        <f t="shared" si="31"/>
        <v>324.85179984415959</v>
      </c>
      <c r="CT27" s="33">
        <f t="shared" si="31"/>
        <v>326.47605884338032</v>
      </c>
      <c r="CU27" s="33">
        <f t="shared" si="31"/>
        <v>328.1084391375972</v>
      </c>
      <c r="CV27" s="33">
        <f t="shared" si="31"/>
        <v>329.7489813332852</v>
      </c>
      <c r="CW27" s="33">
        <f t="shared" si="31"/>
        <v>331.39772623995157</v>
      </c>
      <c r="CX27" s="33">
        <f t="shared" si="31"/>
        <v>333.05471487115142</v>
      </c>
      <c r="CY27" s="33">
        <f t="shared" si="31"/>
        <v>334.71998844550728</v>
      </c>
      <c r="CZ27" s="33">
        <f t="shared" si="31"/>
        <v>336.39358838773489</v>
      </c>
      <c r="DA27" s="33">
        <f t="shared" si="31"/>
        <v>338.07555632967353</v>
      </c>
      <c r="DB27" s="33">
        <f t="shared" si="31"/>
        <v>339.76593411132183</v>
      </c>
      <c r="DC27" s="33">
        <f t="shared" si="31"/>
        <v>341.46476378187856</v>
      </c>
      <c r="DD27" s="33">
        <f t="shared" si="31"/>
        <v>343.17208760078779</v>
      </c>
      <c r="DE27" s="33">
        <f t="shared" si="31"/>
        <v>344.88794803879171</v>
      </c>
      <c r="DF27" s="33">
        <f t="shared" si="31"/>
        <v>346.61238777898564</v>
      </c>
      <c r="DG27" s="33">
        <f t="shared" si="31"/>
        <v>348.34544971788057</v>
      </c>
      <c r="DH27" s="33">
        <f t="shared" si="31"/>
        <v>350.08717696647011</v>
      </c>
      <c r="DI27" s="33">
        <f t="shared" si="31"/>
        <v>351.83761285130242</v>
      </c>
      <c r="DJ27" s="33">
        <f t="shared" si="31"/>
        <v>353.5968009155589</v>
      </c>
      <c r="DK27" s="33">
        <f t="shared" si="31"/>
        <v>355.36478492013669</v>
      </c>
      <c r="DL27" s="33">
        <f t="shared" si="31"/>
        <v>357.14160884473733</v>
      </c>
      <c r="DM27" s="33">
        <f t="shared" si="31"/>
        <v>358.92731688896095</v>
      </c>
      <c r="DN27" s="33">
        <f t="shared" si="31"/>
        <v>360.72195347340573</v>
      </c>
      <c r="DO27" s="33">
        <f t="shared" si="31"/>
        <v>362.52556324077273</v>
      </c>
      <c r="DP27" s="33">
        <f t="shared" si="31"/>
        <v>364.33819105697671</v>
      </c>
      <c r="DQ27" s="33">
        <f t="shared" si="31"/>
        <v>366.15988201226151</v>
      </c>
      <c r="DR27" s="33">
        <f t="shared" si="31"/>
        <v>367.99068142232284</v>
      </c>
      <c r="DS27" s="33">
        <f t="shared" si="31"/>
        <v>369.83063482943442</v>
      </c>
      <c r="DT27" s="33">
        <f t="shared" si="31"/>
        <v>371.67978800358162</v>
      </c>
      <c r="DU27" s="33">
        <f t="shared" si="31"/>
        <v>373.5381869435995</v>
      </c>
      <c r="DV27" s="33">
        <f t="shared" si="31"/>
        <v>375.4058778783176</v>
      </c>
      <c r="DW27" s="33">
        <f t="shared" si="31"/>
        <v>377.28290726770922</v>
      </c>
      <c r="DX27" s="33">
        <f t="shared" si="31"/>
        <v>379.16932180404763</v>
      </c>
      <c r="DY27" s="33">
        <f t="shared" si="31"/>
        <v>381.06516841306791</v>
      </c>
      <c r="DZ27" s="33">
        <f t="shared" si="31"/>
        <v>382.97049425513319</v>
      </c>
      <c r="EA27" s="33">
        <f t="shared" ref="EA27:GL27" si="32">EA26-EA25</f>
        <v>384.88534672640901</v>
      </c>
      <c r="EB27" s="33">
        <f t="shared" si="32"/>
        <v>386.8097734600409</v>
      </c>
      <c r="EC27" s="33">
        <f t="shared" si="32"/>
        <v>388.74382232734104</v>
      </c>
      <c r="ED27" s="33">
        <f t="shared" si="32"/>
        <v>390.68754143897775</v>
      </c>
      <c r="EE27" s="33">
        <f t="shared" si="32"/>
        <v>392.64097914617264</v>
      </c>
      <c r="EF27" s="33">
        <f t="shared" si="32"/>
        <v>394.60418404190352</v>
      </c>
      <c r="EG27" s="33">
        <f t="shared" si="32"/>
        <v>396.577204962113</v>
      </c>
      <c r="EH27" s="33">
        <f t="shared" si="32"/>
        <v>398.56009098692368</v>
      </c>
      <c r="EI27" s="33">
        <f t="shared" si="32"/>
        <v>400.55289144185815</v>
      </c>
      <c r="EJ27" s="33">
        <f t="shared" si="32"/>
        <v>402.55565589906757</v>
      </c>
      <c r="EK27" s="33">
        <f t="shared" si="32"/>
        <v>404.56843417856294</v>
      </c>
      <c r="EL27" s="33">
        <f t="shared" si="32"/>
        <v>406.59127634945582</v>
      </c>
      <c r="EM27" s="33">
        <f t="shared" si="32"/>
        <v>408.62423273120305</v>
      </c>
      <c r="EN27" s="33">
        <f t="shared" si="32"/>
        <v>410.66735389485905</v>
      </c>
      <c r="EO27" s="33">
        <f t="shared" si="32"/>
        <v>412.72069066433335</v>
      </c>
      <c r="EP27" s="33">
        <f t="shared" si="32"/>
        <v>414.78429411765489</v>
      </c>
      <c r="EQ27" s="33">
        <f t="shared" si="32"/>
        <v>416.8582155882433</v>
      </c>
      <c r="ER27" s="33">
        <f t="shared" si="32"/>
        <v>418.94250666618439</v>
      </c>
      <c r="ES27" s="33">
        <f t="shared" si="32"/>
        <v>421.03721919951533</v>
      </c>
      <c r="ET27" s="33">
        <f t="shared" si="32"/>
        <v>423.14240529551284</v>
      </c>
      <c r="EU27" s="33">
        <f t="shared" si="32"/>
        <v>425.25811732199043</v>
      </c>
      <c r="EV27" s="33">
        <f t="shared" si="32"/>
        <v>427.38440790860045</v>
      </c>
      <c r="EW27" s="33">
        <f t="shared" si="32"/>
        <v>429.52132994814349</v>
      </c>
      <c r="EX27" s="33">
        <f t="shared" si="32"/>
        <v>431.66893659788423</v>
      </c>
      <c r="EY27" s="33">
        <f t="shared" si="32"/>
        <v>433.82728128087354</v>
      </c>
      <c r="EZ27" s="33">
        <f t="shared" si="32"/>
        <v>435.99641768727804</v>
      </c>
      <c r="FA27" s="33">
        <f t="shared" si="32"/>
        <v>438.17639977571446</v>
      </c>
      <c r="FB27" s="33">
        <f t="shared" si="32"/>
        <v>440.36728177459304</v>
      </c>
      <c r="FC27" s="33">
        <f t="shared" si="32"/>
        <v>442.569118183466</v>
      </c>
      <c r="FD27" s="33">
        <f t="shared" si="32"/>
        <v>444.78196377438314</v>
      </c>
      <c r="FE27" s="33">
        <f t="shared" si="32"/>
        <v>447.00587359325505</v>
      </c>
      <c r="FF27" s="33">
        <f t="shared" si="32"/>
        <v>449.24090296122142</v>
      </c>
      <c r="FG27" s="33">
        <f t="shared" si="32"/>
        <v>451.48710747602752</v>
      </c>
      <c r="FH27" s="33">
        <f t="shared" si="32"/>
        <v>453.74454301340768</v>
      </c>
      <c r="FI27" s="33">
        <f t="shared" si="32"/>
        <v>456.01326572847461</v>
      </c>
      <c r="FJ27" s="33">
        <f t="shared" si="32"/>
        <v>458.29333205711714</v>
      </c>
      <c r="FK27" s="33">
        <f t="shared" si="32"/>
        <v>460.58479871740258</v>
      </c>
      <c r="FL27" s="33">
        <f t="shared" si="32"/>
        <v>462.88772271098958</v>
      </c>
      <c r="FM27" s="33">
        <f t="shared" si="32"/>
        <v>465.20216132454459</v>
      </c>
      <c r="FN27" s="33">
        <f t="shared" si="32"/>
        <v>467.52817213116725</v>
      </c>
      <c r="FO27" s="33">
        <f t="shared" si="32"/>
        <v>469.86581299182296</v>
      </c>
      <c r="FP27" s="33">
        <f t="shared" si="32"/>
        <v>472.21514205678227</v>
      </c>
      <c r="FQ27" s="33">
        <f t="shared" si="32"/>
        <v>474.57621776706617</v>
      </c>
      <c r="FR27" s="33">
        <f t="shared" si="32"/>
        <v>476.94909885590152</v>
      </c>
      <c r="FS27" s="33">
        <f t="shared" si="32"/>
        <v>479.33384435018093</v>
      </c>
      <c r="FT27" s="33">
        <f t="shared" si="32"/>
        <v>481.73051357193185</v>
      </c>
      <c r="FU27" s="33">
        <f t="shared" si="32"/>
        <v>484.13916613979143</v>
      </c>
      <c r="FV27" s="33">
        <f t="shared" si="32"/>
        <v>486.55986197049049</v>
      </c>
      <c r="FW27" s="33">
        <f t="shared" si="32"/>
        <v>488.99266128034299</v>
      </c>
      <c r="FX27" s="33">
        <f t="shared" si="32"/>
        <v>491.43762458674462</v>
      </c>
      <c r="FY27" s="33">
        <f t="shared" si="32"/>
        <v>493.89481270967838</v>
      </c>
      <c r="FZ27" s="33">
        <f t="shared" si="32"/>
        <v>496.36428677322681</v>
      </c>
      <c r="GA27" s="33">
        <f t="shared" si="32"/>
        <v>498.84610820709293</v>
      </c>
      <c r="GB27" s="33">
        <f t="shared" si="32"/>
        <v>501.34033874812837</v>
      </c>
      <c r="GC27" s="33">
        <f t="shared" si="32"/>
        <v>503.84704044186913</v>
      </c>
      <c r="GD27" s="33">
        <f t="shared" si="32"/>
        <v>506.36627564407843</v>
      </c>
      <c r="GE27" s="33">
        <f t="shared" si="32"/>
        <v>508.89810702229875</v>
      </c>
      <c r="GF27" s="33">
        <f t="shared" si="32"/>
        <v>511.44259755741029</v>
      </c>
      <c r="GG27" s="33">
        <f t="shared" si="32"/>
        <v>513.99981054519742</v>
      </c>
      <c r="GH27" s="33">
        <f t="shared" si="32"/>
        <v>516.56980959792349</v>
      </c>
      <c r="GI27" s="33">
        <f t="shared" si="32"/>
        <v>519.15265864591299</v>
      </c>
      <c r="GJ27" s="33">
        <f t="shared" si="32"/>
        <v>521.74842193914253</v>
      </c>
      <c r="GK27" s="33">
        <f t="shared" si="32"/>
        <v>524.35716404883829</v>
      </c>
      <c r="GL27" s="33">
        <f t="shared" si="32"/>
        <v>526.97894986908261</v>
      </c>
      <c r="GM27" s="33">
        <f t="shared" ref="GM27:IX27" si="33">GM26-GM25</f>
        <v>529.61384461842795</v>
      </c>
      <c r="GN27" s="33">
        <f t="shared" si="33"/>
        <v>532.26191384152014</v>
      </c>
      <c r="GO27" s="33">
        <f t="shared" si="33"/>
        <v>534.92322341072781</v>
      </c>
      <c r="GP27" s="33">
        <f t="shared" si="33"/>
        <v>537.5978395277815</v>
      </c>
      <c r="GQ27" s="33">
        <f t="shared" si="33"/>
        <v>540.28582872542052</v>
      </c>
      <c r="GR27" s="33">
        <f t="shared" si="33"/>
        <v>542.98725786904765</v>
      </c>
      <c r="GS27" s="33">
        <f t="shared" si="33"/>
        <v>545.7021941583929</v>
      </c>
      <c r="GT27" s="33">
        <f t="shared" si="33"/>
        <v>548.43070512918473</v>
      </c>
      <c r="GU27" s="33">
        <f t="shared" si="33"/>
        <v>551.17285865483075</v>
      </c>
      <c r="GV27" s="33">
        <f t="shared" si="33"/>
        <v>553.92872294810502</v>
      </c>
      <c r="GW27" s="33">
        <f t="shared" si="33"/>
        <v>556.69836656284554</v>
      </c>
      <c r="GX27" s="33">
        <f t="shared" si="33"/>
        <v>559.48185839565974</v>
      </c>
      <c r="GY27" s="33">
        <f t="shared" si="33"/>
        <v>562.27926768763791</v>
      </c>
      <c r="GZ27" s="33">
        <f t="shared" si="33"/>
        <v>565.09066402607607</v>
      </c>
      <c r="HA27" s="33">
        <f t="shared" si="33"/>
        <v>567.91611734620653</v>
      </c>
      <c r="HB27" s="33">
        <f t="shared" si="33"/>
        <v>570.75569793293755</v>
      </c>
      <c r="HC27" s="33">
        <f t="shared" si="33"/>
        <v>573.60947642260214</v>
      </c>
      <c r="HD27" s="33">
        <f t="shared" si="33"/>
        <v>576.47752380471513</v>
      </c>
      <c r="HE27" s="33">
        <f t="shared" si="33"/>
        <v>579.35991142373871</v>
      </c>
      <c r="HF27" s="33">
        <f t="shared" si="33"/>
        <v>582.25671098085752</v>
      </c>
      <c r="HG27" s="33">
        <f t="shared" si="33"/>
        <v>585.16799453576175</v>
      </c>
      <c r="HH27" s="33">
        <f t="shared" si="33"/>
        <v>588.09383450844064</v>
      </c>
      <c r="HI27" s="33">
        <f t="shared" si="33"/>
        <v>591.03430368098282</v>
      </c>
      <c r="HJ27" s="33">
        <f t="shared" si="33"/>
        <v>593.9894751993877</v>
      </c>
      <c r="HK27" s="33">
        <f t="shared" si="33"/>
        <v>596.95942257538456</v>
      </c>
      <c r="HL27" s="33">
        <f t="shared" si="33"/>
        <v>599.94421968826157</v>
      </c>
      <c r="HM27" s="33">
        <f t="shared" si="33"/>
        <v>602.9439407867028</v>
      </c>
      <c r="HN27" s="33">
        <f t="shared" si="33"/>
        <v>605.95866049063636</v>
      </c>
      <c r="HO27" s="33">
        <f t="shared" si="33"/>
        <v>608.98845379308955</v>
      </c>
      <c r="HP27" s="33">
        <f t="shared" si="33"/>
        <v>612.03339606205498</v>
      </c>
      <c r="HQ27" s="33">
        <f t="shared" si="33"/>
        <v>615.09356304236519</v>
      </c>
      <c r="HR27" s="33">
        <f t="shared" si="33"/>
        <v>618.16903085757701</v>
      </c>
      <c r="HS27" s="33">
        <f t="shared" si="33"/>
        <v>621.25987601186489</v>
      </c>
      <c r="HT27" s="33">
        <f t="shared" si="33"/>
        <v>624.36617539192423</v>
      </c>
      <c r="HU27" s="33">
        <f t="shared" si="33"/>
        <v>627.48800626888385</v>
      </c>
      <c r="HV27" s="33">
        <f t="shared" si="33"/>
        <v>630.62544630022842</v>
      </c>
      <c r="HW27" s="33">
        <f t="shared" si="33"/>
        <v>633.77857353172953</v>
      </c>
      <c r="HX27" s="33">
        <f t="shared" si="33"/>
        <v>636.94746639938819</v>
      </c>
      <c r="HY27" s="33">
        <f t="shared" si="33"/>
        <v>640.13220373138518</v>
      </c>
      <c r="HZ27" s="33">
        <f t="shared" si="33"/>
        <v>643.33286475004195</v>
      </c>
      <c r="IA27" s="33">
        <f t="shared" si="33"/>
        <v>646.5495290737922</v>
      </c>
      <c r="IB27" s="33">
        <f t="shared" si="33"/>
        <v>649.78227671916113</v>
      </c>
      <c r="IC27" s="33">
        <f t="shared" si="33"/>
        <v>653.03118810275703</v>
      </c>
      <c r="ID27" s="33">
        <f t="shared" si="33"/>
        <v>656.29634404327078</v>
      </c>
      <c r="IE27" s="33">
        <f t="shared" si="33"/>
        <v>659.57782576348711</v>
      </c>
      <c r="IF27" s="33">
        <f t="shared" si="33"/>
        <v>662.87571489230447</v>
      </c>
      <c r="IG27" s="33">
        <f t="shared" si="33"/>
        <v>666.19009346676603</v>
      </c>
      <c r="IH27" s="33">
        <f t="shared" si="33"/>
        <v>669.52104393409991</v>
      </c>
      <c r="II27" s="33">
        <f t="shared" si="33"/>
        <v>672.86864915377043</v>
      </c>
      <c r="IJ27" s="33">
        <f t="shared" si="33"/>
        <v>676.23299239953928</v>
      </c>
      <c r="IK27" s="33">
        <f t="shared" si="33"/>
        <v>679.61415736153697</v>
      </c>
      <c r="IL27" s="33">
        <f t="shared" si="33"/>
        <v>683.01222814834466</v>
      </c>
      <c r="IM27" s="33">
        <f t="shared" si="33"/>
        <v>686.42728928908639</v>
      </c>
      <c r="IN27" s="33">
        <f t="shared" si="33"/>
        <v>689.85942573553177</v>
      </c>
      <c r="IO27" s="33">
        <f t="shared" si="33"/>
        <v>693.30872286420947</v>
      </c>
      <c r="IP27" s="33">
        <f t="shared" si="33"/>
        <v>696.77526647853051</v>
      </c>
      <c r="IQ27" s="33">
        <f t="shared" si="33"/>
        <v>700.25914281092321</v>
      </c>
      <c r="IR27" s="33">
        <f t="shared" si="33"/>
        <v>703.76043852497776</v>
      </c>
      <c r="IS27" s="33">
        <f t="shared" si="33"/>
        <v>707.27924071760265</v>
      </c>
      <c r="IT27" s="33">
        <f t="shared" si="33"/>
        <v>710.81563692119073</v>
      </c>
      <c r="IU27" s="33">
        <f t="shared" si="33"/>
        <v>714.36971510579656</v>
      </c>
      <c r="IV27" s="33">
        <f t="shared" si="33"/>
        <v>717.94156368132576</v>
      </c>
      <c r="IW27" s="33">
        <f t="shared" si="33"/>
        <v>721.53127149973216</v>
      </c>
      <c r="IX27" s="33">
        <f t="shared" si="33"/>
        <v>725.13892785723078</v>
      </c>
      <c r="IY27" s="33">
        <f t="shared" ref="IY27:LJ27" si="34">IY26-IY25</f>
        <v>728.76462249651695</v>
      </c>
      <c r="IZ27" s="33">
        <f t="shared" si="34"/>
        <v>732.40844560899973</v>
      </c>
      <c r="JA27" s="33">
        <f t="shared" si="34"/>
        <v>736.07048783704454</v>
      </c>
      <c r="JB27" s="33">
        <f t="shared" si="34"/>
        <v>739.75084027622984</v>
      </c>
      <c r="JC27" s="33">
        <f t="shared" si="34"/>
        <v>743.44959447761107</v>
      </c>
      <c r="JD27" s="33">
        <f t="shared" si="34"/>
        <v>747.16684244999919</v>
      </c>
      <c r="JE27" s="33">
        <f t="shared" si="34"/>
        <v>750.90267666224918</v>
      </c>
      <c r="JF27" s="33">
        <f t="shared" si="34"/>
        <v>754.65719004556036</v>
      </c>
      <c r="JG27" s="33">
        <f t="shared" si="34"/>
        <v>758.43047599578813</v>
      </c>
      <c r="JH27" s="33">
        <f t="shared" si="34"/>
        <v>762.22262837576704</v>
      </c>
      <c r="JI27" s="33">
        <f t="shared" si="34"/>
        <v>766.03374151764592</v>
      </c>
      <c r="JJ27" s="33">
        <f t="shared" si="34"/>
        <v>769.86391022523412</v>
      </c>
      <c r="JK27" s="33">
        <f t="shared" si="34"/>
        <v>773.71322977636032</v>
      </c>
      <c r="JL27" s="33">
        <f t="shared" si="34"/>
        <v>777.5817959252422</v>
      </c>
      <c r="JM27" s="33">
        <f t="shared" si="34"/>
        <v>781.46970490486842</v>
      </c>
      <c r="JN27" s="33">
        <f t="shared" si="34"/>
        <v>785.37705342939262</v>
      </c>
      <c r="JO27" s="33">
        <f t="shared" si="34"/>
        <v>789.30393869653972</v>
      </c>
      <c r="JP27" s="33">
        <f t="shared" si="34"/>
        <v>793.25045839002223</v>
      </c>
      <c r="JQ27" s="33">
        <f t="shared" si="34"/>
        <v>797.21671068197247</v>
      </c>
      <c r="JR27" s="33">
        <f t="shared" si="34"/>
        <v>801.20279423538227</v>
      </c>
      <c r="JS27" s="33">
        <f t="shared" si="34"/>
        <v>805.2088082065593</v>
      </c>
      <c r="JT27" s="33">
        <f t="shared" si="34"/>
        <v>809.23485224759202</v>
      </c>
      <c r="JU27" s="33">
        <f t="shared" si="34"/>
        <v>813.28102650882988</v>
      </c>
      <c r="JV27" s="33">
        <f t="shared" si="34"/>
        <v>817.34743164137421</v>
      </c>
      <c r="JW27" s="33">
        <f t="shared" si="34"/>
        <v>821.43416879958113</v>
      </c>
      <c r="JX27" s="33">
        <f t="shared" si="34"/>
        <v>825.54133964357902</v>
      </c>
      <c r="JY27" s="33">
        <f t="shared" si="34"/>
        <v>829.66904634179673</v>
      </c>
      <c r="JZ27" s="33">
        <f t="shared" si="34"/>
        <v>833.8173915735058</v>
      </c>
      <c r="KA27" s="33">
        <f t="shared" si="34"/>
        <v>837.98647853137322</v>
      </c>
      <c r="KB27" s="33">
        <f t="shared" si="34"/>
        <v>842.17641092403005</v>
      </c>
      <c r="KC27" s="33">
        <f t="shared" si="34"/>
        <v>846.38729297865029</v>
      </c>
      <c r="KD27" s="33">
        <f t="shared" si="34"/>
        <v>850.61922944354342</v>
      </c>
      <c r="KE27" s="33">
        <f t="shared" si="34"/>
        <v>854.87232559076119</v>
      </c>
      <c r="KF27" s="33">
        <f t="shared" si="34"/>
        <v>859.14668721871499</v>
      </c>
      <c r="KG27" s="33">
        <f t="shared" si="34"/>
        <v>863.44242065480876</v>
      </c>
      <c r="KH27" s="33">
        <f t="shared" si="34"/>
        <v>867.75963275808272</v>
      </c>
      <c r="KI27" s="33">
        <f t="shared" si="34"/>
        <v>872.09843092187316</v>
      </c>
      <c r="KJ27" s="33">
        <f t="shared" si="34"/>
        <v>876.45892307648251</v>
      </c>
      <c r="KK27" s="33">
        <f t="shared" si="34"/>
        <v>880.84121769186504</v>
      </c>
      <c r="KL27" s="33">
        <f t="shared" si="34"/>
        <v>885.24542378032424</v>
      </c>
      <c r="KM27" s="33">
        <f t="shared" si="34"/>
        <v>889.67165089922582</v>
      </c>
      <c r="KN27" s="33">
        <f t="shared" si="34"/>
        <v>894.12000915372198</v>
      </c>
      <c r="KO27" s="33">
        <f t="shared" si="34"/>
        <v>898.5906091994907</v>
      </c>
      <c r="KP27" s="33">
        <f t="shared" si="34"/>
        <v>903.08356224548811</v>
      </c>
      <c r="KQ27" s="33">
        <f t="shared" si="34"/>
        <v>907.5989800567155</v>
      </c>
      <c r="KR27" s="33">
        <f t="shared" si="34"/>
        <v>912.1369749569991</v>
      </c>
      <c r="KS27" s="33">
        <f t="shared" si="34"/>
        <v>916.69765983178411</v>
      </c>
      <c r="KT27" s="33">
        <f t="shared" si="34"/>
        <v>921.28114813094305</v>
      </c>
      <c r="KU27" s="33">
        <f t="shared" si="34"/>
        <v>925.88755387159767</v>
      </c>
      <c r="KV27" s="33">
        <f t="shared" si="34"/>
        <v>930.51699164095567</v>
      </c>
      <c r="KW27" s="33">
        <f t="shared" si="34"/>
        <v>935.16957659916056</v>
      </c>
      <c r="KX27" s="33">
        <f t="shared" si="34"/>
        <v>939.84542448215632</v>
      </c>
      <c r="KY27" s="33">
        <f t="shared" si="34"/>
        <v>944.54465160456709</v>
      </c>
      <c r="KZ27" s="33">
        <f t="shared" si="34"/>
        <v>949.26737486258992</v>
      </c>
      <c r="LA27" s="33">
        <f t="shared" si="34"/>
        <v>954.01371173690291</v>
      </c>
      <c r="LB27" s="33">
        <f t="shared" si="34"/>
        <v>958.78378029558735</v>
      </c>
      <c r="LC27" s="33">
        <f t="shared" si="34"/>
        <v>963.57769919706539</v>
      </c>
      <c r="LD27" s="33">
        <f t="shared" si="34"/>
        <v>968.39558769305063</v>
      </c>
      <c r="LE27" s="33">
        <f t="shared" si="34"/>
        <v>973.23756563151585</v>
      </c>
      <c r="LF27" s="33">
        <f t="shared" si="34"/>
        <v>978.10375345967338</v>
      </c>
      <c r="LG27" s="33">
        <f t="shared" si="34"/>
        <v>982.99427222697182</v>
      </c>
      <c r="LH27" s="33">
        <f t="shared" si="34"/>
        <v>987.90924358810662</v>
      </c>
      <c r="LI27" s="33">
        <f t="shared" si="34"/>
        <v>992.84878980604719</v>
      </c>
      <c r="LJ27" s="33">
        <f t="shared" si="34"/>
        <v>997.81303375507741</v>
      </c>
      <c r="LK27" s="33">
        <f t="shared" ref="LK27:MX27" si="35">LK26-LK25</f>
        <v>1002.8020989238528</v>
      </c>
      <c r="LL27" s="33">
        <f t="shared" si="35"/>
        <v>1007.816109418472</v>
      </c>
      <c r="LM27" s="33">
        <f t="shared" si="35"/>
        <v>1012.8551899655645</v>
      </c>
      <c r="LN27" s="33">
        <f t="shared" si="35"/>
        <v>1017.9194659153923</v>
      </c>
      <c r="LO27" s="33">
        <f t="shared" si="35"/>
        <v>1023.0090632449692</v>
      </c>
      <c r="LP27" s="33">
        <f t="shared" si="35"/>
        <v>1028.1241085611941</v>
      </c>
      <c r="LQ27" s="33">
        <f t="shared" si="35"/>
        <v>1033.264729104</v>
      </c>
      <c r="LR27" s="33">
        <f t="shared" si="35"/>
        <v>1038.4310527495199</v>
      </c>
      <c r="LS27" s="33">
        <f t="shared" si="35"/>
        <v>1043.6232080132677</v>
      </c>
      <c r="LT27" s="33">
        <f t="shared" si="35"/>
        <v>1048.8413240533339</v>
      </c>
      <c r="LU27" s="33">
        <f t="shared" si="35"/>
        <v>1054.0855306736007</v>
      </c>
      <c r="LV27" s="33">
        <f t="shared" si="35"/>
        <v>1059.3559583269687</v>
      </c>
      <c r="LW27" s="33">
        <f t="shared" si="35"/>
        <v>1064.6527381186033</v>
      </c>
      <c r="LX27" s="33">
        <f t="shared" si="35"/>
        <v>1069.9760018091965</v>
      </c>
      <c r="LY27" s="33">
        <f t="shared" si="35"/>
        <v>1075.3258818182424</v>
      </c>
      <c r="LZ27" s="33">
        <f t="shared" si="35"/>
        <v>1080.7025112273336</v>
      </c>
      <c r="MA27" s="33">
        <f t="shared" si="35"/>
        <v>1086.1060237834704</v>
      </c>
      <c r="MB27" s="33">
        <f t="shared" si="35"/>
        <v>1091.5365539023876</v>
      </c>
      <c r="MC27" s="33">
        <f t="shared" si="35"/>
        <v>1096.9942366718997</v>
      </c>
      <c r="MD27" s="33">
        <f t="shared" si="35"/>
        <v>1102.4792078552591</v>
      </c>
      <c r="ME27" s="33">
        <f t="shared" si="35"/>
        <v>1107.9916038945355</v>
      </c>
      <c r="MF27" s="33">
        <f t="shared" si="35"/>
        <v>1113.5315619140081</v>
      </c>
      <c r="MG27" s="33">
        <f t="shared" si="35"/>
        <v>1119.0992197235782</v>
      </c>
      <c r="MH27" s="33">
        <f t="shared" si="35"/>
        <v>1124.694715822196</v>
      </c>
      <c r="MI27" s="33">
        <f t="shared" si="35"/>
        <v>1130.3181894013071</v>
      </c>
      <c r="MJ27" s="33">
        <f t="shared" si="35"/>
        <v>1135.9697803483136</v>
      </c>
      <c r="MK27" s="33">
        <f t="shared" si="35"/>
        <v>1141.6496292500551</v>
      </c>
      <c r="ML27" s="33">
        <f t="shared" si="35"/>
        <v>1147.3578773963054</v>
      </c>
      <c r="MM27" s="33">
        <f t="shared" si="35"/>
        <v>1153.094666783287</v>
      </c>
      <c r="MN27" s="33">
        <f t="shared" si="35"/>
        <v>1158.8601401172034</v>
      </c>
      <c r="MO27" s="33">
        <f t="shared" si="35"/>
        <v>1164.6544408177895</v>
      </c>
      <c r="MP27" s="33">
        <f t="shared" si="35"/>
        <v>1170.4777130218783</v>
      </c>
      <c r="MQ27" s="33">
        <f t="shared" si="35"/>
        <v>1176.3301015869877</v>
      </c>
      <c r="MR27" s="33">
        <f t="shared" si="35"/>
        <v>1182.2117520949228</v>
      </c>
      <c r="MS27" s="33">
        <f t="shared" si="35"/>
        <v>1188.1228108553973</v>
      </c>
      <c r="MT27" s="33">
        <f t="shared" si="35"/>
        <v>1194.0634249096743</v>
      </c>
      <c r="MU27" s="33">
        <f t="shared" si="35"/>
        <v>1200.0337420342225</v>
      </c>
      <c r="MV27" s="33">
        <f t="shared" si="35"/>
        <v>1206.0339107443938</v>
      </c>
      <c r="MW27" s="33">
        <f t="shared" si="35"/>
        <v>1212.0640802981156</v>
      </c>
      <c r="MX27" s="55">
        <f t="shared" si="35"/>
        <v>1218.1244006996062</v>
      </c>
      <c r="MY27" s="1"/>
      <c r="MZ27" s="1"/>
      <c r="NA27" s="1"/>
      <c r="NB27" s="1"/>
      <c r="NC27" s="1"/>
      <c r="ND27" s="1"/>
      <c r="NE27" s="1"/>
      <c r="NF27" s="13">
        <v>0.13</v>
      </c>
      <c r="NG27" s="1">
        <f>Combine!A29</f>
        <v>48111</v>
      </c>
      <c r="NH27" s="14">
        <f>Combine!F29</f>
        <v>262607.22622710798</v>
      </c>
    </row>
    <row r="28" spans="1:372" ht="12.75" customHeight="1" x14ac:dyDescent="0.3">
      <c r="A28" s="31" t="s">
        <v>869</v>
      </c>
      <c r="B28" s="32"/>
      <c r="C28" s="33">
        <f t="shared" ref="C28:BN28" si="36">$B$11/12</f>
        <v>108.33333333333333</v>
      </c>
      <c r="D28" s="33">
        <f t="shared" si="36"/>
        <v>108.33333333333333</v>
      </c>
      <c r="E28" s="33">
        <f t="shared" si="36"/>
        <v>108.33333333333333</v>
      </c>
      <c r="F28" s="33">
        <f t="shared" si="36"/>
        <v>108.33333333333333</v>
      </c>
      <c r="G28" s="33">
        <f t="shared" si="36"/>
        <v>108.33333333333333</v>
      </c>
      <c r="H28" s="33">
        <f t="shared" si="36"/>
        <v>108.33333333333333</v>
      </c>
      <c r="I28" s="33">
        <f t="shared" si="36"/>
        <v>108.33333333333333</v>
      </c>
      <c r="J28" s="33">
        <f t="shared" si="36"/>
        <v>108.33333333333333</v>
      </c>
      <c r="K28" s="33">
        <f t="shared" si="36"/>
        <v>108.33333333333333</v>
      </c>
      <c r="L28" s="33">
        <f t="shared" si="36"/>
        <v>108.33333333333333</v>
      </c>
      <c r="M28" s="33">
        <f t="shared" si="36"/>
        <v>108.33333333333333</v>
      </c>
      <c r="N28" s="33">
        <f t="shared" si="36"/>
        <v>108.33333333333333</v>
      </c>
      <c r="O28" s="33">
        <f t="shared" si="36"/>
        <v>108.33333333333333</v>
      </c>
      <c r="P28" s="33">
        <f t="shared" si="36"/>
        <v>108.33333333333333</v>
      </c>
      <c r="Q28" s="33">
        <f t="shared" si="36"/>
        <v>108.33333333333333</v>
      </c>
      <c r="R28" s="33">
        <f t="shared" si="36"/>
        <v>108.33333333333333</v>
      </c>
      <c r="S28" s="33">
        <f t="shared" si="36"/>
        <v>108.33333333333333</v>
      </c>
      <c r="T28" s="33">
        <f t="shared" si="36"/>
        <v>108.33333333333333</v>
      </c>
      <c r="U28" s="33">
        <f t="shared" si="36"/>
        <v>108.33333333333333</v>
      </c>
      <c r="V28" s="33">
        <f t="shared" si="36"/>
        <v>108.33333333333333</v>
      </c>
      <c r="W28" s="33">
        <f t="shared" si="36"/>
        <v>108.33333333333333</v>
      </c>
      <c r="X28" s="33">
        <f t="shared" si="36"/>
        <v>108.33333333333333</v>
      </c>
      <c r="Y28" s="33">
        <f t="shared" si="36"/>
        <v>108.33333333333333</v>
      </c>
      <c r="Z28" s="33">
        <f t="shared" si="36"/>
        <v>108.33333333333333</v>
      </c>
      <c r="AA28" s="33">
        <f t="shared" si="36"/>
        <v>108.33333333333333</v>
      </c>
      <c r="AB28" s="33">
        <f t="shared" si="36"/>
        <v>108.33333333333333</v>
      </c>
      <c r="AC28" s="33">
        <f t="shared" si="36"/>
        <v>108.33333333333333</v>
      </c>
      <c r="AD28" s="33">
        <f t="shared" si="36"/>
        <v>108.33333333333333</v>
      </c>
      <c r="AE28" s="33">
        <f t="shared" si="36"/>
        <v>108.33333333333333</v>
      </c>
      <c r="AF28" s="33">
        <f t="shared" si="36"/>
        <v>108.33333333333333</v>
      </c>
      <c r="AG28" s="33">
        <f t="shared" si="36"/>
        <v>108.33333333333333</v>
      </c>
      <c r="AH28" s="33">
        <f t="shared" si="36"/>
        <v>108.33333333333333</v>
      </c>
      <c r="AI28" s="33">
        <f t="shared" si="36"/>
        <v>108.33333333333333</v>
      </c>
      <c r="AJ28" s="33">
        <f t="shared" si="36"/>
        <v>108.33333333333333</v>
      </c>
      <c r="AK28" s="33">
        <f t="shared" si="36"/>
        <v>108.33333333333333</v>
      </c>
      <c r="AL28" s="33">
        <f t="shared" si="36"/>
        <v>108.33333333333333</v>
      </c>
      <c r="AM28" s="33">
        <f t="shared" si="36"/>
        <v>108.33333333333333</v>
      </c>
      <c r="AN28" s="33">
        <f t="shared" si="36"/>
        <v>108.33333333333333</v>
      </c>
      <c r="AO28" s="33">
        <f t="shared" si="36"/>
        <v>108.33333333333333</v>
      </c>
      <c r="AP28" s="33">
        <f t="shared" si="36"/>
        <v>108.33333333333333</v>
      </c>
      <c r="AQ28" s="33">
        <f t="shared" si="36"/>
        <v>108.33333333333333</v>
      </c>
      <c r="AR28" s="33">
        <f t="shared" si="36"/>
        <v>108.33333333333333</v>
      </c>
      <c r="AS28" s="33">
        <f t="shared" si="36"/>
        <v>108.33333333333333</v>
      </c>
      <c r="AT28" s="33">
        <f t="shared" si="36"/>
        <v>108.33333333333333</v>
      </c>
      <c r="AU28" s="33">
        <f t="shared" si="36"/>
        <v>108.33333333333333</v>
      </c>
      <c r="AV28" s="33">
        <f t="shared" si="36"/>
        <v>108.33333333333333</v>
      </c>
      <c r="AW28" s="33">
        <f t="shared" si="36"/>
        <v>108.33333333333333</v>
      </c>
      <c r="AX28" s="33">
        <f t="shared" si="36"/>
        <v>108.33333333333333</v>
      </c>
      <c r="AY28" s="33">
        <f t="shared" si="36"/>
        <v>108.33333333333333</v>
      </c>
      <c r="AZ28" s="33">
        <f t="shared" si="36"/>
        <v>108.33333333333333</v>
      </c>
      <c r="BA28" s="33">
        <f t="shared" si="36"/>
        <v>108.33333333333333</v>
      </c>
      <c r="BB28" s="33">
        <f t="shared" si="36"/>
        <v>108.33333333333333</v>
      </c>
      <c r="BC28" s="33">
        <f t="shared" si="36"/>
        <v>108.33333333333333</v>
      </c>
      <c r="BD28" s="33">
        <f t="shared" si="36"/>
        <v>108.33333333333333</v>
      </c>
      <c r="BE28" s="33">
        <f t="shared" si="36"/>
        <v>108.33333333333333</v>
      </c>
      <c r="BF28" s="33">
        <f t="shared" si="36"/>
        <v>108.33333333333333</v>
      </c>
      <c r="BG28" s="33">
        <f t="shared" si="36"/>
        <v>108.33333333333333</v>
      </c>
      <c r="BH28" s="33">
        <f t="shared" si="36"/>
        <v>108.33333333333333</v>
      </c>
      <c r="BI28" s="33">
        <f t="shared" si="36"/>
        <v>108.33333333333333</v>
      </c>
      <c r="BJ28" s="33">
        <f t="shared" si="36"/>
        <v>108.33333333333333</v>
      </c>
      <c r="BK28" s="33">
        <f t="shared" si="36"/>
        <v>108.33333333333333</v>
      </c>
      <c r="BL28" s="33">
        <f t="shared" si="36"/>
        <v>108.33333333333333</v>
      </c>
      <c r="BM28" s="33">
        <f t="shared" si="36"/>
        <v>108.33333333333333</v>
      </c>
      <c r="BN28" s="33">
        <f t="shared" si="36"/>
        <v>108.33333333333333</v>
      </c>
      <c r="BO28" s="33">
        <f t="shared" ref="BO28:DZ28" si="37">$B$11/12</f>
        <v>108.33333333333333</v>
      </c>
      <c r="BP28" s="33">
        <f t="shared" si="37"/>
        <v>108.33333333333333</v>
      </c>
      <c r="BQ28" s="33">
        <f t="shared" si="37"/>
        <v>108.33333333333333</v>
      </c>
      <c r="BR28" s="33">
        <f t="shared" si="37"/>
        <v>108.33333333333333</v>
      </c>
      <c r="BS28" s="33">
        <f t="shared" si="37"/>
        <v>108.33333333333333</v>
      </c>
      <c r="BT28" s="33">
        <f t="shared" si="37"/>
        <v>108.33333333333333</v>
      </c>
      <c r="BU28" s="33">
        <f t="shared" si="37"/>
        <v>108.33333333333333</v>
      </c>
      <c r="BV28" s="33">
        <f t="shared" si="37"/>
        <v>108.33333333333333</v>
      </c>
      <c r="BW28" s="33">
        <f t="shared" si="37"/>
        <v>108.33333333333333</v>
      </c>
      <c r="BX28" s="33">
        <f t="shared" si="37"/>
        <v>108.33333333333333</v>
      </c>
      <c r="BY28" s="33">
        <f t="shared" si="37"/>
        <v>108.33333333333333</v>
      </c>
      <c r="BZ28" s="33">
        <f t="shared" si="37"/>
        <v>108.33333333333333</v>
      </c>
      <c r="CA28" s="33">
        <f t="shared" si="37"/>
        <v>108.33333333333333</v>
      </c>
      <c r="CB28" s="33">
        <f t="shared" si="37"/>
        <v>108.33333333333333</v>
      </c>
      <c r="CC28" s="33">
        <f t="shared" si="37"/>
        <v>108.33333333333333</v>
      </c>
      <c r="CD28" s="33">
        <f t="shared" si="37"/>
        <v>108.33333333333333</v>
      </c>
      <c r="CE28" s="33">
        <f t="shared" si="37"/>
        <v>108.33333333333333</v>
      </c>
      <c r="CF28" s="33">
        <f t="shared" si="37"/>
        <v>108.33333333333333</v>
      </c>
      <c r="CG28" s="33">
        <f t="shared" si="37"/>
        <v>108.33333333333333</v>
      </c>
      <c r="CH28" s="33">
        <f t="shared" si="37"/>
        <v>108.33333333333333</v>
      </c>
      <c r="CI28" s="33">
        <f t="shared" si="37"/>
        <v>108.33333333333333</v>
      </c>
      <c r="CJ28" s="33">
        <f t="shared" si="37"/>
        <v>108.33333333333333</v>
      </c>
      <c r="CK28" s="33">
        <f t="shared" si="37"/>
        <v>108.33333333333333</v>
      </c>
      <c r="CL28" s="33">
        <f t="shared" si="37"/>
        <v>108.33333333333333</v>
      </c>
      <c r="CM28" s="33">
        <f t="shared" si="37"/>
        <v>108.33333333333333</v>
      </c>
      <c r="CN28" s="33">
        <f t="shared" si="37"/>
        <v>108.33333333333333</v>
      </c>
      <c r="CO28" s="33">
        <f t="shared" si="37"/>
        <v>108.33333333333333</v>
      </c>
      <c r="CP28" s="33">
        <f t="shared" si="37"/>
        <v>108.33333333333333</v>
      </c>
      <c r="CQ28" s="33">
        <f t="shared" si="37"/>
        <v>108.33333333333333</v>
      </c>
      <c r="CR28" s="33">
        <f t="shared" si="37"/>
        <v>108.33333333333333</v>
      </c>
      <c r="CS28" s="33">
        <f t="shared" si="37"/>
        <v>108.33333333333333</v>
      </c>
      <c r="CT28" s="33">
        <f t="shared" si="37"/>
        <v>108.33333333333333</v>
      </c>
      <c r="CU28" s="33">
        <f t="shared" si="37"/>
        <v>108.33333333333333</v>
      </c>
      <c r="CV28" s="33">
        <f t="shared" si="37"/>
        <v>108.33333333333333</v>
      </c>
      <c r="CW28" s="33">
        <f t="shared" si="37"/>
        <v>108.33333333333333</v>
      </c>
      <c r="CX28" s="33">
        <f t="shared" si="37"/>
        <v>108.33333333333333</v>
      </c>
      <c r="CY28" s="33">
        <f t="shared" si="37"/>
        <v>108.33333333333333</v>
      </c>
      <c r="CZ28" s="33">
        <f t="shared" si="37"/>
        <v>108.33333333333333</v>
      </c>
      <c r="DA28" s="33">
        <f t="shared" si="37"/>
        <v>108.33333333333333</v>
      </c>
      <c r="DB28" s="33">
        <f t="shared" si="37"/>
        <v>108.33333333333333</v>
      </c>
      <c r="DC28" s="33">
        <f t="shared" si="37"/>
        <v>108.33333333333333</v>
      </c>
      <c r="DD28" s="33">
        <f t="shared" si="37"/>
        <v>108.33333333333333</v>
      </c>
      <c r="DE28" s="33">
        <f t="shared" si="37"/>
        <v>108.33333333333333</v>
      </c>
      <c r="DF28" s="33">
        <f t="shared" si="37"/>
        <v>108.33333333333333</v>
      </c>
      <c r="DG28" s="33">
        <f t="shared" si="37"/>
        <v>108.33333333333333</v>
      </c>
      <c r="DH28" s="33">
        <f t="shared" si="37"/>
        <v>108.33333333333333</v>
      </c>
      <c r="DI28" s="33">
        <f t="shared" si="37"/>
        <v>108.33333333333333</v>
      </c>
      <c r="DJ28" s="33">
        <f t="shared" si="37"/>
        <v>108.33333333333333</v>
      </c>
      <c r="DK28" s="33">
        <f t="shared" si="37"/>
        <v>108.33333333333333</v>
      </c>
      <c r="DL28" s="33">
        <f t="shared" si="37"/>
        <v>108.33333333333333</v>
      </c>
      <c r="DM28" s="33">
        <f t="shared" si="37"/>
        <v>108.33333333333333</v>
      </c>
      <c r="DN28" s="33">
        <f t="shared" si="37"/>
        <v>108.33333333333333</v>
      </c>
      <c r="DO28" s="33">
        <f t="shared" si="37"/>
        <v>108.33333333333333</v>
      </c>
      <c r="DP28" s="33">
        <f t="shared" si="37"/>
        <v>108.33333333333333</v>
      </c>
      <c r="DQ28" s="33">
        <f t="shared" si="37"/>
        <v>108.33333333333333</v>
      </c>
      <c r="DR28" s="33">
        <f t="shared" si="37"/>
        <v>108.33333333333333</v>
      </c>
      <c r="DS28" s="33">
        <f t="shared" si="37"/>
        <v>108.33333333333333</v>
      </c>
      <c r="DT28" s="33">
        <f t="shared" si="37"/>
        <v>108.33333333333333</v>
      </c>
      <c r="DU28" s="33">
        <f t="shared" si="37"/>
        <v>108.33333333333333</v>
      </c>
      <c r="DV28" s="33">
        <f t="shared" si="37"/>
        <v>108.33333333333333</v>
      </c>
      <c r="DW28" s="33">
        <f t="shared" si="37"/>
        <v>108.33333333333333</v>
      </c>
      <c r="DX28" s="33">
        <f t="shared" si="37"/>
        <v>108.33333333333333</v>
      </c>
      <c r="DY28" s="33">
        <f t="shared" si="37"/>
        <v>108.33333333333333</v>
      </c>
      <c r="DZ28" s="33">
        <f t="shared" si="37"/>
        <v>108.33333333333333</v>
      </c>
      <c r="EA28" s="33">
        <f t="shared" ref="EA28:GL28" si="38">$B$11/12</f>
        <v>108.33333333333333</v>
      </c>
      <c r="EB28" s="33">
        <f t="shared" si="38"/>
        <v>108.33333333333333</v>
      </c>
      <c r="EC28" s="33">
        <f t="shared" si="38"/>
        <v>108.33333333333333</v>
      </c>
      <c r="ED28" s="33">
        <f t="shared" si="38"/>
        <v>108.33333333333333</v>
      </c>
      <c r="EE28" s="33">
        <f t="shared" si="38"/>
        <v>108.33333333333333</v>
      </c>
      <c r="EF28" s="33">
        <f t="shared" si="38"/>
        <v>108.33333333333333</v>
      </c>
      <c r="EG28" s="33">
        <f t="shared" si="38"/>
        <v>108.33333333333333</v>
      </c>
      <c r="EH28" s="33">
        <f t="shared" si="38"/>
        <v>108.33333333333333</v>
      </c>
      <c r="EI28" s="33">
        <f t="shared" si="38"/>
        <v>108.33333333333333</v>
      </c>
      <c r="EJ28" s="33">
        <f t="shared" si="38"/>
        <v>108.33333333333333</v>
      </c>
      <c r="EK28" s="33">
        <f t="shared" si="38"/>
        <v>108.33333333333333</v>
      </c>
      <c r="EL28" s="33">
        <f t="shared" si="38"/>
        <v>108.33333333333333</v>
      </c>
      <c r="EM28" s="33">
        <f t="shared" si="38"/>
        <v>108.33333333333333</v>
      </c>
      <c r="EN28" s="33">
        <f t="shared" si="38"/>
        <v>108.33333333333333</v>
      </c>
      <c r="EO28" s="33">
        <f t="shared" si="38"/>
        <v>108.33333333333333</v>
      </c>
      <c r="EP28" s="33">
        <f t="shared" si="38"/>
        <v>108.33333333333333</v>
      </c>
      <c r="EQ28" s="33">
        <f t="shared" si="38"/>
        <v>108.33333333333333</v>
      </c>
      <c r="ER28" s="33">
        <f t="shared" si="38"/>
        <v>108.33333333333333</v>
      </c>
      <c r="ES28" s="33">
        <f t="shared" si="38"/>
        <v>108.33333333333333</v>
      </c>
      <c r="ET28" s="33">
        <f t="shared" si="38"/>
        <v>108.33333333333333</v>
      </c>
      <c r="EU28" s="33">
        <f t="shared" si="38"/>
        <v>108.33333333333333</v>
      </c>
      <c r="EV28" s="33">
        <f t="shared" si="38"/>
        <v>108.33333333333333</v>
      </c>
      <c r="EW28" s="33">
        <f t="shared" si="38"/>
        <v>108.33333333333333</v>
      </c>
      <c r="EX28" s="33">
        <f t="shared" si="38"/>
        <v>108.33333333333333</v>
      </c>
      <c r="EY28" s="33">
        <f t="shared" si="38"/>
        <v>108.33333333333333</v>
      </c>
      <c r="EZ28" s="33">
        <f t="shared" si="38"/>
        <v>108.33333333333333</v>
      </c>
      <c r="FA28" s="33">
        <f t="shared" si="38"/>
        <v>108.33333333333333</v>
      </c>
      <c r="FB28" s="33">
        <f t="shared" si="38"/>
        <v>108.33333333333333</v>
      </c>
      <c r="FC28" s="33">
        <f t="shared" si="38"/>
        <v>108.33333333333333</v>
      </c>
      <c r="FD28" s="33">
        <f t="shared" si="38"/>
        <v>108.33333333333333</v>
      </c>
      <c r="FE28" s="33">
        <f t="shared" si="38"/>
        <v>108.33333333333333</v>
      </c>
      <c r="FF28" s="33">
        <f t="shared" si="38"/>
        <v>108.33333333333333</v>
      </c>
      <c r="FG28" s="33">
        <f t="shared" si="38"/>
        <v>108.33333333333333</v>
      </c>
      <c r="FH28" s="33">
        <f t="shared" si="38"/>
        <v>108.33333333333333</v>
      </c>
      <c r="FI28" s="33">
        <f t="shared" si="38"/>
        <v>108.33333333333333</v>
      </c>
      <c r="FJ28" s="33">
        <f t="shared" si="38"/>
        <v>108.33333333333333</v>
      </c>
      <c r="FK28" s="33">
        <f t="shared" si="38"/>
        <v>108.33333333333333</v>
      </c>
      <c r="FL28" s="33">
        <f t="shared" si="38"/>
        <v>108.33333333333333</v>
      </c>
      <c r="FM28" s="33">
        <f t="shared" si="38"/>
        <v>108.33333333333333</v>
      </c>
      <c r="FN28" s="33">
        <f t="shared" si="38"/>
        <v>108.33333333333333</v>
      </c>
      <c r="FO28" s="33">
        <f t="shared" si="38"/>
        <v>108.33333333333333</v>
      </c>
      <c r="FP28" s="33">
        <f t="shared" si="38"/>
        <v>108.33333333333333</v>
      </c>
      <c r="FQ28" s="33">
        <f t="shared" si="38"/>
        <v>108.33333333333333</v>
      </c>
      <c r="FR28" s="33">
        <f t="shared" si="38"/>
        <v>108.33333333333333</v>
      </c>
      <c r="FS28" s="33">
        <f t="shared" si="38"/>
        <v>108.33333333333333</v>
      </c>
      <c r="FT28" s="33">
        <f t="shared" si="38"/>
        <v>108.33333333333333</v>
      </c>
      <c r="FU28" s="33">
        <f t="shared" si="38"/>
        <v>108.33333333333333</v>
      </c>
      <c r="FV28" s="33">
        <f t="shared" si="38"/>
        <v>108.33333333333333</v>
      </c>
      <c r="FW28" s="33">
        <f t="shared" si="38"/>
        <v>108.33333333333333</v>
      </c>
      <c r="FX28" s="33">
        <f t="shared" si="38"/>
        <v>108.33333333333333</v>
      </c>
      <c r="FY28" s="33">
        <f t="shared" si="38"/>
        <v>108.33333333333333</v>
      </c>
      <c r="FZ28" s="33">
        <f t="shared" si="38"/>
        <v>108.33333333333333</v>
      </c>
      <c r="GA28" s="33">
        <f t="shared" si="38"/>
        <v>108.33333333333333</v>
      </c>
      <c r="GB28" s="33">
        <f t="shared" si="38"/>
        <v>108.33333333333333</v>
      </c>
      <c r="GC28" s="33">
        <f t="shared" si="38"/>
        <v>108.33333333333333</v>
      </c>
      <c r="GD28" s="33">
        <f t="shared" si="38"/>
        <v>108.33333333333333</v>
      </c>
      <c r="GE28" s="33">
        <f t="shared" si="38"/>
        <v>108.33333333333333</v>
      </c>
      <c r="GF28" s="33">
        <f t="shared" si="38"/>
        <v>108.33333333333333</v>
      </c>
      <c r="GG28" s="33">
        <f t="shared" si="38"/>
        <v>108.33333333333333</v>
      </c>
      <c r="GH28" s="33">
        <f t="shared" si="38"/>
        <v>108.33333333333333</v>
      </c>
      <c r="GI28" s="33">
        <f t="shared" si="38"/>
        <v>108.33333333333333</v>
      </c>
      <c r="GJ28" s="33">
        <f t="shared" si="38"/>
        <v>108.33333333333333</v>
      </c>
      <c r="GK28" s="33">
        <f t="shared" si="38"/>
        <v>108.33333333333333</v>
      </c>
      <c r="GL28" s="33">
        <f t="shared" si="38"/>
        <v>108.33333333333333</v>
      </c>
      <c r="GM28" s="33">
        <f t="shared" ref="GM28:IX28" si="39">$B$11/12</f>
        <v>108.33333333333333</v>
      </c>
      <c r="GN28" s="33">
        <f t="shared" si="39"/>
        <v>108.33333333333333</v>
      </c>
      <c r="GO28" s="33">
        <f t="shared" si="39"/>
        <v>108.33333333333333</v>
      </c>
      <c r="GP28" s="33">
        <f t="shared" si="39"/>
        <v>108.33333333333333</v>
      </c>
      <c r="GQ28" s="33">
        <f t="shared" si="39"/>
        <v>108.33333333333333</v>
      </c>
      <c r="GR28" s="33">
        <f t="shared" si="39"/>
        <v>108.33333333333333</v>
      </c>
      <c r="GS28" s="33">
        <f t="shared" si="39"/>
        <v>108.33333333333333</v>
      </c>
      <c r="GT28" s="33">
        <f t="shared" si="39"/>
        <v>108.33333333333333</v>
      </c>
      <c r="GU28" s="33">
        <f t="shared" si="39"/>
        <v>108.33333333333333</v>
      </c>
      <c r="GV28" s="33">
        <f t="shared" si="39"/>
        <v>108.33333333333333</v>
      </c>
      <c r="GW28" s="33">
        <f t="shared" si="39"/>
        <v>108.33333333333333</v>
      </c>
      <c r="GX28" s="33">
        <f t="shared" si="39"/>
        <v>108.33333333333333</v>
      </c>
      <c r="GY28" s="33">
        <f t="shared" si="39"/>
        <v>108.33333333333333</v>
      </c>
      <c r="GZ28" s="33">
        <f t="shared" si="39"/>
        <v>108.33333333333333</v>
      </c>
      <c r="HA28" s="33">
        <f t="shared" si="39"/>
        <v>108.33333333333333</v>
      </c>
      <c r="HB28" s="33">
        <f t="shared" si="39"/>
        <v>108.33333333333333</v>
      </c>
      <c r="HC28" s="33">
        <f t="shared" si="39"/>
        <v>108.33333333333333</v>
      </c>
      <c r="HD28" s="33">
        <f t="shared" si="39"/>
        <v>108.33333333333333</v>
      </c>
      <c r="HE28" s="33">
        <f t="shared" si="39"/>
        <v>108.33333333333333</v>
      </c>
      <c r="HF28" s="33">
        <f t="shared" si="39"/>
        <v>108.33333333333333</v>
      </c>
      <c r="HG28" s="33">
        <f t="shared" si="39"/>
        <v>108.33333333333333</v>
      </c>
      <c r="HH28" s="33">
        <f t="shared" si="39"/>
        <v>108.33333333333333</v>
      </c>
      <c r="HI28" s="33">
        <f t="shared" si="39"/>
        <v>108.33333333333333</v>
      </c>
      <c r="HJ28" s="33">
        <f t="shared" si="39"/>
        <v>108.33333333333333</v>
      </c>
      <c r="HK28" s="33">
        <f t="shared" si="39"/>
        <v>108.33333333333333</v>
      </c>
      <c r="HL28" s="33">
        <f t="shared" si="39"/>
        <v>108.33333333333333</v>
      </c>
      <c r="HM28" s="33">
        <f t="shared" si="39"/>
        <v>108.33333333333333</v>
      </c>
      <c r="HN28" s="33">
        <f t="shared" si="39"/>
        <v>108.33333333333333</v>
      </c>
      <c r="HO28" s="33">
        <f t="shared" si="39"/>
        <v>108.33333333333333</v>
      </c>
      <c r="HP28" s="33">
        <f t="shared" si="39"/>
        <v>108.33333333333333</v>
      </c>
      <c r="HQ28" s="33">
        <f t="shared" si="39"/>
        <v>108.33333333333333</v>
      </c>
      <c r="HR28" s="33">
        <f t="shared" si="39"/>
        <v>108.33333333333333</v>
      </c>
      <c r="HS28" s="33">
        <f t="shared" si="39"/>
        <v>108.33333333333333</v>
      </c>
      <c r="HT28" s="33">
        <f t="shared" si="39"/>
        <v>108.33333333333333</v>
      </c>
      <c r="HU28" s="33">
        <f t="shared" si="39"/>
        <v>108.33333333333333</v>
      </c>
      <c r="HV28" s="33">
        <f t="shared" si="39"/>
        <v>108.33333333333333</v>
      </c>
      <c r="HW28" s="33">
        <f t="shared" si="39"/>
        <v>108.33333333333333</v>
      </c>
      <c r="HX28" s="33">
        <f t="shared" si="39"/>
        <v>108.33333333333333</v>
      </c>
      <c r="HY28" s="33">
        <f t="shared" si="39"/>
        <v>108.33333333333333</v>
      </c>
      <c r="HZ28" s="33">
        <f t="shared" si="39"/>
        <v>108.33333333333333</v>
      </c>
      <c r="IA28" s="33">
        <f t="shared" si="39"/>
        <v>108.33333333333333</v>
      </c>
      <c r="IB28" s="33">
        <f t="shared" si="39"/>
        <v>108.33333333333333</v>
      </c>
      <c r="IC28" s="33">
        <f t="shared" si="39"/>
        <v>108.33333333333333</v>
      </c>
      <c r="ID28" s="33">
        <f t="shared" si="39"/>
        <v>108.33333333333333</v>
      </c>
      <c r="IE28" s="33">
        <f t="shared" si="39"/>
        <v>108.33333333333333</v>
      </c>
      <c r="IF28" s="33">
        <f t="shared" si="39"/>
        <v>108.33333333333333</v>
      </c>
      <c r="IG28" s="33">
        <f t="shared" si="39"/>
        <v>108.33333333333333</v>
      </c>
      <c r="IH28" s="33">
        <f t="shared" si="39"/>
        <v>108.33333333333333</v>
      </c>
      <c r="II28" s="33">
        <f t="shared" si="39"/>
        <v>108.33333333333333</v>
      </c>
      <c r="IJ28" s="33">
        <f t="shared" si="39"/>
        <v>108.33333333333333</v>
      </c>
      <c r="IK28" s="33">
        <f t="shared" si="39"/>
        <v>108.33333333333333</v>
      </c>
      <c r="IL28" s="33">
        <f t="shared" si="39"/>
        <v>108.33333333333333</v>
      </c>
      <c r="IM28" s="33">
        <f t="shared" si="39"/>
        <v>108.33333333333333</v>
      </c>
      <c r="IN28" s="33">
        <f t="shared" si="39"/>
        <v>108.33333333333333</v>
      </c>
      <c r="IO28" s="33">
        <f t="shared" si="39"/>
        <v>108.33333333333333</v>
      </c>
      <c r="IP28" s="33">
        <f t="shared" si="39"/>
        <v>108.33333333333333</v>
      </c>
      <c r="IQ28" s="33">
        <f t="shared" si="39"/>
        <v>108.33333333333333</v>
      </c>
      <c r="IR28" s="33">
        <f t="shared" si="39"/>
        <v>108.33333333333333</v>
      </c>
      <c r="IS28" s="33">
        <f t="shared" si="39"/>
        <v>108.33333333333333</v>
      </c>
      <c r="IT28" s="33">
        <f t="shared" si="39"/>
        <v>108.33333333333333</v>
      </c>
      <c r="IU28" s="33">
        <f t="shared" si="39"/>
        <v>108.33333333333333</v>
      </c>
      <c r="IV28" s="33">
        <f t="shared" si="39"/>
        <v>108.33333333333333</v>
      </c>
      <c r="IW28" s="33">
        <f t="shared" si="39"/>
        <v>108.33333333333333</v>
      </c>
      <c r="IX28" s="33">
        <f t="shared" si="39"/>
        <v>108.33333333333333</v>
      </c>
      <c r="IY28" s="33">
        <f t="shared" ref="IY28:LJ28" si="40">$B$11/12</f>
        <v>108.33333333333333</v>
      </c>
      <c r="IZ28" s="33">
        <f t="shared" si="40"/>
        <v>108.33333333333333</v>
      </c>
      <c r="JA28" s="33">
        <f t="shared" si="40"/>
        <v>108.33333333333333</v>
      </c>
      <c r="JB28" s="33">
        <f t="shared" si="40"/>
        <v>108.33333333333333</v>
      </c>
      <c r="JC28" s="33">
        <f t="shared" si="40"/>
        <v>108.33333333333333</v>
      </c>
      <c r="JD28" s="33">
        <f t="shared" si="40"/>
        <v>108.33333333333333</v>
      </c>
      <c r="JE28" s="33">
        <f t="shared" si="40"/>
        <v>108.33333333333333</v>
      </c>
      <c r="JF28" s="33">
        <f t="shared" si="40"/>
        <v>108.33333333333333</v>
      </c>
      <c r="JG28" s="33">
        <f t="shared" si="40"/>
        <v>108.33333333333333</v>
      </c>
      <c r="JH28" s="33">
        <f t="shared" si="40"/>
        <v>108.33333333333333</v>
      </c>
      <c r="JI28" s="33">
        <f t="shared" si="40"/>
        <v>108.33333333333333</v>
      </c>
      <c r="JJ28" s="33">
        <f t="shared" si="40"/>
        <v>108.33333333333333</v>
      </c>
      <c r="JK28" s="33">
        <f t="shared" si="40"/>
        <v>108.33333333333333</v>
      </c>
      <c r="JL28" s="33">
        <f t="shared" si="40"/>
        <v>108.33333333333333</v>
      </c>
      <c r="JM28" s="33">
        <f t="shared" si="40"/>
        <v>108.33333333333333</v>
      </c>
      <c r="JN28" s="33">
        <f t="shared" si="40"/>
        <v>108.33333333333333</v>
      </c>
      <c r="JO28" s="33">
        <f t="shared" si="40"/>
        <v>108.33333333333333</v>
      </c>
      <c r="JP28" s="33">
        <f t="shared" si="40"/>
        <v>108.33333333333333</v>
      </c>
      <c r="JQ28" s="33">
        <f t="shared" si="40"/>
        <v>108.33333333333333</v>
      </c>
      <c r="JR28" s="33">
        <f t="shared" si="40"/>
        <v>108.33333333333333</v>
      </c>
      <c r="JS28" s="33">
        <f t="shared" si="40"/>
        <v>108.33333333333333</v>
      </c>
      <c r="JT28" s="33">
        <f t="shared" si="40"/>
        <v>108.33333333333333</v>
      </c>
      <c r="JU28" s="33">
        <f t="shared" si="40"/>
        <v>108.33333333333333</v>
      </c>
      <c r="JV28" s="33">
        <f t="shared" si="40"/>
        <v>108.33333333333333</v>
      </c>
      <c r="JW28" s="33">
        <f t="shared" si="40"/>
        <v>108.33333333333333</v>
      </c>
      <c r="JX28" s="33">
        <f t="shared" si="40"/>
        <v>108.33333333333333</v>
      </c>
      <c r="JY28" s="33">
        <f t="shared" si="40"/>
        <v>108.33333333333333</v>
      </c>
      <c r="JZ28" s="33">
        <f t="shared" si="40"/>
        <v>108.33333333333333</v>
      </c>
      <c r="KA28" s="33">
        <f t="shared" si="40"/>
        <v>108.33333333333333</v>
      </c>
      <c r="KB28" s="33">
        <f t="shared" si="40"/>
        <v>108.33333333333333</v>
      </c>
      <c r="KC28" s="33">
        <f t="shared" si="40"/>
        <v>108.33333333333333</v>
      </c>
      <c r="KD28" s="33">
        <f t="shared" si="40"/>
        <v>108.33333333333333</v>
      </c>
      <c r="KE28" s="33">
        <f t="shared" si="40"/>
        <v>108.33333333333333</v>
      </c>
      <c r="KF28" s="33">
        <f t="shared" si="40"/>
        <v>108.33333333333333</v>
      </c>
      <c r="KG28" s="33">
        <f t="shared" si="40"/>
        <v>108.33333333333333</v>
      </c>
      <c r="KH28" s="33">
        <f t="shared" si="40"/>
        <v>108.33333333333333</v>
      </c>
      <c r="KI28" s="33">
        <f t="shared" si="40"/>
        <v>108.33333333333333</v>
      </c>
      <c r="KJ28" s="33">
        <f t="shared" si="40"/>
        <v>108.33333333333333</v>
      </c>
      <c r="KK28" s="33">
        <f t="shared" si="40"/>
        <v>108.33333333333333</v>
      </c>
      <c r="KL28" s="33">
        <f t="shared" si="40"/>
        <v>108.33333333333333</v>
      </c>
      <c r="KM28" s="33">
        <f t="shared" si="40"/>
        <v>108.33333333333333</v>
      </c>
      <c r="KN28" s="33">
        <f t="shared" si="40"/>
        <v>108.33333333333333</v>
      </c>
      <c r="KO28" s="33">
        <f t="shared" si="40"/>
        <v>108.33333333333333</v>
      </c>
      <c r="KP28" s="33">
        <f t="shared" si="40"/>
        <v>108.33333333333333</v>
      </c>
      <c r="KQ28" s="33">
        <f t="shared" si="40"/>
        <v>108.33333333333333</v>
      </c>
      <c r="KR28" s="33">
        <f t="shared" si="40"/>
        <v>108.33333333333333</v>
      </c>
      <c r="KS28" s="33">
        <f t="shared" si="40"/>
        <v>108.33333333333333</v>
      </c>
      <c r="KT28" s="33">
        <f t="shared" si="40"/>
        <v>108.33333333333333</v>
      </c>
      <c r="KU28" s="33">
        <f t="shared" si="40"/>
        <v>108.33333333333333</v>
      </c>
      <c r="KV28" s="33">
        <f t="shared" si="40"/>
        <v>108.33333333333333</v>
      </c>
      <c r="KW28" s="33">
        <f t="shared" si="40"/>
        <v>108.33333333333333</v>
      </c>
      <c r="KX28" s="33">
        <f t="shared" si="40"/>
        <v>108.33333333333333</v>
      </c>
      <c r="KY28" s="33">
        <f t="shared" si="40"/>
        <v>108.33333333333333</v>
      </c>
      <c r="KZ28" s="33">
        <f t="shared" si="40"/>
        <v>108.33333333333333</v>
      </c>
      <c r="LA28" s="33">
        <f t="shared" si="40"/>
        <v>108.33333333333333</v>
      </c>
      <c r="LB28" s="33">
        <f t="shared" si="40"/>
        <v>108.33333333333333</v>
      </c>
      <c r="LC28" s="33">
        <f t="shared" si="40"/>
        <v>108.33333333333333</v>
      </c>
      <c r="LD28" s="33">
        <f t="shared" si="40"/>
        <v>108.33333333333333</v>
      </c>
      <c r="LE28" s="33">
        <f t="shared" si="40"/>
        <v>108.33333333333333</v>
      </c>
      <c r="LF28" s="33">
        <f t="shared" si="40"/>
        <v>108.33333333333333</v>
      </c>
      <c r="LG28" s="33">
        <f t="shared" si="40"/>
        <v>108.33333333333333</v>
      </c>
      <c r="LH28" s="33">
        <f t="shared" si="40"/>
        <v>108.33333333333333</v>
      </c>
      <c r="LI28" s="33">
        <f t="shared" si="40"/>
        <v>108.33333333333333</v>
      </c>
      <c r="LJ28" s="33">
        <f t="shared" si="40"/>
        <v>108.33333333333333</v>
      </c>
      <c r="LK28" s="33">
        <f t="shared" ref="LK28:MX28" si="41">$B$11/12</f>
        <v>108.33333333333333</v>
      </c>
      <c r="LL28" s="33">
        <f t="shared" si="41"/>
        <v>108.33333333333333</v>
      </c>
      <c r="LM28" s="33">
        <f t="shared" si="41"/>
        <v>108.33333333333333</v>
      </c>
      <c r="LN28" s="33">
        <f t="shared" si="41"/>
        <v>108.33333333333333</v>
      </c>
      <c r="LO28" s="33">
        <f t="shared" si="41"/>
        <v>108.33333333333333</v>
      </c>
      <c r="LP28" s="33">
        <f t="shared" si="41"/>
        <v>108.33333333333333</v>
      </c>
      <c r="LQ28" s="33">
        <f t="shared" si="41"/>
        <v>108.33333333333333</v>
      </c>
      <c r="LR28" s="33">
        <f t="shared" si="41"/>
        <v>108.33333333333333</v>
      </c>
      <c r="LS28" s="33">
        <f t="shared" si="41"/>
        <v>108.33333333333333</v>
      </c>
      <c r="LT28" s="33">
        <f t="shared" si="41"/>
        <v>108.33333333333333</v>
      </c>
      <c r="LU28" s="33">
        <f t="shared" si="41"/>
        <v>108.33333333333333</v>
      </c>
      <c r="LV28" s="33">
        <f t="shared" si="41"/>
        <v>108.33333333333333</v>
      </c>
      <c r="LW28" s="33">
        <f t="shared" si="41"/>
        <v>108.33333333333333</v>
      </c>
      <c r="LX28" s="33">
        <f t="shared" si="41"/>
        <v>108.33333333333333</v>
      </c>
      <c r="LY28" s="33">
        <f t="shared" si="41"/>
        <v>108.33333333333333</v>
      </c>
      <c r="LZ28" s="33">
        <f t="shared" si="41"/>
        <v>108.33333333333333</v>
      </c>
      <c r="MA28" s="33">
        <f t="shared" si="41"/>
        <v>108.33333333333333</v>
      </c>
      <c r="MB28" s="33">
        <f t="shared" si="41"/>
        <v>108.33333333333333</v>
      </c>
      <c r="MC28" s="33">
        <f t="shared" si="41"/>
        <v>108.33333333333333</v>
      </c>
      <c r="MD28" s="33">
        <f t="shared" si="41"/>
        <v>108.33333333333333</v>
      </c>
      <c r="ME28" s="33">
        <f t="shared" si="41"/>
        <v>108.33333333333333</v>
      </c>
      <c r="MF28" s="33">
        <f t="shared" si="41"/>
        <v>108.33333333333333</v>
      </c>
      <c r="MG28" s="33">
        <f t="shared" si="41"/>
        <v>108.33333333333333</v>
      </c>
      <c r="MH28" s="33">
        <f t="shared" si="41"/>
        <v>108.33333333333333</v>
      </c>
      <c r="MI28" s="33">
        <f t="shared" si="41"/>
        <v>108.33333333333333</v>
      </c>
      <c r="MJ28" s="33">
        <f t="shared" si="41"/>
        <v>108.33333333333333</v>
      </c>
      <c r="MK28" s="33">
        <f t="shared" si="41"/>
        <v>108.33333333333333</v>
      </c>
      <c r="ML28" s="33">
        <f t="shared" si="41"/>
        <v>108.33333333333333</v>
      </c>
      <c r="MM28" s="33">
        <f t="shared" si="41"/>
        <v>108.33333333333333</v>
      </c>
      <c r="MN28" s="33">
        <f t="shared" si="41"/>
        <v>108.33333333333333</v>
      </c>
      <c r="MO28" s="33">
        <f t="shared" si="41"/>
        <v>108.33333333333333</v>
      </c>
      <c r="MP28" s="33">
        <f t="shared" si="41"/>
        <v>108.33333333333333</v>
      </c>
      <c r="MQ28" s="33">
        <f t="shared" si="41"/>
        <v>108.33333333333333</v>
      </c>
      <c r="MR28" s="33">
        <f t="shared" si="41"/>
        <v>108.33333333333333</v>
      </c>
      <c r="MS28" s="33">
        <f t="shared" si="41"/>
        <v>108.33333333333333</v>
      </c>
      <c r="MT28" s="33">
        <f t="shared" si="41"/>
        <v>108.33333333333333</v>
      </c>
      <c r="MU28" s="33">
        <f t="shared" si="41"/>
        <v>108.33333333333333</v>
      </c>
      <c r="MV28" s="33">
        <f t="shared" si="41"/>
        <v>108.33333333333333</v>
      </c>
      <c r="MW28" s="33">
        <f t="shared" si="41"/>
        <v>108.33333333333333</v>
      </c>
      <c r="MX28" s="55">
        <f t="shared" si="41"/>
        <v>108.33333333333333</v>
      </c>
      <c r="MY28" s="1"/>
      <c r="MZ28" s="1"/>
      <c r="NA28" s="1"/>
      <c r="NB28" s="1"/>
      <c r="NC28" s="1"/>
      <c r="ND28" s="1"/>
      <c r="NE28" s="1"/>
      <c r="NF28" s="13">
        <v>0.13500000000000001</v>
      </c>
      <c r="NG28" s="1">
        <f>Combine!A30</f>
        <v>48227</v>
      </c>
      <c r="NH28" s="14">
        <f>Combine!F30</f>
        <v>53426.7195732619</v>
      </c>
    </row>
    <row r="29" spans="1:372" ht="12.75" customHeight="1" x14ac:dyDescent="0.3">
      <c r="A29" s="31" t="s">
        <v>870</v>
      </c>
      <c r="B29" s="32"/>
      <c r="C29" s="33">
        <f t="shared" ref="C29:BN29" si="42">$B$10/12</f>
        <v>212.69666666666669</v>
      </c>
      <c r="D29" s="33">
        <f t="shared" si="42"/>
        <v>212.69666666666669</v>
      </c>
      <c r="E29" s="33">
        <f t="shared" si="42"/>
        <v>212.69666666666669</v>
      </c>
      <c r="F29" s="33">
        <f t="shared" si="42"/>
        <v>212.69666666666669</v>
      </c>
      <c r="G29" s="33">
        <f t="shared" si="42"/>
        <v>212.69666666666669</v>
      </c>
      <c r="H29" s="33">
        <f t="shared" si="42"/>
        <v>212.69666666666669</v>
      </c>
      <c r="I29" s="33">
        <f t="shared" si="42"/>
        <v>212.69666666666669</v>
      </c>
      <c r="J29" s="33">
        <f t="shared" si="42"/>
        <v>212.69666666666669</v>
      </c>
      <c r="K29" s="33">
        <f t="shared" si="42"/>
        <v>212.69666666666669</v>
      </c>
      <c r="L29" s="33">
        <f t="shared" si="42"/>
        <v>212.69666666666669</v>
      </c>
      <c r="M29" s="33">
        <f t="shared" si="42"/>
        <v>212.69666666666669</v>
      </c>
      <c r="N29" s="33">
        <f t="shared" si="42"/>
        <v>212.69666666666669</v>
      </c>
      <c r="O29" s="33">
        <f t="shared" si="42"/>
        <v>212.69666666666669</v>
      </c>
      <c r="P29" s="33">
        <f t="shared" si="42"/>
        <v>212.69666666666669</v>
      </c>
      <c r="Q29" s="33">
        <f t="shared" si="42"/>
        <v>212.69666666666669</v>
      </c>
      <c r="R29" s="33">
        <f t="shared" si="42"/>
        <v>212.69666666666669</v>
      </c>
      <c r="S29" s="33">
        <f t="shared" si="42"/>
        <v>212.69666666666669</v>
      </c>
      <c r="T29" s="33">
        <f t="shared" si="42"/>
        <v>212.69666666666669</v>
      </c>
      <c r="U29" s="33">
        <f t="shared" si="42"/>
        <v>212.69666666666669</v>
      </c>
      <c r="V29" s="33">
        <f t="shared" si="42"/>
        <v>212.69666666666669</v>
      </c>
      <c r="W29" s="33">
        <f t="shared" si="42"/>
        <v>212.69666666666669</v>
      </c>
      <c r="X29" s="33">
        <f t="shared" si="42"/>
        <v>212.69666666666669</v>
      </c>
      <c r="Y29" s="33">
        <f t="shared" si="42"/>
        <v>212.69666666666669</v>
      </c>
      <c r="Z29" s="33">
        <f t="shared" si="42"/>
        <v>212.69666666666669</v>
      </c>
      <c r="AA29" s="33">
        <f t="shared" si="42"/>
        <v>212.69666666666669</v>
      </c>
      <c r="AB29" s="33">
        <f t="shared" si="42"/>
        <v>212.69666666666669</v>
      </c>
      <c r="AC29" s="33">
        <f t="shared" si="42"/>
        <v>212.69666666666669</v>
      </c>
      <c r="AD29" s="33">
        <f t="shared" si="42"/>
        <v>212.69666666666669</v>
      </c>
      <c r="AE29" s="33">
        <f t="shared" si="42"/>
        <v>212.69666666666669</v>
      </c>
      <c r="AF29" s="33">
        <f t="shared" si="42"/>
        <v>212.69666666666669</v>
      </c>
      <c r="AG29" s="33">
        <f t="shared" si="42"/>
        <v>212.69666666666669</v>
      </c>
      <c r="AH29" s="33">
        <f t="shared" si="42"/>
        <v>212.69666666666669</v>
      </c>
      <c r="AI29" s="33">
        <f t="shared" si="42"/>
        <v>212.69666666666669</v>
      </c>
      <c r="AJ29" s="33">
        <f t="shared" si="42"/>
        <v>212.69666666666669</v>
      </c>
      <c r="AK29" s="33">
        <f t="shared" si="42"/>
        <v>212.69666666666669</v>
      </c>
      <c r="AL29" s="33">
        <f t="shared" si="42"/>
        <v>212.69666666666669</v>
      </c>
      <c r="AM29" s="33">
        <f t="shared" si="42"/>
        <v>212.69666666666669</v>
      </c>
      <c r="AN29" s="33">
        <f t="shared" si="42"/>
        <v>212.69666666666669</v>
      </c>
      <c r="AO29" s="33">
        <f t="shared" si="42"/>
        <v>212.69666666666669</v>
      </c>
      <c r="AP29" s="33">
        <f t="shared" si="42"/>
        <v>212.69666666666669</v>
      </c>
      <c r="AQ29" s="33">
        <f t="shared" si="42"/>
        <v>212.69666666666669</v>
      </c>
      <c r="AR29" s="33">
        <f t="shared" si="42"/>
        <v>212.69666666666669</v>
      </c>
      <c r="AS29" s="33">
        <f t="shared" si="42"/>
        <v>212.69666666666669</v>
      </c>
      <c r="AT29" s="33">
        <f t="shared" si="42"/>
        <v>212.69666666666669</v>
      </c>
      <c r="AU29" s="33">
        <f t="shared" si="42"/>
        <v>212.69666666666669</v>
      </c>
      <c r="AV29" s="33">
        <f t="shared" si="42"/>
        <v>212.69666666666669</v>
      </c>
      <c r="AW29" s="33">
        <f t="shared" si="42"/>
        <v>212.69666666666669</v>
      </c>
      <c r="AX29" s="33">
        <f t="shared" si="42"/>
        <v>212.69666666666669</v>
      </c>
      <c r="AY29" s="33">
        <f t="shared" si="42"/>
        <v>212.69666666666669</v>
      </c>
      <c r="AZ29" s="33">
        <f t="shared" si="42"/>
        <v>212.69666666666669</v>
      </c>
      <c r="BA29" s="33">
        <f t="shared" si="42"/>
        <v>212.69666666666669</v>
      </c>
      <c r="BB29" s="33">
        <f t="shared" si="42"/>
        <v>212.69666666666669</v>
      </c>
      <c r="BC29" s="33">
        <f t="shared" si="42"/>
        <v>212.69666666666669</v>
      </c>
      <c r="BD29" s="33">
        <f t="shared" si="42"/>
        <v>212.69666666666669</v>
      </c>
      <c r="BE29" s="33">
        <f t="shared" si="42"/>
        <v>212.69666666666669</v>
      </c>
      <c r="BF29" s="33">
        <f t="shared" si="42"/>
        <v>212.69666666666669</v>
      </c>
      <c r="BG29" s="33">
        <f t="shared" si="42"/>
        <v>212.69666666666669</v>
      </c>
      <c r="BH29" s="33">
        <f t="shared" si="42"/>
        <v>212.69666666666669</v>
      </c>
      <c r="BI29" s="33">
        <f t="shared" si="42"/>
        <v>212.69666666666669</v>
      </c>
      <c r="BJ29" s="33">
        <f t="shared" si="42"/>
        <v>212.69666666666669</v>
      </c>
      <c r="BK29" s="33">
        <f t="shared" si="42"/>
        <v>212.69666666666669</v>
      </c>
      <c r="BL29" s="33">
        <f t="shared" si="42"/>
        <v>212.69666666666669</v>
      </c>
      <c r="BM29" s="33">
        <f t="shared" si="42"/>
        <v>212.69666666666669</v>
      </c>
      <c r="BN29" s="33">
        <f t="shared" si="42"/>
        <v>212.69666666666669</v>
      </c>
      <c r="BO29" s="33">
        <f t="shared" ref="BO29:DZ29" si="43">$B$10/12</f>
        <v>212.69666666666669</v>
      </c>
      <c r="BP29" s="33">
        <f t="shared" si="43"/>
        <v>212.69666666666669</v>
      </c>
      <c r="BQ29" s="33">
        <f t="shared" si="43"/>
        <v>212.69666666666669</v>
      </c>
      <c r="BR29" s="33">
        <f t="shared" si="43"/>
        <v>212.69666666666669</v>
      </c>
      <c r="BS29" s="33">
        <f t="shared" si="43"/>
        <v>212.69666666666669</v>
      </c>
      <c r="BT29" s="33">
        <f t="shared" si="43"/>
        <v>212.69666666666669</v>
      </c>
      <c r="BU29" s="33">
        <f t="shared" si="43"/>
        <v>212.69666666666669</v>
      </c>
      <c r="BV29" s="33">
        <f t="shared" si="43"/>
        <v>212.69666666666669</v>
      </c>
      <c r="BW29" s="33">
        <f t="shared" si="43"/>
        <v>212.69666666666669</v>
      </c>
      <c r="BX29" s="33">
        <f t="shared" si="43"/>
        <v>212.69666666666669</v>
      </c>
      <c r="BY29" s="33">
        <f t="shared" si="43"/>
        <v>212.69666666666669</v>
      </c>
      <c r="BZ29" s="33">
        <f t="shared" si="43"/>
        <v>212.69666666666669</v>
      </c>
      <c r="CA29" s="33">
        <f t="shared" si="43"/>
        <v>212.69666666666669</v>
      </c>
      <c r="CB29" s="33">
        <f t="shared" si="43"/>
        <v>212.69666666666669</v>
      </c>
      <c r="CC29" s="33">
        <f t="shared" si="43"/>
        <v>212.69666666666669</v>
      </c>
      <c r="CD29" s="33">
        <f t="shared" si="43"/>
        <v>212.69666666666669</v>
      </c>
      <c r="CE29" s="33">
        <f t="shared" si="43"/>
        <v>212.69666666666669</v>
      </c>
      <c r="CF29" s="33">
        <f t="shared" si="43"/>
        <v>212.69666666666669</v>
      </c>
      <c r="CG29" s="33">
        <f t="shared" si="43"/>
        <v>212.69666666666669</v>
      </c>
      <c r="CH29" s="33">
        <f t="shared" si="43"/>
        <v>212.69666666666669</v>
      </c>
      <c r="CI29" s="33">
        <f t="shared" si="43"/>
        <v>212.69666666666669</v>
      </c>
      <c r="CJ29" s="33">
        <f t="shared" si="43"/>
        <v>212.69666666666669</v>
      </c>
      <c r="CK29" s="33">
        <f t="shared" si="43"/>
        <v>212.69666666666669</v>
      </c>
      <c r="CL29" s="33">
        <f t="shared" si="43"/>
        <v>212.69666666666669</v>
      </c>
      <c r="CM29" s="33">
        <f t="shared" si="43"/>
        <v>212.69666666666669</v>
      </c>
      <c r="CN29" s="33">
        <f t="shared" si="43"/>
        <v>212.69666666666669</v>
      </c>
      <c r="CO29" s="33">
        <f t="shared" si="43"/>
        <v>212.69666666666669</v>
      </c>
      <c r="CP29" s="33">
        <f t="shared" si="43"/>
        <v>212.69666666666669</v>
      </c>
      <c r="CQ29" s="33">
        <f t="shared" si="43"/>
        <v>212.69666666666669</v>
      </c>
      <c r="CR29" s="33">
        <f t="shared" si="43"/>
        <v>212.69666666666669</v>
      </c>
      <c r="CS29" s="33">
        <f t="shared" si="43"/>
        <v>212.69666666666669</v>
      </c>
      <c r="CT29" s="33">
        <f t="shared" si="43"/>
        <v>212.69666666666669</v>
      </c>
      <c r="CU29" s="33">
        <f t="shared" si="43"/>
        <v>212.69666666666669</v>
      </c>
      <c r="CV29" s="33">
        <f t="shared" si="43"/>
        <v>212.69666666666669</v>
      </c>
      <c r="CW29" s="33">
        <f t="shared" si="43"/>
        <v>212.69666666666669</v>
      </c>
      <c r="CX29" s="33">
        <f t="shared" si="43"/>
        <v>212.69666666666669</v>
      </c>
      <c r="CY29" s="33">
        <f t="shared" si="43"/>
        <v>212.69666666666669</v>
      </c>
      <c r="CZ29" s="33">
        <f t="shared" si="43"/>
        <v>212.69666666666669</v>
      </c>
      <c r="DA29" s="33">
        <f t="shared" si="43"/>
        <v>212.69666666666669</v>
      </c>
      <c r="DB29" s="33">
        <f t="shared" si="43"/>
        <v>212.69666666666669</v>
      </c>
      <c r="DC29" s="33">
        <f t="shared" si="43"/>
        <v>212.69666666666669</v>
      </c>
      <c r="DD29" s="33">
        <f t="shared" si="43"/>
        <v>212.69666666666669</v>
      </c>
      <c r="DE29" s="33">
        <f t="shared" si="43"/>
        <v>212.69666666666669</v>
      </c>
      <c r="DF29" s="33">
        <f t="shared" si="43"/>
        <v>212.69666666666669</v>
      </c>
      <c r="DG29" s="33">
        <f t="shared" si="43"/>
        <v>212.69666666666669</v>
      </c>
      <c r="DH29" s="33">
        <f t="shared" si="43"/>
        <v>212.69666666666669</v>
      </c>
      <c r="DI29" s="33">
        <f t="shared" si="43"/>
        <v>212.69666666666669</v>
      </c>
      <c r="DJ29" s="33">
        <f t="shared" si="43"/>
        <v>212.69666666666669</v>
      </c>
      <c r="DK29" s="33">
        <f t="shared" si="43"/>
        <v>212.69666666666669</v>
      </c>
      <c r="DL29" s="33">
        <f t="shared" si="43"/>
        <v>212.69666666666669</v>
      </c>
      <c r="DM29" s="33">
        <f t="shared" si="43"/>
        <v>212.69666666666669</v>
      </c>
      <c r="DN29" s="33">
        <f t="shared" si="43"/>
        <v>212.69666666666669</v>
      </c>
      <c r="DO29" s="33">
        <f t="shared" si="43"/>
        <v>212.69666666666669</v>
      </c>
      <c r="DP29" s="33">
        <f t="shared" si="43"/>
        <v>212.69666666666669</v>
      </c>
      <c r="DQ29" s="33">
        <f t="shared" si="43"/>
        <v>212.69666666666669</v>
      </c>
      <c r="DR29" s="33">
        <f t="shared" si="43"/>
        <v>212.69666666666669</v>
      </c>
      <c r="DS29" s="33">
        <f t="shared" si="43"/>
        <v>212.69666666666669</v>
      </c>
      <c r="DT29" s="33">
        <f t="shared" si="43"/>
        <v>212.69666666666669</v>
      </c>
      <c r="DU29" s="33">
        <f t="shared" si="43"/>
        <v>212.69666666666669</v>
      </c>
      <c r="DV29" s="33">
        <f t="shared" si="43"/>
        <v>212.69666666666669</v>
      </c>
      <c r="DW29" s="33">
        <f t="shared" si="43"/>
        <v>212.69666666666669</v>
      </c>
      <c r="DX29" s="33">
        <f t="shared" si="43"/>
        <v>212.69666666666669</v>
      </c>
      <c r="DY29" s="33">
        <f t="shared" si="43"/>
        <v>212.69666666666669</v>
      </c>
      <c r="DZ29" s="33">
        <f t="shared" si="43"/>
        <v>212.69666666666669</v>
      </c>
      <c r="EA29" s="33">
        <f t="shared" ref="EA29:GL29" si="44">$B$10/12</f>
        <v>212.69666666666669</v>
      </c>
      <c r="EB29" s="33">
        <f t="shared" si="44"/>
        <v>212.69666666666669</v>
      </c>
      <c r="EC29" s="33">
        <f t="shared" si="44"/>
        <v>212.69666666666669</v>
      </c>
      <c r="ED29" s="33">
        <f t="shared" si="44"/>
        <v>212.69666666666669</v>
      </c>
      <c r="EE29" s="33">
        <f t="shared" si="44"/>
        <v>212.69666666666669</v>
      </c>
      <c r="EF29" s="33">
        <f t="shared" si="44"/>
        <v>212.69666666666669</v>
      </c>
      <c r="EG29" s="33">
        <f t="shared" si="44"/>
        <v>212.69666666666669</v>
      </c>
      <c r="EH29" s="33">
        <f t="shared" si="44"/>
        <v>212.69666666666669</v>
      </c>
      <c r="EI29" s="33">
        <f t="shared" si="44"/>
        <v>212.69666666666669</v>
      </c>
      <c r="EJ29" s="33">
        <f t="shared" si="44"/>
        <v>212.69666666666669</v>
      </c>
      <c r="EK29" s="33">
        <f t="shared" si="44"/>
        <v>212.69666666666669</v>
      </c>
      <c r="EL29" s="33">
        <f t="shared" si="44"/>
        <v>212.69666666666669</v>
      </c>
      <c r="EM29" s="33">
        <f t="shared" si="44"/>
        <v>212.69666666666669</v>
      </c>
      <c r="EN29" s="33">
        <f t="shared" si="44"/>
        <v>212.69666666666669</v>
      </c>
      <c r="EO29" s="33">
        <f t="shared" si="44"/>
        <v>212.69666666666669</v>
      </c>
      <c r="EP29" s="33">
        <f t="shared" si="44"/>
        <v>212.69666666666669</v>
      </c>
      <c r="EQ29" s="33">
        <f t="shared" si="44"/>
        <v>212.69666666666669</v>
      </c>
      <c r="ER29" s="33">
        <f t="shared" si="44"/>
        <v>212.69666666666669</v>
      </c>
      <c r="ES29" s="33">
        <f t="shared" si="44"/>
        <v>212.69666666666669</v>
      </c>
      <c r="ET29" s="33">
        <f t="shared" si="44"/>
        <v>212.69666666666669</v>
      </c>
      <c r="EU29" s="33">
        <f t="shared" si="44"/>
        <v>212.69666666666669</v>
      </c>
      <c r="EV29" s="33">
        <f t="shared" si="44"/>
        <v>212.69666666666669</v>
      </c>
      <c r="EW29" s="33">
        <f t="shared" si="44"/>
        <v>212.69666666666669</v>
      </c>
      <c r="EX29" s="33">
        <f t="shared" si="44"/>
        <v>212.69666666666669</v>
      </c>
      <c r="EY29" s="33">
        <f t="shared" si="44"/>
        <v>212.69666666666669</v>
      </c>
      <c r="EZ29" s="33">
        <f t="shared" si="44"/>
        <v>212.69666666666669</v>
      </c>
      <c r="FA29" s="33">
        <f t="shared" si="44"/>
        <v>212.69666666666669</v>
      </c>
      <c r="FB29" s="33">
        <f t="shared" si="44"/>
        <v>212.69666666666669</v>
      </c>
      <c r="FC29" s="33">
        <f t="shared" si="44"/>
        <v>212.69666666666669</v>
      </c>
      <c r="FD29" s="33">
        <f t="shared" si="44"/>
        <v>212.69666666666669</v>
      </c>
      <c r="FE29" s="33">
        <f t="shared" si="44"/>
        <v>212.69666666666669</v>
      </c>
      <c r="FF29" s="33">
        <f t="shared" si="44"/>
        <v>212.69666666666669</v>
      </c>
      <c r="FG29" s="33">
        <f t="shared" si="44"/>
        <v>212.69666666666669</v>
      </c>
      <c r="FH29" s="33">
        <f t="shared" si="44"/>
        <v>212.69666666666669</v>
      </c>
      <c r="FI29" s="33">
        <f t="shared" si="44"/>
        <v>212.69666666666669</v>
      </c>
      <c r="FJ29" s="33">
        <f t="shared" si="44"/>
        <v>212.69666666666669</v>
      </c>
      <c r="FK29" s="33">
        <f t="shared" si="44"/>
        <v>212.69666666666669</v>
      </c>
      <c r="FL29" s="33">
        <f t="shared" si="44"/>
        <v>212.69666666666669</v>
      </c>
      <c r="FM29" s="33">
        <f t="shared" si="44"/>
        <v>212.69666666666669</v>
      </c>
      <c r="FN29" s="33">
        <f t="shared" si="44"/>
        <v>212.69666666666669</v>
      </c>
      <c r="FO29" s="33">
        <f t="shared" si="44"/>
        <v>212.69666666666669</v>
      </c>
      <c r="FP29" s="33">
        <f t="shared" si="44"/>
        <v>212.69666666666669</v>
      </c>
      <c r="FQ29" s="33">
        <f t="shared" si="44"/>
        <v>212.69666666666669</v>
      </c>
      <c r="FR29" s="33">
        <f t="shared" si="44"/>
        <v>212.69666666666669</v>
      </c>
      <c r="FS29" s="33">
        <f t="shared" si="44"/>
        <v>212.69666666666669</v>
      </c>
      <c r="FT29" s="33">
        <f t="shared" si="44"/>
        <v>212.69666666666669</v>
      </c>
      <c r="FU29" s="33">
        <f t="shared" si="44"/>
        <v>212.69666666666669</v>
      </c>
      <c r="FV29" s="33">
        <f t="shared" si="44"/>
        <v>212.69666666666669</v>
      </c>
      <c r="FW29" s="33">
        <f t="shared" si="44"/>
        <v>212.69666666666669</v>
      </c>
      <c r="FX29" s="33">
        <f t="shared" si="44"/>
        <v>212.69666666666669</v>
      </c>
      <c r="FY29" s="33">
        <f t="shared" si="44"/>
        <v>212.69666666666669</v>
      </c>
      <c r="FZ29" s="33">
        <f t="shared" si="44"/>
        <v>212.69666666666669</v>
      </c>
      <c r="GA29" s="33">
        <f t="shared" si="44"/>
        <v>212.69666666666669</v>
      </c>
      <c r="GB29" s="33">
        <f t="shared" si="44"/>
        <v>212.69666666666669</v>
      </c>
      <c r="GC29" s="33">
        <f t="shared" si="44"/>
        <v>212.69666666666669</v>
      </c>
      <c r="GD29" s="33">
        <f t="shared" si="44"/>
        <v>212.69666666666669</v>
      </c>
      <c r="GE29" s="33">
        <f t="shared" si="44"/>
        <v>212.69666666666669</v>
      </c>
      <c r="GF29" s="33">
        <f t="shared" si="44"/>
        <v>212.69666666666669</v>
      </c>
      <c r="GG29" s="33">
        <f t="shared" si="44"/>
        <v>212.69666666666669</v>
      </c>
      <c r="GH29" s="33">
        <f t="shared" si="44"/>
        <v>212.69666666666669</v>
      </c>
      <c r="GI29" s="33">
        <f t="shared" si="44"/>
        <v>212.69666666666669</v>
      </c>
      <c r="GJ29" s="33">
        <f t="shared" si="44"/>
        <v>212.69666666666669</v>
      </c>
      <c r="GK29" s="33">
        <f t="shared" si="44"/>
        <v>212.69666666666669</v>
      </c>
      <c r="GL29" s="33">
        <f t="shared" si="44"/>
        <v>212.69666666666669</v>
      </c>
      <c r="GM29" s="33">
        <f t="shared" ref="GM29:IX29" si="45">$B$10/12</f>
        <v>212.69666666666669</v>
      </c>
      <c r="GN29" s="33">
        <f t="shared" si="45"/>
        <v>212.69666666666669</v>
      </c>
      <c r="GO29" s="33">
        <f t="shared" si="45"/>
        <v>212.69666666666669</v>
      </c>
      <c r="GP29" s="33">
        <f t="shared" si="45"/>
        <v>212.69666666666669</v>
      </c>
      <c r="GQ29" s="33">
        <f t="shared" si="45"/>
        <v>212.69666666666669</v>
      </c>
      <c r="GR29" s="33">
        <f t="shared" si="45"/>
        <v>212.69666666666669</v>
      </c>
      <c r="GS29" s="33">
        <f t="shared" si="45"/>
        <v>212.69666666666669</v>
      </c>
      <c r="GT29" s="33">
        <f t="shared" si="45"/>
        <v>212.69666666666669</v>
      </c>
      <c r="GU29" s="33">
        <f t="shared" si="45"/>
        <v>212.69666666666669</v>
      </c>
      <c r="GV29" s="33">
        <f t="shared" si="45"/>
        <v>212.69666666666669</v>
      </c>
      <c r="GW29" s="33">
        <f t="shared" si="45"/>
        <v>212.69666666666669</v>
      </c>
      <c r="GX29" s="33">
        <f t="shared" si="45"/>
        <v>212.69666666666669</v>
      </c>
      <c r="GY29" s="33">
        <f t="shared" si="45"/>
        <v>212.69666666666669</v>
      </c>
      <c r="GZ29" s="33">
        <f t="shared" si="45"/>
        <v>212.69666666666669</v>
      </c>
      <c r="HA29" s="33">
        <f t="shared" si="45"/>
        <v>212.69666666666669</v>
      </c>
      <c r="HB29" s="33">
        <f t="shared" si="45"/>
        <v>212.69666666666669</v>
      </c>
      <c r="HC29" s="33">
        <f t="shared" si="45"/>
        <v>212.69666666666669</v>
      </c>
      <c r="HD29" s="33">
        <f t="shared" si="45"/>
        <v>212.69666666666669</v>
      </c>
      <c r="HE29" s="33">
        <f t="shared" si="45"/>
        <v>212.69666666666669</v>
      </c>
      <c r="HF29" s="33">
        <f t="shared" si="45"/>
        <v>212.69666666666669</v>
      </c>
      <c r="HG29" s="33">
        <f t="shared" si="45"/>
        <v>212.69666666666669</v>
      </c>
      <c r="HH29" s="33">
        <f t="shared" si="45"/>
        <v>212.69666666666669</v>
      </c>
      <c r="HI29" s="33">
        <f t="shared" si="45"/>
        <v>212.69666666666669</v>
      </c>
      <c r="HJ29" s="33">
        <f t="shared" si="45"/>
        <v>212.69666666666669</v>
      </c>
      <c r="HK29" s="33">
        <f t="shared" si="45"/>
        <v>212.69666666666669</v>
      </c>
      <c r="HL29" s="33">
        <f t="shared" si="45"/>
        <v>212.69666666666669</v>
      </c>
      <c r="HM29" s="33">
        <f t="shared" si="45"/>
        <v>212.69666666666669</v>
      </c>
      <c r="HN29" s="33">
        <f t="shared" si="45"/>
        <v>212.69666666666669</v>
      </c>
      <c r="HO29" s="33">
        <f t="shared" si="45"/>
        <v>212.69666666666669</v>
      </c>
      <c r="HP29" s="33">
        <f t="shared" si="45"/>
        <v>212.69666666666669</v>
      </c>
      <c r="HQ29" s="33">
        <f t="shared" si="45"/>
        <v>212.69666666666669</v>
      </c>
      <c r="HR29" s="33">
        <f t="shared" si="45"/>
        <v>212.69666666666669</v>
      </c>
      <c r="HS29" s="33">
        <f t="shared" si="45"/>
        <v>212.69666666666669</v>
      </c>
      <c r="HT29" s="33">
        <f t="shared" si="45"/>
        <v>212.69666666666669</v>
      </c>
      <c r="HU29" s="33">
        <f t="shared" si="45"/>
        <v>212.69666666666669</v>
      </c>
      <c r="HV29" s="33">
        <f t="shared" si="45"/>
        <v>212.69666666666669</v>
      </c>
      <c r="HW29" s="33">
        <f t="shared" si="45"/>
        <v>212.69666666666669</v>
      </c>
      <c r="HX29" s="33">
        <f t="shared" si="45"/>
        <v>212.69666666666669</v>
      </c>
      <c r="HY29" s="33">
        <f t="shared" si="45"/>
        <v>212.69666666666669</v>
      </c>
      <c r="HZ29" s="33">
        <f t="shared" si="45"/>
        <v>212.69666666666669</v>
      </c>
      <c r="IA29" s="33">
        <f t="shared" si="45"/>
        <v>212.69666666666669</v>
      </c>
      <c r="IB29" s="33">
        <f t="shared" si="45"/>
        <v>212.69666666666669</v>
      </c>
      <c r="IC29" s="33">
        <f t="shared" si="45"/>
        <v>212.69666666666669</v>
      </c>
      <c r="ID29" s="33">
        <f t="shared" si="45"/>
        <v>212.69666666666669</v>
      </c>
      <c r="IE29" s="33">
        <f t="shared" si="45"/>
        <v>212.69666666666669</v>
      </c>
      <c r="IF29" s="33">
        <f t="shared" si="45"/>
        <v>212.69666666666669</v>
      </c>
      <c r="IG29" s="33">
        <f t="shared" si="45"/>
        <v>212.69666666666669</v>
      </c>
      <c r="IH29" s="33">
        <f t="shared" si="45"/>
        <v>212.69666666666669</v>
      </c>
      <c r="II29" s="33">
        <f t="shared" si="45"/>
        <v>212.69666666666669</v>
      </c>
      <c r="IJ29" s="33">
        <f t="shared" si="45"/>
        <v>212.69666666666669</v>
      </c>
      <c r="IK29" s="33">
        <f t="shared" si="45"/>
        <v>212.69666666666669</v>
      </c>
      <c r="IL29" s="33">
        <f t="shared" si="45"/>
        <v>212.69666666666669</v>
      </c>
      <c r="IM29" s="33">
        <f t="shared" si="45"/>
        <v>212.69666666666669</v>
      </c>
      <c r="IN29" s="33">
        <f t="shared" si="45"/>
        <v>212.69666666666669</v>
      </c>
      <c r="IO29" s="33">
        <f t="shared" si="45"/>
        <v>212.69666666666669</v>
      </c>
      <c r="IP29" s="33">
        <f t="shared" si="45"/>
        <v>212.69666666666669</v>
      </c>
      <c r="IQ29" s="33">
        <f t="shared" si="45"/>
        <v>212.69666666666669</v>
      </c>
      <c r="IR29" s="33">
        <f t="shared" si="45"/>
        <v>212.69666666666669</v>
      </c>
      <c r="IS29" s="33">
        <f t="shared" si="45"/>
        <v>212.69666666666669</v>
      </c>
      <c r="IT29" s="33">
        <f t="shared" si="45"/>
        <v>212.69666666666669</v>
      </c>
      <c r="IU29" s="33">
        <f t="shared" si="45"/>
        <v>212.69666666666669</v>
      </c>
      <c r="IV29" s="33">
        <f t="shared" si="45"/>
        <v>212.69666666666669</v>
      </c>
      <c r="IW29" s="33">
        <f t="shared" si="45"/>
        <v>212.69666666666669</v>
      </c>
      <c r="IX29" s="33">
        <f t="shared" si="45"/>
        <v>212.69666666666669</v>
      </c>
      <c r="IY29" s="33">
        <f t="shared" ref="IY29:LJ29" si="46">$B$10/12</f>
        <v>212.69666666666669</v>
      </c>
      <c r="IZ29" s="33">
        <f t="shared" si="46"/>
        <v>212.69666666666669</v>
      </c>
      <c r="JA29" s="33">
        <f t="shared" si="46"/>
        <v>212.69666666666669</v>
      </c>
      <c r="JB29" s="33">
        <f t="shared" si="46"/>
        <v>212.69666666666669</v>
      </c>
      <c r="JC29" s="33">
        <f t="shared" si="46"/>
        <v>212.69666666666669</v>
      </c>
      <c r="JD29" s="33">
        <f t="shared" si="46"/>
        <v>212.69666666666669</v>
      </c>
      <c r="JE29" s="33">
        <f t="shared" si="46"/>
        <v>212.69666666666669</v>
      </c>
      <c r="JF29" s="33">
        <f t="shared" si="46"/>
        <v>212.69666666666669</v>
      </c>
      <c r="JG29" s="33">
        <f t="shared" si="46"/>
        <v>212.69666666666669</v>
      </c>
      <c r="JH29" s="33">
        <f t="shared" si="46"/>
        <v>212.69666666666669</v>
      </c>
      <c r="JI29" s="33">
        <f t="shared" si="46"/>
        <v>212.69666666666669</v>
      </c>
      <c r="JJ29" s="33">
        <f t="shared" si="46"/>
        <v>212.69666666666669</v>
      </c>
      <c r="JK29" s="33">
        <f t="shared" si="46"/>
        <v>212.69666666666669</v>
      </c>
      <c r="JL29" s="33">
        <f t="shared" si="46"/>
        <v>212.69666666666669</v>
      </c>
      <c r="JM29" s="33">
        <f t="shared" si="46"/>
        <v>212.69666666666669</v>
      </c>
      <c r="JN29" s="33">
        <f t="shared" si="46"/>
        <v>212.69666666666669</v>
      </c>
      <c r="JO29" s="33">
        <f t="shared" si="46"/>
        <v>212.69666666666669</v>
      </c>
      <c r="JP29" s="33">
        <f t="shared" si="46"/>
        <v>212.69666666666669</v>
      </c>
      <c r="JQ29" s="33">
        <f t="shared" si="46"/>
        <v>212.69666666666669</v>
      </c>
      <c r="JR29" s="33">
        <f t="shared" si="46"/>
        <v>212.69666666666669</v>
      </c>
      <c r="JS29" s="33">
        <f t="shared" si="46"/>
        <v>212.69666666666669</v>
      </c>
      <c r="JT29" s="33">
        <f t="shared" si="46"/>
        <v>212.69666666666669</v>
      </c>
      <c r="JU29" s="33">
        <f t="shared" si="46"/>
        <v>212.69666666666669</v>
      </c>
      <c r="JV29" s="33">
        <f t="shared" si="46"/>
        <v>212.69666666666669</v>
      </c>
      <c r="JW29" s="33">
        <f t="shared" si="46"/>
        <v>212.69666666666669</v>
      </c>
      <c r="JX29" s="33">
        <f t="shared" si="46"/>
        <v>212.69666666666669</v>
      </c>
      <c r="JY29" s="33">
        <f t="shared" si="46"/>
        <v>212.69666666666669</v>
      </c>
      <c r="JZ29" s="33">
        <f t="shared" si="46"/>
        <v>212.69666666666669</v>
      </c>
      <c r="KA29" s="33">
        <f t="shared" si="46"/>
        <v>212.69666666666669</v>
      </c>
      <c r="KB29" s="33">
        <f t="shared" si="46"/>
        <v>212.69666666666669</v>
      </c>
      <c r="KC29" s="33">
        <f t="shared" si="46"/>
        <v>212.69666666666669</v>
      </c>
      <c r="KD29" s="33">
        <f t="shared" si="46"/>
        <v>212.69666666666669</v>
      </c>
      <c r="KE29" s="33">
        <f t="shared" si="46"/>
        <v>212.69666666666669</v>
      </c>
      <c r="KF29" s="33">
        <f t="shared" si="46"/>
        <v>212.69666666666669</v>
      </c>
      <c r="KG29" s="33">
        <f t="shared" si="46"/>
        <v>212.69666666666669</v>
      </c>
      <c r="KH29" s="33">
        <f t="shared" si="46"/>
        <v>212.69666666666669</v>
      </c>
      <c r="KI29" s="33">
        <f t="shared" si="46"/>
        <v>212.69666666666669</v>
      </c>
      <c r="KJ29" s="33">
        <f t="shared" si="46"/>
        <v>212.69666666666669</v>
      </c>
      <c r="KK29" s="33">
        <f t="shared" si="46"/>
        <v>212.69666666666669</v>
      </c>
      <c r="KL29" s="33">
        <f t="shared" si="46"/>
        <v>212.69666666666669</v>
      </c>
      <c r="KM29" s="33">
        <f t="shared" si="46"/>
        <v>212.69666666666669</v>
      </c>
      <c r="KN29" s="33">
        <f t="shared" si="46"/>
        <v>212.69666666666669</v>
      </c>
      <c r="KO29" s="33">
        <f t="shared" si="46"/>
        <v>212.69666666666669</v>
      </c>
      <c r="KP29" s="33">
        <f t="shared" si="46"/>
        <v>212.69666666666669</v>
      </c>
      <c r="KQ29" s="33">
        <f t="shared" si="46"/>
        <v>212.69666666666669</v>
      </c>
      <c r="KR29" s="33">
        <f t="shared" si="46"/>
        <v>212.69666666666669</v>
      </c>
      <c r="KS29" s="33">
        <f t="shared" si="46"/>
        <v>212.69666666666669</v>
      </c>
      <c r="KT29" s="33">
        <f t="shared" si="46"/>
        <v>212.69666666666669</v>
      </c>
      <c r="KU29" s="33">
        <f t="shared" si="46"/>
        <v>212.69666666666669</v>
      </c>
      <c r="KV29" s="33">
        <f t="shared" si="46"/>
        <v>212.69666666666669</v>
      </c>
      <c r="KW29" s="33">
        <f t="shared" si="46"/>
        <v>212.69666666666669</v>
      </c>
      <c r="KX29" s="33">
        <f t="shared" si="46"/>
        <v>212.69666666666669</v>
      </c>
      <c r="KY29" s="33">
        <f t="shared" si="46"/>
        <v>212.69666666666669</v>
      </c>
      <c r="KZ29" s="33">
        <f t="shared" si="46"/>
        <v>212.69666666666669</v>
      </c>
      <c r="LA29" s="33">
        <f t="shared" si="46"/>
        <v>212.69666666666669</v>
      </c>
      <c r="LB29" s="33">
        <f t="shared" si="46"/>
        <v>212.69666666666669</v>
      </c>
      <c r="LC29" s="33">
        <f t="shared" si="46"/>
        <v>212.69666666666669</v>
      </c>
      <c r="LD29" s="33">
        <f t="shared" si="46"/>
        <v>212.69666666666669</v>
      </c>
      <c r="LE29" s="33">
        <f t="shared" si="46"/>
        <v>212.69666666666669</v>
      </c>
      <c r="LF29" s="33">
        <f t="shared" si="46"/>
        <v>212.69666666666669</v>
      </c>
      <c r="LG29" s="33">
        <f t="shared" si="46"/>
        <v>212.69666666666669</v>
      </c>
      <c r="LH29" s="33">
        <f t="shared" si="46"/>
        <v>212.69666666666669</v>
      </c>
      <c r="LI29" s="33">
        <f t="shared" si="46"/>
        <v>212.69666666666669</v>
      </c>
      <c r="LJ29" s="33">
        <f t="shared" si="46"/>
        <v>212.69666666666669</v>
      </c>
      <c r="LK29" s="33">
        <f t="shared" ref="LK29:MX29" si="47">$B$10/12</f>
        <v>212.69666666666669</v>
      </c>
      <c r="LL29" s="33">
        <f t="shared" si="47"/>
        <v>212.69666666666669</v>
      </c>
      <c r="LM29" s="33">
        <f t="shared" si="47"/>
        <v>212.69666666666669</v>
      </c>
      <c r="LN29" s="33">
        <f t="shared" si="47"/>
        <v>212.69666666666669</v>
      </c>
      <c r="LO29" s="33">
        <f t="shared" si="47"/>
        <v>212.69666666666669</v>
      </c>
      <c r="LP29" s="33">
        <f t="shared" si="47"/>
        <v>212.69666666666669</v>
      </c>
      <c r="LQ29" s="33">
        <f t="shared" si="47"/>
        <v>212.69666666666669</v>
      </c>
      <c r="LR29" s="33">
        <f t="shared" si="47"/>
        <v>212.69666666666669</v>
      </c>
      <c r="LS29" s="33">
        <f t="shared" si="47"/>
        <v>212.69666666666669</v>
      </c>
      <c r="LT29" s="33">
        <f t="shared" si="47"/>
        <v>212.69666666666669</v>
      </c>
      <c r="LU29" s="33">
        <f t="shared" si="47"/>
        <v>212.69666666666669</v>
      </c>
      <c r="LV29" s="33">
        <f t="shared" si="47"/>
        <v>212.69666666666669</v>
      </c>
      <c r="LW29" s="33">
        <f t="shared" si="47"/>
        <v>212.69666666666669</v>
      </c>
      <c r="LX29" s="33">
        <f t="shared" si="47"/>
        <v>212.69666666666669</v>
      </c>
      <c r="LY29" s="33">
        <f t="shared" si="47"/>
        <v>212.69666666666669</v>
      </c>
      <c r="LZ29" s="33">
        <f t="shared" si="47"/>
        <v>212.69666666666669</v>
      </c>
      <c r="MA29" s="33">
        <f t="shared" si="47"/>
        <v>212.69666666666669</v>
      </c>
      <c r="MB29" s="33">
        <f t="shared" si="47"/>
        <v>212.69666666666669</v>
      </c>
      <c r="MC29" s="33">
        <f t="shared" si="47"/>
        <v>212.69666666666669</v>
      </c>
      <c r="MD29" s="33">
        <f t="shared" si="47"/>
        <v>212.69666666666669</v>
      </c>
      <c r="ME29" s="33">
        <f t="shared" si="47"/>
        <v>212.69666666666669</v>
      </c>
      <c r="MF29" s="33">
        <f t="shared" si="47"/>
        <v>212.69666666666669</v>
      </c>
      <c r="MG29" s="33">
        <f t="shared" si="47"/>
        <v>212.69666666666669</v>
      </c>
      <c r="MH29" s="33">
        <f t="shared" si="47"/>
        <v>212.69666666666669</v>
      </c>
      <c r="MI29" s="33">
        <f t="shared" si="47"/>
        <v>212.69666666666669</v>
      </c>
      <c r="MJ29" s="33">
        <f t="shared" si="47"/>
        <v>212.69666666666669</v>
      </c>
      <c r="MK29" s="33">
        <f t="shared" si="47"/>
        <v>212.69666666666669</v>
      </c>
      <c r="ML29" s="33">
        <f t="shared" si="47"/>
        <v>212.69666666666669</v>
      </c>
      <c r="MM29" s="33">
        <f t="shared" si="47"/>
        <v>212.69666666666669</v>
      </c>
      <c r="MN29" s="33">
        <f t="shared" si="47"/>
        <v>212.69666666666669</v>
      </c>
      <c r="MO29" s="33">
        <f t="shared" si="47"/>
        <v>212.69666666666669</v>
      </c>
      <c r="MP29" s="33">
        <f t="shared" si="47"/>
        <v>212.69666666666669</v>
      </c>
      <c r="MQ29" s="33">
        <f t="shared" si="47"/>
        <v>212.69666666666669</v>
      </c>
      <c r="MR29" s="33">
        <f t="shared" si="47"/>
        <v>212.69666666666669</v>
      </c>
      <c r="MS29" s="33">
        <f t="shared" si="47"/>
        <v>212.69666666666669</v>
      </c>
      <c r="MT29" s="33">
        <f t="shared" si="47"/>
        <v>212.69666666666669</v>
      </c>
      <c r="MU29" s="33">
        <f t="shared" si="47"/>
        <v>212.69666666666669</v>
      </c>
      <c r="MV29" s="33">
        <f t="shared" si="47"/>
        <v>212.69666666666669</v>
      </c>
      <c r="MW29" s="33">
        <f t="shared" si="47"/>
        <v>212.69666666666669</v>
      </c>
      <c r="MX29" s="55">
        <f t="shared" si="47"/>
        <v>212.69666666666669</v>
      </c>
      <c r="MY29" s="1"/>
      <c r="MZ29" s="1"/>
      <c r="NA29" s="1"/>
      <c r="NB29" s="1"/>
      <c r="NC29" s="1"/>
      <c r="ND29" s="1"/>
      <c r="NE29" s="1"/>
      <c r="NF29" s="13">
        <v>0.14000000000000001</v>
      </c>
      <c r="NG29" s="1">
        <f>Combine!A31</f>
        <v>48221</v>
      </c>
      <c r="NH29" s="14">
        <f>Combine!F31</f>
        <v>121055.42904774001</v>
      </c>
    </row>
    <row r="30" spans="1:372" ht="12.75" customHeight="1" x14ac:dyDescent="0.3">
      <c r="A30" s="31" t="s">
        <v>871</v>
      </c>
      <c r="B30" s="32"/>
      <c r="C30" s="33">
        <f t="shared" ref="C30:BN30" si="48">$B$9*B22/12</f>
        <v>348.82253333333341</v>
      </c>
      <c r="D30" s="33">
        <f t="shared" si="48"/>
        <v>350.27596055555563</v>
      </c>
      <c r="E30" s="33">
        <f t="shared" si="48"/>
        <v>351.73544372453711</v>
      </c>
      <c r="F30" s="33">
        <f t="shared" si="48"/>
        <v>353.20100807338935</v>
      </c>
      <c r="G30" s="33">
        <f t="shared" si="48"/>
        <v>354.67267894036178</v>
      </c>
      <c r="H30" s="33">
        <f t="shared" si="48"/>
        <v>356.15048176927991</v>
      </c>
      <c r="I30" s="33">
        <f t="shared" si="48"/>
        <v>357.63444210998523</v>
      </c>
      <c r="J30" s="33">
        <f t="shared" si="48"/>
        <v>359.12458561877685</v>
      </c>
      <c r="K30" s="33">
        <f t="shared" si="48"/>
        <v>360.62093805885507</v>
      </c>
      <c r="L30" s="33">
        <f t="shared" si="48"/>
        <v>362.12352530076697</v>
      </c>
      <c r="M30" s="33">
        <f t="shared" si="48"/>
        <v>363.63237332285348</v>
      </c>
      <c r="N30" s="33">
        <f t="shared" si="48"/>
        <v>365.14750821169878</v>
      </c>
      <c r="O30" s="33">
        <f t="shared" si="48"/>
        <v>366.6689561625808</v>
      </c>
      <c r="P30" s="33">
        <f t="shared" si="48"/>
        <v>368.19674347992492</v>
      </c>
      <c r="Q30" s="33">
        <f t="shared" si="48"/>
        <v>369.7308965777579</v>
      </c>
      <c r="R30" s="33">
        <f t="shared" si="48"/>
        <v>371.27144198016521</v>
      </c>
      <c r="S30" s="33">
        <f t="shared" si="48"/>
        <v>372.81840632174925</v>
      </c>
      <c r="T30" s="33">
        <f t="shared" si="48"/>
        <v>374.37181634808985</v>
      </c>
      <c r="U30" s="33">
        <f t="shared" si="48"/>
        <v>375.93169891620687</v>
      </c>
      <c r="V30" s="33">
        <f t="shared" si="48"/>
        <v>377.49808099502434</v>
      </c>
      <c r="W30" s="33">
        <f t="shared" si="48"/>
        <v>379.07098966583698</v>
      </c>
      <c r="X30" s="33">
        <f t="shared" si="48"/>
        <v>380.65045212277784</v>
      </c>
      <c r="Y30" s="33">
        <f t="shared" si="48"/>
        <v>382.23649567328943</v>
      </c>
      <c r="Z30" s="33">
        <f t="shared" si="48"/>
        <v>383.82914773859471</v>
      </c>
      <c r="AA30" s="33">
        <f t="shared" si="48"/>
        <v>385.42843585417222</v>
      </c>
      <c r="AB30" s="33">
        <f t="shared" si="48"/>
        <v>387.0343876702313</v>
      </c>
      <c r="AC30" s="33">
        <f t="shared" si="48"/>
        <v>388.64703095219056</v>
      </c>
      <c r="AD30" s="33">
        <f t="shared" si="48"/>
        <v>390.26639358115813</v>
      </c>
      <c r="AE30" s="33">
        <f t="shared" si="48"/>
        <v>391.89250355441294</v>
      </c>
      <c r="AF30" s="33">
        <f t="shared" si="48"/>
        <v>393.52538898588961</v>
      </c>
      <c r="AG30" s="33">
        <f t="shared" si="48"/>
        <v>395.16507810666417</v>
      </c>
      <c r="AH30" s="33">
        <f t="shared" si="48"/>
        <v>396.81159926544188</v>
      </c>
      <c r="AI30" s="33">
        <f t="shared" si="48"/>
        <v>398.4649809290479</v>
      </c>
      <c r="AJ30" s="33">
        <f t="shared" si="48"/>
        <v>400.12525168291899</v>
      </c>
      <c r="AK30" s="33">
        <f t="shared" si="48"/>
        <v>401.79244023159777</v>
      </c>
      <c r="AL30" s="33">
        <f t="shared" si="48"/>
        <v>403.46657539922944</v>
      </c>
      <c r="AM30" s="33">
        <f t="shared" si="48"/>
        <v>405.14768613005953</v>
      </c>
      <c r="AN30" s="33">
        <f t="shared" si="48"/>
        <v>406.83580148893475</v>
      </c>
      <c r="AO30" s="33">
        <f t="shared" si="48"/>
        <v>408.53095066180532</v>
      </c>
      <c r="AP30" s="33">
        <f t="shared" si="48"/>
        <v>410.23316295622953</v>
      </c>
      <c r="AQ30" s="33">
        <f t="shared" si="48"/>
        <v>411.94246780188047</v>
      </c>
      <c r="AR30" s="33">
        <f t="shared" si="48"/>
        <v>413.65889475105496</v>
      </c>
      <c r="AS30" s="33">
        <f t="shared" si="48"/>
        <v>415.38247347918428</v>
      </c>
      <c r="AT30" s="33">
        <f t="shared" si="48"/>
        <v>417.11323378534757</v>
      </c>
      <c r="AU30" s="33">
        <f t="shared" si="48"/>
        <v>418.85120559278653</v>
      </c>
      <c r="AV30" s="33">
        <f t="shared" si="48"/>
        <v>420.59641894942314</v>
      </c>
      <c r="AW30" s="33">
        <f t="shared" si="48"/>
        <v>422.34890402837897</v>
      </c>
      <c r="AX30" s="33">
        <f t="shared" si="48"/>
        <v>424.10869112849724</v>
      </c>
      <c r="AY30" s="33">
        <f t="shared" si="48"/>
        <v>425.87581067486599</v>
      </c>
      <c r="AZ30" s="33">
        <f t="shared" si="48"/>
        <v>427.65029321934458</v>
      </c>
      <c r="BA30" s="33">
        <f t="shared" si="48"/>
        <v>429.43216944109184</v>
      </c>
      <c r="BB30" s="33">
        <f t="shared" si="48"/>
        <v>431.2214701470964</v>
      </c>
      <c r="BC30" s="33">
        <f t="shared" si="48"/>
        <v>433.01822627270923</v>
      </c>
      <c r="BD30" s="33">
        <f t="shared" si="48"/>
        <v>434.82246888217895</v>
      </c>
      <c r="BE30" s="33">
        <f t="shared" si="48"/>
        <v>436.63422916918802</v>
      </c>
      <c r="BF30" s="33">
        <f t="shared" si="48"/>
        <v>438.45353845739288</v>
      </c>
      <c r="BG30" s="33">
        <f t="shared" si="48"/>
        <v>440.28042820096539</v>
      </c>
      <c r="BH30" s="33">
        <f t="shared" si="48"/>
        <v>442.11492998513609</v>
      </c>
      <c r="BI30" s="33">
        <f t="shared" si="48"/>
        <v>443.95707552674077</v>
      </c>
      <c r="BJ30" s="33">
        <f t="shared" si="48"/>
        <v>445.80689667476889</v>
      </c>
      <c r="BK30" s="33">
        <f t="shared" si="48"/>
        <v>447.66442541091374</v>
      </c>
      <c r="BL30" s="33">
        <f t="shared" si="48"/>
        <v>449.52969385012585</v>
      </c>
      <c r="BM30" s="33">
        <f t="shared" si="48"/>
        <v>451.40273424116805</v>
      </c>
      <c r="BN30" s="33">
        <f t="shared" si="48"/>
        <v>453.2835789671729</v>
      </c>
      <c r="BO30" s="33">
        <f t="shared" ref="BO30:DZ30" si="49">$B$9*BN22/12</f>
        <v>455.17226054620278</v>
      </c>
      <c r="BP30" s="33">
        <f t="shared" si="49"/>
        <v>457.06881163181197</v>
      </c>
      <c r="BQ30" s="33">
        <f t="shared" si="49"/>
        <v>458.97326501361118</v>
      </c>
      <c r="BR30" s="33">
        <f t="shared" si="49"/>
        <v>460.88565361783452</v>
      </c>
      <c r="BS30" s="33">
        <f t="shared" si="49"/>
        <v>462.80601050790887</v>
      </c>
      <c r="BT30" s="33">
        <f t="shared" si="49"/>
        <v>464.73436888502516</v>
      </c>
      <c r="BU30" s="33">
        <f t="shared" si="49"/>
        <v>466.67076208871276</v>
      </c>
      <c r="BV30" s="33">
        <f t="shared" si="49"/>
        <v>468.61522359741571</v>
      </c>
      <c r="BW30" s="33">
        <f t="shared" si="49"/>
        <v>470.56778702907167</v>
      </c>
      <c r="BX30" s="33">
        <f t="shared" si="49"/>
        <v>472.52848614169278</v>
      </c>
      <c r="BY30" s="33">
        <f t="shared" si="49"/>
        <v>474.49735483394983</v>
      </c>
      <c r="BZ30" s="33">
        <f t="shared" si="49"/>
        <v>476.47442714575794</v>
      </c>
      <c r="CA30" s="33">
        <f t="shared" si="49"/>
        <v>478.45973725886523</v>
      </c>
      <c r="CB30" s="33">
        <f t="shared" si="49"/>
        <v>480.45331949744377</v>
      </c>
      <c r="CC30" s="33">
        <f t="shared" si="49"/>
        <v>482.45520832868311</v>
      </c>
      <c r="CD30" s="33">
        <f t="shared" si="49"/>
        <v>484.46543836338589</v>
      </c>
      <c r="CE30" s="33">
        <f t="shared" si="49"/>
        <v>486.4840443565667</v>
      </c>
      <c r="CF30" s="33">
        <f t="shared" si="49"/>
        <v>488.51106120805235</v>
      </c>
      <c r="CG30" s="33">
        <f t="shared" si="49"/>
        <v>490.54652396308592</v>
      </c>
      <c r="CH30" s="33">
        <f t="shared" si="49"/>
        <v>492.59046781293205</v>
      </c>
      <c r="CI30" s="33">
        <f t="shared" si="49"/>
        <v>494.64292809548596</v>
      </c>
      <c r="CJ30" s="33">
        <f t="shared" si="49"/>
        <v>496.7039402958838</v>
      </c>
      <c r="CK30" s="33">
        <f t="shared" si="49"/>
        <v>498.77354004711668</v>
      </c>
      <c r="CL30" s="33">
        <f t="shared" si="49"/>
        <v>500.8517631306463</v>
      </c>
      <c r="CM30" s="33">
        <f t="shared" si="49"/>
        <v>502.93864547702395</v>
      </c>
      <c r="CN30" s="33">
        <f t="shared" si="49"/>
        <v>505.03422316651154</v>
      </c>
      <c r="CO30" s="33">
        <f t="shared" si="49"/>
        <v>507.13853242970544</v>
      </c>
      <c r="CP30" s="33">
        <f t="shared" si="49"/>
        <v>509.25160964816246</v>
      </c>
      <c r="CQ30" s="33">
        <f t="shared" si="49"/>
        <v>511.37349135502978</v>
      </c>
      <c r="CR30" s="33">
        <f t="shared" si="49"/>
        <v>513.5042142356757</v>
      </c>
      <c r="CS30" s="33">
        <f t="shared" si="49"/>
        <v>515.64381512832438</v>
      </c>
      <c r="CT30" s="33">
        <f t="shared" si="49"/>
        <v>517.79233102469243</v>
      </c>
      <c r="CU30" s="33">
        <f t="shared" si="49"/>
        <v>519.94979907062861</v>
      </c>
      <c r="CV30" s="33">
        <f t="shared" si="49"/>
        <v>522.11625656675619</v>
      </c>
      <c r="CW30" s="33">
        <f t="shared" si="49"/>
        <v>524.29174096911777</v>
      </c>
      <c r="CX30" s="33">
        <f t="shared" si="49"/>
        <v>526.4762898898224</v>
      </c>
      <c r="CY30" s="33">
        <f t="shared" si="49"/>
        <v>528.66994109769666</v>
      </c>
      <c r="CZ30" s="33">
        <f t="shared" si="49"/>
        <v>530.87273251893714</v>
      </c>
      <c r="DA30" s="33">
        <f t="shared" si="49"/>
        <v>533.08470223776601</v>
      </c>
      <c r="DB30" s="33">
        <f t="shared" si="49"/>
        <v>535.30588849709</v>
      </c>
      <c r="DC30" s="33">
        <f t="shared" si="49"/>
        <v>537.53632969916123</v>
      </c>
      <c r="DD30" s="33">
        <f t="shared" si="49"/>
        <v>539.77606440624106</v>
      </c>
      <c r="DE30" s="33">
        <f t="shared" si="49"/>
        <v>542.02513134126707</v>
      </c>
      <c r="DF30" s="33">
        <f t="shared" si="49"/>
        <v>544.28356938852232</v>
      </c>
      <c r="DG30" s="33">
        <f t="shared" si="49"/>
        <v>546.55141759430785</v>
      </c>
      <c r="DH30" s="33">
        <f t="shared" si="49"/>
        <v>548.82871516761736</v>
      </c>
      <c r="DI30" s="33">
        <f t="shared" si="49"/>
        <v>551.11550148081585</v>
      </c>
      <c r="DJ30" s="33">
        <f t="shared" si="49"/>
        <v>553.41181607031922</v>
      </c>
      <c r="DK30" s="33">
        <f t="shared" si="49"/>
        <v>555.71769863727889</v>
      </c>
      <c r="DL30" s="33">
        <f t="shared" si="49"/>
        <v>558.03318904826756</v>
      </c>
      <c r="DM30" s="33">
        <f t="shared" si="49"/>
        <v>560.35832733596874</v>
      </c>
      <c r="DN30" s="33">
        <f t="shared" si="49"/>
        <v>562.6931536998685</v>
      </c>
      <c r="DO30" s="33">
        <f t="shared" si="49"/>
        <v>565.03770850695128</v>
      </c>
      <c r="DP30" s="33">
        <f t="shared" si="49"/>
        <v>567.39203229239695</v>
      </c>
      <c r="DQ30" s="33">
        <f t="shared" si="49"/>
        <v>569.75616576028187</v>
      </c>
      <c r="DR30" s="33">
        <f t="shared" si="49"/>
        <v>572.13014978428305</v>
      </c>
      <c r="DS30" s="33">
        <f t="shared" si="49"/>
        <v>574.51402540838421</v>
      </c>
      <c r="DT30" s="33">
        <f t="shared" si="49"/>
        <v>576.90783384758583</v>
      </c>
      <c r="DU30" s="33">
        <f t="shared" si="49"/>
        <v>579.31161648861746</v>
      </c>
      <c r="DV30" s="33">
        <f t="shared" si="49"/>
        <v>581.72541489065327</v>
      </c>
      <c r="DW30" s="33">
        <f t="shared" si="49"/>
        <v>584.14927078603102</v>
      </c>
      <c r="DX30" s="33">
        <f t="shared" si="49"/>
        <v>586.58322608097285</v>
      </c>
      <c r="DY30" s="33">
        <f t="shared" si="49"/>
        <v>589.02732285631021</v>
      </c>
      <c r="DZ30" s="33">
        <f t="shared" si="49"/>
        <v>591.48160336821149</v>
      </c>
      <c r="EA30" s="33">
        <f t="shared" ref="EA30:GL30" si="50">$B$9*DZ22/12</f>
        <v>593.94611004891237</v>
      </c>
      <c r="EB30" s="33">
        <f t="shared" si="50"/>
        <v>596.4208855074495</v>
      </c>
      <c r="EC30" s="33">
        <f t="shared" si="50"/>
        <v>598.90597253039709</v>
      </c>
      <c r="ED30" s="33">
        <f t="shared" si="50"/>
        <v>601.40141408260706</v>
      </c>
      <c r="EE30" s="33">
        <f t="shared" si="50"/>
        <v>603.90725330795124</v>
      </c>
      <c r="EF30" s="33">
        <f t="shared" si="50"/>
        <v>606.42353353006774</v>
      </c>
      <c r="EG30" s="33">
        <f t="shared" si="50"/>
        <v>608.95029825310962</v>
      </c>
      <c r="EH30" s="33">
        <f t="shared" si="50"/>
        <v>611.48759116249755</v>
      </c>
      <c r="EI30" s="33">
        <f t="shared" si="50"/>
        <v>614.03545612567461</v>
      </c>
      <c r="EJ30" s="33">
        <f t="shared" si="50"/>
        <v>616.59393719286493</v>
      </c>
      <c r="EK30" s="33">
        <f t="shared" si="50"/>
        <v>619.16307859783524</v>
      </c>
      <c r="EL30" s="33">
        <f t="shared" si="50"/>
        <v>621.74292475865957</v>
      </c>
      <c r="EM30" s="33">
        <f t="shared" si="50"/>
        <v>624.3335202784873</v>
      </c>
      <c r="EN30" s="33">
        <f t="shared" si="50"/>
        <v>626.93490994631429</v>
      </c>
      <c r="EO30" s="33">
        <f t="shared" si="50"/>
        <v>629.54713873775722</v>
      </c>
      <c r="EP30" s="33">
        <f t="shared" si="50"/>
        <v>632.17025181583119</v>
      </c>
      <c r="EQ30" s="33">
        <f t="shared" si="50"/>
        <v>634.80429453173053</v>
      </c>
      <c r="ER30" s="33">
        <f t="shared" si="50"/>
        <v>637.44931242561267</v>
      </c>
      <c r="ES30" s="33">
        <f t="shared" si="50"/>
        <v>640.10535122738611</v>
      </c>
      <c r="ET30" s="33">
        <f t="shared" si="50"/>
        <v>642.77245685750017</v>
      </c>
      <c r="EU30" s="33">
        <f t="shared" si="50"/>
        <v>645.45067542773972</v>
      </c>
      <c r="EV30" s="33">
        <f t="shared" si="50"/>
        <v>648.14005324202196</v>
      </c>
      <c r="EW30" s="33">
        <f t="shared" si="50"/>
        <v>650.84063679719702</v>
      </c>
      <c r="EX30" s="33">
        <f t="shared" si="50"/>
        <v>653.55247278385195</v>
      </c>
      <c r="EY30" s="33">
        <f t="shared" si="50"/>
        <v>656.27560808711803</v>
      </c>
      <c r="EZ30" s="33">
        <f t="shared" si="50"/>
        <v>659.01008978748098</v>
      </c>
      <c r="FA30" s="33">
        <f t="shared" si="50"/>
        <v>661.75596516159544</v>
      </c>
      <c r="FB30" s="33">
        <f t="shared" si="50"/>
        <v>664.51328168310204</v>
      </c>
      <c r="FC30" s="33">
        <f t="shared" si="50"/>
        <v>667.2820870234483</v>
      </c>
      <c r="FD30" s="33">
        <f t="shared" si="50"/>
        <v>670.06242905271267</v>
      </c>
      <c r="FE30" s="33">
        <f t="shared" si="50"/>
        <v>672.85435584043228</v>
      </c>
      <c r="FF30" s="33">
        <f t="shared" si="50"/>
        <v>675.65791565643406</v>
      </c>
      <c r="FG30" s="33">
        <f t="shared" si="50"/>
        <v>678.47315697166925</v>
      </c>
      <c r="FH30" s="33">
        <f t="shared" si="50"/>
        <v>681.30012845905117</v>
      </c>
      <c r="FI30" s="33">
        <f t="shared" si="50"/>
        <v>684.13887899429722</v>
      </c>
      <c r="FJ30" s="33">
        <f t="shared" si="50"/>
        <v>686.98945765677354</v>
      </c>
      <c r="FK30" s="33">
        <f t="shared" si="50"/>
        <v>689.85191373034331</v>
      </c>
      <c r="FL30" s="33">
        <f t="shared" si="50"/>
        <v>692.72629670421975</v>
      </c>
      <c r="FM30" s="33">
        <f t="shared" si="50"/>
        <v>695.61265627382056</v>
      </c>
      <c r="FN30" s="33">
        <f t="shared" si="50"/>
        <v>698.51104234162824</v>
      </c>
      <c r="FO30" s="33">
        <f t="shared" si="50"/>
        <v>701.42150501805156</v>
      </c>
      <c r="FP30" s="33">
        <f t="shared" si="50"/>
        <v>704.3440946222936</v>
      </c>
      <c r="FQ30" s="33">
        <f t="shared" si="50"/>
        <v>707.27886168321982</v>
      </c>
      <c r="FR30" s="33">
        <f t="shared" si="50"/>
        <v>710.22585694023326</v>
      </c>
      <c r="FS30" s="33">
        <f t="shared" si="50"/>
        <v>713.18513134415082</v>
      </c>
      <c r="FT30" s="33">
        <f t="shared" si="50"/>
        <v>716.15673605808468</v>
      </c>
      <c r="FU30" s="33">
        <f t="shared" si="50"/>
        <v>719.14072245832676</v>
      </c>
      <c r="FV30" s="33">
        <f t="shared" si="50"/>
        <v>722.13714213523656</v>
      </c>
      <c r="FW30" s="33">
        <f t="shared" si="50"/>
        <v>725.14604689413329</v>
      </c>
      <c r="FX30" s="33">
        <f t="shared" si="50"/>
        <v>728.16748875619226</v>
      </c>
      <c r="FY30" s="33">
        <f t="shared" si="50"/>
        <v>731.20151995934305</v>
      </c>
      <c r="FZ30" s="33">
        <f t="shared" si="50"/>
        <v>734.24819295917371</v>
      </c>
      <c r="GA30" s="33">
        <f t="shared" si="50"/>
        <v>737.30756042983683</v>
      </c>
      <c r="GB30" s="33">
        <f t="shared" si="50"/>
        <v>740.37967526496107</v>
      </c>
      <c r="GC30" s="33">
        <f t="shared" si="50"/>
        <v>743.46459057856521</v>
      </c>
      <c r="GD30" s="33">
        <f t="shared" si="50"/>
        <v>746.56235970597584</v>
      </c>
      <c r="GE30" s="33">
        <f t="shared" si="50"/>
        <v>749.6730362047507</v>
      </c>
      <c r="GF30" s="33">
        <f t="shared" si="50"/>
        <v>752.79667385560379</v>
      </c>
      <c r="GG30" s="33">
        <f t="shared" si="50"/>
        <v>755.93332666333561</v>
      </c>
      <c r="GH30" s="33">
        <f t="shared" si="50"/>
        <v>759.08304885776613</v>
      </c>
      <c r="GI30" s="33">
        <f t="shared" si="50"/>
        <v>762.24589489467337</v>
      </c>
      <c r="GJ30" s="33">
        <f t="shared" si="50"/>
        <v>765.42191945673449</v>
      </c>
      <c r="GK30" s="33">
        <f t="shared" si="50"/>
        <v>768.61117745447098</v>
      </c>
      <c r="GL30" s="33">
        <f t="shared" si="50"/>
        <v>771.81372402719796</v>
      </c>
      <c r="GM30" s="33">
        <f t="shared" ref="GM30:IX30" si="51">$B$9*GL22/12</f>
        <v>775.02961454397791</v>
      </c>
      <c r="GN30" s="33">
        <f t="shared" si="51"/>
        <v>778.25890460457776</v>
      </c>
      <c r="GO30" s="33">
        <f t="shared" si="51"/>
        <v>781.50165004043004</v>
      </c>
      <c r="GP30" s="33">
        <f t="shared" si="51"/>
        <v>784.7579069155986</v>
      </c>
      <c r="GQ30" s="33">
        <f t="shared" si="51"/>
        <v>788.02773152774682</v>
      </c>
      <c r="GR30" s="33">
        <f t="shared" si="51"/>
        <v>791.31118040911235</v>
      </c>
      <c r="GS30" s="33">
        <f t="shared" si="51"/>
        <v>794.60831032748365</v>
      </c>
      <c r="GT30" s="33">
        <f t="shared" si="51"/>
        <v>797.91917828718135</v>
      </c>
      <c r="GU30" s="33">
        <f t="shared" si="51"/>
        <v>801.24384153004473</v>
      </c>
      <c r="GV30" s="33">
        <f t="shared" si="51"/>
        <v>804.58235753641975</v>
      </c>
      <c r="GW30" s="33">
        <f t="shared" si="51"/>
        <v>807.93478402615483</v>
      </c>
      <c r="GX30" s="33">
        <f t="shared" si="51"/>
        <v>811.30117895959722</v>
      </c>
      <c r="GY30" s="33">
        <f t="shared" si="51"/>
        <v>814.68160053859549</v>
      </c>
      <c r="GZ30" s="33">
        <f t="shared" si="51"/>
        <v>818.07610720750642</v>
      </c>
      <c r="HA30" s="33">
        <f t="shared" si="51"/>
        <v>821.48475765420426</v>
      </c>
      <c r="HB30" s="33">
        <f t="shared" si="51"/>
        <v>824.90761081109667</v>
      </c>
      <c r="HC30" s="33">
        <f t="shared" si="51"/>
        <v>828.34472585614287</v>
      </c>
      <c r="HD30" s="33">
        <f t="shared" si="51"/>
        <v>831.79616221387687</v>
      </c>
      <c r="HE30" s="33">
        <f t="shared" si="51"/>
        <v>835.26197955643465</v>
      </c>
      <c r="HF30" s="33">
        <f t="shared" si="51"/>
        <v>838.74223780458658</v>
      </c>
      <c r="HG30" s="33">
        <f t="shared" si="51"/>
        <v>842.23699712877215</v>
      </c>
      <c r="HH30" s="33">
        <f t="shared" si="51"/>
        <v>845.74631795014193</v>
      </c>
      <c r="HI30" s="33">
        <f t="shared" si="51"/>
        <v>849.27026094160101</v>
      </c>
      <c r="HJ30" s="33">
        <f t="shared" si="51"/>
        <v>852.80888702885761</v>
      </c>
      <c r="HK30" s="33">
        <f t="shared" si="51"/>
        <v>856.36225739147778</v>
      </c>
      <c r="HL30" s="33">
        <f t="shared" si="51"/>
        <v>859.93043346394222</v>
      </c>
      <c r="HM30" s="33">
        <f t="shared" si="51"/>
        <v>863.51347693670868</v>
      </c>
      <c r="HN30" s="33">
        <f t="shared" si="51"/>
        <v>867.11144975727836</v>
      </c>
      <c r="HO30" s="33">
        <f t="shared" si="51"/>
        <v>870.72441413126705</v>
      </c>
      <c r="HP30" s="33">
        <f t="shared" si="51"/>
        <v>874.35243252348062</v>
      </c>
      <c r="HQ30" s="33">
        <f t="shared" si="51"/>
        <v>877.99556765899513</v>
      </c>
      <c r="HR30" s="33">
        <f t="shared" si="51"/>
        <v>881.65388252424088</v>
      </c>
      <c r="HS30" s="33">
        <f t="shared" si="51"/>
        <v>885.32744036809174</v>
      </c>
      <c r="HT30" s="33">
        <f t="shared" si="51"/>
        <v>889.01630470295879</v>
      </c>
      <c r="HU30" s="33">
        <f t="shared" si="51"/>
        <v>892.72053930588766</v>
      </c>
      <c r="HV30" s="33">
        <f t="shared" si="51"/>
        <v>896.4402082196624</v>
      </c>
      <c r="HW30" s="33">
        <f t="shared" si="51"/>
        <v>900.17537575391088</v>
      </c>
      <c r="HX30" s="33">
        <f t="shared" si="51"/>
        <v>903.92610648621894</v>
      </c>
      <c r="HY30" s="33">
        <f t="shared" si="51"/>
        <v>907.6924652632448</v>
      </c>
      <c r="HZ30" s="33">
        <f t="shared" si="51"/>
        <v>911.47451720184165</v>
      </c>
      <c r="IA30" s="33">
        <f t="shared" si="51"/>
        <v>915.27232769018258</v>
      </c>
      <c r="IB30" s="33">
        <f t="shared" si="51"/>
        <v>919.08596238889174</v>
      </c>
      <c r="IC30" s="33">
        <f t="shared" si="51"/>
        <v>922.91548723217863</v>
      </c>
      <c r="ID30" s="33">
        <f t="shared" si="51"/>
        <v>926.76096842897948</v>
      </c>
      <c r="IE30" s="33">
        <f t="shared" si="51"/>
        <v>930.62247246410016</v>
      </c>
      <c r="IF30" s="33">
        <f t="shared" si="51"/>
        <v>934.50006609936702</v>
      </c>
      <c r="IG30" s="33">
        <f t="shared" si="51"/>
        <v>938.39381637478118</v>
      </c>
      <c r="IH30" s="33">
        <f t="shared" si="51"/>
        <v>942.30379060967607</v>
      </c>
      <c r="II30" s="33">
        <f t="shared" si="51"/>
        <v>946.23005640388294</v>
      </c>
      <c r="IJ30" s="33">
        <f t="shared" si="51"/>
        <v>950.17268163889923</v>
      </c>
      <c r="IK30" s="33">
        <f t="shared" si="51"/>
        <v>954.13173447906138</v>
      </c>
      <c r="IL30" s="33">
        <f t="shared" si="51"/>
        <v>958.10728337272405</v>
      </c>
      <c r="IM30" s="33">
        <f t="shared" si="51"/>
        <v>962.09939705344368</v>
      </c>
      <c r="IN30" s="33">
        <f t="shared" si="51"/>
        <v>966.10814454116644</v>
      </c>
      <c r="IO30" s="33">
        <f t="shared" si="51"/>
        <v>970.1335951434213</v>
      </c>
      <c r="IP30" s="33">
        <f t="shared" si="51"/>
        <v>974.17581845651887</v>
      </c>
      <c r="IQ30" s="33">
        <f t="shared" si="51"/>
        <v>978.23488436675427</v>
      </c>
      <c r="IR30" s="33">
        <f t="shared" si="51"/>
        <v>982.3108630516158</v>
      </c>
      <c r="IS30" s="33">
        <f t="shared" si="51"/>
        <v>986.40382498099768</v>
      </c>
      <c r="IT30" s="33">
        <f t="shared" si="51"/>
        <v>990.51384091841828</v>
      </c>
      <c r="IU30" s="33">
        <f t="shared" si="51"/>
        <v>994.64098192224503</v>
      </c>
      <c r="IV30" s="33">
        <f t="shared" si="51"/>
        <v>998.78531934692091</v>
      </c>
      <c r="IW30" s="33">
        <f t="shared" si="51"/>
        <v>1002.9469248441998</v>
      </c>
      <c r="IX30" s="33">
        <f t="shared" si="51"/>
        <v>1007.125870364384</v>
      </c>
      <c r="IY30" s="33">
        <f t="shared" ref="IY30:LJ30" si="52">$B$9*IX22/12</f>
        <v>1011.3222281575689</v>
      </c>
      <c r="IZ30" s="33">
        <f t="shared" si="52"/>
        <v>1015.536070774892</v>
      </c>
      <c r="JA30" s="33">
        <f t="shared" si="52"/>
        <v>1019.7674710697875</v>
      </c>
      <c r="JB30" s="33">
        <f t="shared" si="52"/>
        <v>1024.016502199245</v>
      </c>
      <c r="JC30" s="33">
        <f t="shared" si="52"/>
        <v>1028.2832376250751</v>
      </c>
      <c r="JD30" s="33">
        <f t="shared" si="52"/>
        <v>1032.5677511151796</v>
      </c>
      <c r="JE30" s="33">
        <f t="shared" si="52"/>
        <v>1036.870116744826</v>
      </c>
      <c r="JF30" s="33">
        <f t="shared" si="52"/>
        <v>1041.1904088979293</v>
      </c>
      <c r="JG30" s="33">
        <f t="shared" si="52"/>
        <v>1045.5287022683374</v>
      </c>
      <c r="JH30" s="33">
        <f t="shared" si="52"/>
        <v>1049.8850718611222</v>
      </c>
      <c r="JI30" s="33">
        <f t="shared" si="52"/>
        <v>1054.2595929938768</v>
      </c>
      <c r="JJ30" s="33">
        <f t="shared" si="52"/>
        <v>1058.652341298018</v>
      </c>
      <c r="JK30" s="33">
        <f t="shared" si="52"/>
        <v>1063.0633927200929</v>
      </c>
      <c r="JL30" s="33">
        <f t="shared" si="52"/>
        <v>1067.4928235230932</v>
      </c>
      <c r="JM30" s="33">
        <f t="shared" si="52"/>
        <v>1071.9407102877728</v>
      </c>
      <c r="JN30" s="33">
        <f t="shared" si="52"/>
        <v>1076.4071299139719</v>
      </c>
      <c r="JO30" s="33">
        <f t="shared" si="52"/>
        <v>1080.8921596219466</v>
      </c>
      <c r="JP30" s="33">
        <f t="shared" si="52"/>
        <v>1085.3958769537046</v>
      </c>
      <c r="JQ30" s="33">
        <f t="shared" si="52"/>
        <v>1089.9183597743452</v>
      </c>
      <c r="JR30" s="33">
        <f t="shared" si="52"/>
        <v>1094.4596862734049</v>
      </c>
      <c r="JS30" s="33">
        <f t="shared" si="52"/>
        <v>1099.0199349662107</v>
      </c>
      <c r="JT30" s="33">
        <f t="shared" si="52"/>
        <v>1103.5991846952368</v>
      </c>
      <c r="JU30" s="33">
        <f t="shared" si="52"/>
        <v>1108.1975146314669</v>
      </c>
      <c r="JV30" s="33">
        <f t="shared" si="52"/>
        <v>1112.8150042757645</v>
      </c>
      <c r="JW30" s="33">
        <f t="shared" si="52"/>
        <v>1117.4517334602467</v>
      </c>
      <c r="JX30" s="33">
        <f t="shared" si="52"/>
        <v>1122.1077823496646</v>
      </c>
      <c r="JY30" s="33">
        <f t="shared" si="52"/>
        <v>1126.7832314427881</v>
      </c>
      <c r="JZ30" s="33">
        <f t="shared" si="52"/>
        <v>1131.4781615737995</v>
      </c>
      <c r="KA30" s="33">
        <f t="shared" si="52"/>
        <v>1136.1926539136905</v>
      </c>
      <c r="KB30" s="33">
        <f t="shared" si="52"/>
        <v>1140.9267899716642</v>
      </c>
      <c r="KC30" s="33">
        <f t="shared" si="52"/>
        <v>1145.6806515965461</v>
      </c>
      <c r="KD30" s="33">
        <f t="shared" si="52"/>
        <v>1150.4543209781984</v>
      </c>
      <c r="KE30" s="33">
        <f t="shared" si="52"/>
        <v>1155.2478806489407</v>
      </c>
      <c r="KF30" s="33">
        <f t="shared" si="52"/>
        <v>1160.0614134849779</v>
      </c>
      <c r="KG30" s="33">
        <f t="shared" si="52"/>
        <v>1164.895002707832</v>
      </c>
      <c r="KH30" s="33">
        <f t="shared" si="52"/>
        <v>1169.7487318857814</v>
      </c>
      <c r="KI30" s="33">
        <f t="shared" si="52"/>
        <v>1174.6226849353054</v>
      </c>
      <c r="KJ30" s="33">
        <f t="shared" si="52"/>
        <v>1179.5169461225357</v>
      </c>
      <c r="KK30" s="33">
        <f t="shared" si="52"/>
        <v>1184.4316000647129</v>
      </c>
      <c r="KL30" s="33">
        <f t="shared" si="52"/>
        <v>1189.3667317316492</v>
      </c>
      <c r="KM30" s="33">
        <f t="shared" si="52"/>
        <v>1194.3224264471978</v>
      </c>
      <c r="KN30" s="33">
        <f t="shared" si="52"/>
        <v>1199.2987698907277</v>
      </c>
      <c r="KO30" s="33">
        <f t="shared" si="52"/>
        <v>1204.2958480986056</v>
      </c>
      <c r="KP30" s="33">
        <f t="shared" si="52"/>
        <v>1209.3137474656833</v>
      </c>
      <c r="KQ30" s="33">
        <f t="shared" si="52"/>
        <v>1214.3525547467902</v>
      </c>
      <c r="KR30" s="33">
        <f t="shared" si="52"/>
        <v>1219.4123570582351</v>
      </c>
      <c r="KS30" s="33">
        <f t="shared" si="52"/>
        <v>1224.4932418793112</v>
      </c>
      <c r="KT30" s="33">
        <f t="shared" si="52"/>
        <v>1229.5952970538081</v>
      </c>
      <c r="KU30" s="33">
        <f t="shared" si="52"/>
        <v>1234.7186107915325</v>
      </c>
      <c r="KV30" s="33">
        <f t="shared" si="52"/>
        <v>1239.8632716698305</v>
      </c>
      <c r="KW30" s="33">
        <f t="shared" si="52"/>
        <v>1245.0293686351213</v>
      </c>
      <c r="KX30" s="33">
        <f t="shared" si="52"/>
        <v>1250.2169910044342</v>
      </c>
      <c r="KY30" s="33">
        <f t="shared" si="52"/>
        <v>1255.4262284669528</v>
      </c>
      <c r="KZ30" s="33">
        <f t="shared" si="52"/>
        <v>1260.6571710855649</v>
      </c>
      <c r="LA30" s="33">
        <f t="shared" si="52"/>
        <v>1265.9099092984216</v>
      </c>
      <c r="LB30" s="33">
        <f t="shared" si="52"/>
        <v>1271.1845339204981</v>
      </c>
      <c r="LC30" s="33">
        <f t="shared" si="52"/>
        <v>1276.4811361451668</v>
      </c>
      <c r="LD30" s="33">
        <f t="shared" si="52"/>
        <v>1281.7998075457717</v>
      </c>
      <c r="LE30" s="33">
        <f t="shared" si="52"/>
        <v>1287.1406400772123</v>
      </c>
      <c r="LF30" s="33">
        <f t="shared" si="52"/>
        <v>1292.5037260775341</v>
      </c>
      <c r="LG30" s="33">
        <f t="shared" si="52"/>
        <v>1297.8891582695237</v>
      </c>
      <c r="LH30" s="33">
        <f t="shared" si="52"/>
        <v>1303.2970297623135</v>
      </c>
      <c r="LI30" s="33">
        <f t="shared" si="52"/>
        <v>1308.7274340529896</v>
      </c>
      <c r="LJ30" s="33">
        <f t="shared" si="52"/>
        <v>1314.1804650282104</v>
      </c>
      <c r="LK30" s="33">
        <f t="shared" ref="LK30:MX30" si="53">$B$9*LJ22/12</f>
        <v>1319.656216965828</v>
      </c>
      <c r="LL30" s="33">
        <f t="shared" si="53"/>
        <v>1325.1547845365187</v>
      </c>
      <c r="LM30" s="33">
        <f t="shared" si="53"/>
        <v>1330.6762628054209</v>
      </c>
      <c r="LN30" s="33">
        <f t="shared" si="53"/>
        <v>1336.220747233777</v>
      </c>
      <c r="LO30" s="33">
        <f t="shared" si="53"/>
        <v>1341.7883336805844</v>
      </c>
      <c r="LP30" s="33">
        <f t="shared" si="53"/>
        <v>1347.3791184042536</v>
      </c>
      <c r="LQ30" s="33">
        <f t="shared" si="53"/>
        <v>1352.9931980642712</v>
      </c>
      <c r="LR30" s="33">
        <f t="shared" si="53"/>
        <v>1358.6306697228724</v>
      </c>
      <c r="LS30" s="33">
        <f t="shared" si="53"/>
        <v>1364.2916308467177</v>
      </c>
      <c r="LT30" s="33">
        <f t="shared" si="53"/>
        <v>1369.976179308579</v>
      </c>
      <c r="LU30" s="33">
        <f t="shared" si="53"/>
        <v>1375.6844133890315</v>
      </c>
      <c r="LV30" s="33">
        <f t="shared" si="53"/>
        <v>1381.4164317781524</v>
      </c>
      <c r="LW30" s="33">
        <f t="shared" si="53"/>
        <v>1387.1723335772278</v>
      </c>
      <c r="LX30" s="33">
        <f t="shared" si="53"/>
        <v>1392.9522183004665</v>
      </c>
      <c r="LY30" s="33">
        <f t="shared" si="53"/>
        <v>1398.7561858767185</v>
      </c>
      <c r="LZ30" s="33">
        <f t="shared" si="53"/>
        <v>1404.5843366512047</v>
      </c>
      <c r="MA30" s="33">
        <f t="shared" si="53"/>
        <v>1410.4367713872514</v>
      </c>
      <c r="MB30" s="33">
        <f t="shared" si="53"/>
        <v>1416.3135912680316</v>
      </c>
      <c r="MC30" s="33">
        <f t="shared" si="53"/>
        <v>1422.214897898315</v>
      </c>
      <c r="MD30" s="33">
        <f t="shared" si="53"/>
        <v>1428.1407933062249</v>
      </c>
      <c r="ME30" s="33">
        <f t="shared" si="53"/>
        <v>1434.0913799450007</v>
      </c>
      <c r="MF30" s="33">
        <f t="shared" si="53"/>
        <v>1440.0667606947716</v>
      </c>
      <c r="MG30" s="33">
        <f t="shared" si="53"/>
        <v>1446.067038864333</v>
      </c>
      <c r="MH30" s="33">
        <f t="shared" si="53"/>
        <v>1452.0923181929345</v>
      </c>
      <c r="MI30" s="33">
        <f t="shared" si="53"/>
        <v>1458.1427028520714</v>
      </c>
      <c r="MJ30" s="33">
        <f t="shared" si="53"/>
        <v>1464.2182974472887</v>
      </c>
      <c r="MK30" s="33">
        <f t="shared" si="53"/>
        <v>1470.3192070199855</v>
      </c>
      <c r="ML30" s="33">
        <f t="shared" si="53"/>
        <v>1476.4455370492353</v>
      </c>
      <c r="MM30" s="33">
        <f t="shared" si="53"/>
        <v>1482.5973934536071</v>
      </c>
      <c r="MN30" s="33">
        <f t="shared" si="53"/>
        <v>1488.7748825929973</v>
      </c>
      <c r="MO30" s="33">
        <f t="shared" si="53"/>
        <v>1494.9781112704679</v>
      </c>
      <c r="MP30" s="33">
        <f t="shared" si="53"/>
        <v>1501.2071867340949</v>
      </c>
      <c r="MQ30" s="33">
        <f t="shared" si="53"/>
        <v>1507.4622166788204</v>
      </c>
      <c r="MR30" s="33">
        <f t="shared" si="53"/>
        <v>1513.7433092483154</v>
      </c>
      <c r="MS30" s="33">
        <f t="shared" si="53"/>
        <v>1520.0505730368498</v>
      </c>
      <c r="MT30" s="33">
        <f t="shared" si="53"/>
        <v>1526.3841170911703</v>
      </c>
      <c r="MU30" s="33">
        <f t="shared" si="53"/>
        <v>1532.7440509123835</v>
      </c>
      <c r="MV30" s="33">
        <f t="shared" si="53"/>
        <v>1539.1304844578519</v>
      </c>
      <c r="MW30" s="33">
        <f t="shared" si="53"/>
        <v>1545.543528143093</v>
      </c>
      <c r="MX30" s="55">
        <f t="shared" si="53"/>
        <v>1551.9832928436892</v>
      </c>
      <c r="MY30" s="1"/>
      <c r="MZ30" s="1"/>
      <c r="NA30" s="1"/>
      <c r="NB30" s="1"/>
      <c r="NC30" s="1"/>
      <c r="ND30" s="1"/>
      <c r="NE30" s="1"/>
      <c r="NF30" s="13">
        <v>0.14499999999999999</v>
      </c>
      <c r="NG30" s="1">
        <f>Combine!A32</f>
        <v>48911</v>
      </c>
      <c r="NH30" s="14">
        <f>Combine!F32</f>
        <v>135423.584013771</v>
      </c>
    </row>
    <row r="31" spans="1:372" ht="12.75" customHeight="1" x14ac:dyDescent="0.3">
      <c r="A31" s="31" t="s">
        <v>872</v>
      </c>
      <c r="B31" s="32"/>
      <c r="C31" s="33">
        <f t="shared" ref="C31:BN31" si="54">(C25+C30)*$B$13</f>
        <v>27.39533066666667</v>
      </c>
      <c r="D31" s="33">
        <f t="shared" si="54"/>
        <v>27.404072108840801</v>
      </c>
      <c r="E31" s="33">
        <f t="shared" si="54"/>
        <v>27.412833034438769</v>
      </c>
      <c r="F31" s="33">
        <f t="shared" si="54"/>
        <v>27.42161343994524</v>
      </c>
      <c r="G31" s="33">
        <f t="shared" si="54"/>
        <v>27.430413321406768</v>
      </c>
      <c r="H31" s="33">
        <f t="shared" si="54"/>
        <v>27.439232674427821</v>
      </c>
      <c r="I31" s="33">
        <f t="shared" si="54"/>
        <v>27.448071494166825</v>
      </c>
      <c r="J31" s="33">
        <f t="shared" si="54"/>
        <v>27.456929775332185</v>
      </c>
      <c r="K31" s="33">
        <f t="shared" si="54"/>
        <v>27.465807512178223</v>
      </c>
      <c r="L31" s="33">
        <f t="shared" si="54"/>
        <v>27.474704698501156</v>
      </c>
      <c r="M31" s="33">
        <f t="shared" si="54"/>
        <v>27.483621327635007</v>
      </c>
      <c r="N31" s="33">
        <f t="shared" si="54"/>
        <v>27.492557392447488</v>
      </c>
      <c r="O31" s="33">
        <f t="shared" si="54"/>
        <v>27.501512885335888</v>
      </c>
      <c r="P31" s="33">
        <f t="shared" si="54"/>
        <v>27.510487798222879</v>
      </c>
      <c r="Q31" s="33">
        <f t="shared" si="54"/>
        <v>27.519482122552354</v>
      </c>
      <c r="R31" s="33">
        <f t="shared" si="54"/>
        <v>27.528495849285168</v>
      </c>
      <c r="S31" s="33">
        <f t="shared" si="54"/>
        <v>27.53752896889495</v>
      </c>
      <c r="T31" s="33">
        <f t="shared" si="54"/>
        <v>27.546581471363751</v>
      </c>
      <c r="U31" s="33">
        <f t="shared" si="54"/>
        <v>27.555653346177795</v>
      </c>
      <c r="V31" s="33">
        <f t="shared" si="54"/>
        <v>27.564744582323101</v>
      </c>
      <c r="W31" s="33">
        <f t="shared" si="54"/>
        <v>27.573855168281156</v>
      </c>
      <c r="X31" s="33">
        <f t="shared" si="54"/>
        <v>27.582985092024483</v>
      </c>
      <c r="Y31" s="33">
        <f t="shared" si="54"/>
        <v>27.592134341012247</v>
      </c>
      <c r="Z31" s="33">
        <f t="shared" si="54"/>
        <v>27.601302902185775</v>
      </c>
      <c r="AA31" s="33">
        <f t="shared" si="54"/>
        <v>27.610490761964083</v>
      </c>
      <c r="AB31" s="33">
        <f t="shared" si="54"/>
        <v>27.619697906239363</v>
      </c>
      <c r="AC31" s="33">
        <f t="shared" si="54"/>
        <v>27.628924320372409</v>
      </c>
      <c r="AD31" s="33">
        <f t="shared" si="54"/>
        <v>27.638169989188093</v>
      </c>
      <c r="AE31" s="33">
        <f t="shared" si="54"/>
        <v>27.647434896970701</v>
      </c>
      <c r="AF31" s="33">
        <f t="shared" si="54"/>
        <v>27.656719027459335</v>
      </c>
      <c r="AG31" s="33">
        <f t="shared" si="54"/>
        <v>27.666022363843222</v>
      </c>
      <c r="AH31" s="33">
        <f t="shared" si="54"/>
        <v>27.675344888757017</v>
      </c>
      <c r="AI31" s="33">
        <f t="shared" si="54"/>
        <v>27.684686584276069</v>
      </c>
      <c r="AJ31" s="33">
        <f t="shared" si="54"/>
        <v>27.694047431911656</v>
      </c>
      <c r="AK31" s="33">
        <f t="shared" si="54"/>
        <v>27.703427412606185</v>
      </c>
      <c r="AL31" s="33">
        <f t="shared" si="54"/>
        <v>27.71282650672838</v>
      </c>
      <c r="AM31" s="33">
        <f t="shared" si="54"/>
        <v>27.72224469406839</v>
      </c>
      <c r="AN31" s="33">
        <f t="shared" si="54"/>
        <v>27.731681953832922</v>
      </c>
      <c r="AO31" s="33">
        <f t="shared" si="54"/>
        <v>27.741138264640295</v>
      </c>
      <c r="AP31" s="33">
        <f t="shared" si="54"/>
        <v>27.750613604515493</v>
      </c>
      <c r="AQ31" s="33">
        <f t="shared" si="54"/>
        <v>27.760107950885153</v>
      </c>
      <c r="AR31" s="33">
        <f t="shared" si="54"/>
        <v>27.769621280572576</v>
      </c>
      <c r="AS31" s="33">
        <f t="shared" si="54"/>
        <v>27.779153569792609</v>
      </c>
      <c r="AT31" s="33">
        <f t="shared" si="54"/>
        <v>27.788704794146607</v>
      </c>
      <c r="AU31" s="33">
        <f t="shared" si="54"/>
        <v>27.798274928617271</v>
      </c>
      <c r="AV31" s="33">
        <f t="shared" si="54"/>
        <v>27.807863947563497</v>
      </c>
      <c r="AW31" s="33">
        <f t="shared" si="54"/>
        <v>27.817471824715181</v>
      </c>
      <c r="AX31" s="33">
        <f t="shared" si="54"/>
        <v>27.827098533167973</v>
      </c>
      <c r="AY31" s="33">
        <f t="shared" si="54"/>
        <v>27.836744045378026</v>
      </c>
      <c r="AZ31" s="33">
        <f t="shared" si="54"/>
        <v>27.846408333156692</v>
      </c>
      <c r="BA31" s="33">
        <f t="shared" si="54"/>
        <v>27.856091367665176</v>
      </c>
      <c r="BB31" s="33">
        <f t="shared" si="54"/>
        <v>27.865793119409176</v>
      </c>
      <c r="BC31" s="33">
        <f t="shared" si="54"/>
        <v>27.875513558233457</v>
      </c>
      <c r="BD31" s="33">
        <f t="shared" si="54"/>
        <v>27.885252653316435</v>
      </c>
      <c r="BE31" s="33">
        <f t="shared" si="54"/>
        <v>27.89501037316467</v>
      </c>
      <c r="BF31" s="33">
        <f t="shared" si="54"/>
        <v>27.904786685607366</v>
      </c>
      <c r="BG31" s="33">
        <f t="shared" si="54"/>
        <v>27.914581557790797</v>
      </c>
      <c r="BH31" s="33">
        <f t="shared" si="54"/>
        <v>27.924394956172765</v>
      </c>
      <c r="BI31" s="33">
        <f t="shared" si="54"/>
        <v>27.9342268465169</v>
      </c>
      <c r="BJ31" s="33">
        <f t="shared" si="54"/>
        <v>27.944077193887058</v>
      </c>
      <c r="BK31" s="33">
        <f t="shared" si="54"/>
        <v>27.953945962641601</v>
      </c>
      <c r="BL31" s="33">
        <f t="shared" si="54"/>
        <v>27.963833116427654</v>
      </c>
      <c r="BM31" s="33">
        <f t="shared" si="54"/>
        <v>27.973738618175311</v>
      </c>
      <c r="BN31" s="33">
        <f t="shared" si="54"/>
        <v>27.983662430091858</v>
      </c>
      <c r="BO31" s="33">
        <f t="shared" ref="BO31:DZ31" si="55">(BO25+BO30)*$B$13</f>
        <v>27.993604513655892</v>
      </c>
      <c r="BP31" s="33">
        <f t="shared" si="55"/>
        <v>28.003564829611424</v>
      </c>
      <c r="BQ31" s="33">
        <f t="shared" si="55"/>
        <v>28.013543337961973</v>
      </c>
      <c r="BR31" s="33">
        <f t="shared" si="55"/>
        <v>28.023539997964576</v>
      </c>
      <c r="BS31" s="33">
        <f t="shared" si="55"/>
        <v>28.033554768123796</v>
      </c>
      <c r="BT31" s="33">
        <f t="shared" si="55"/>
        <v>28.043587606185639</v>
      </c>
      <c r="BU31" s="33">
        <f t="shared" si="55"/>
        <v>28.053638469131503</v>
      </c>
      <c r="BV31" s="33">
        <f t="shared" si="55"/>
        <v>28.063707313172035</v>
      </c>
      <c r="BW31" s="33">
        <f t="shared" si="55"/>
        <v>28.073794093740968</v>
      </c>
      <c r="BX31" s="33">
        <f t="shared" si="55"/>
        <v>28.083898765488875</v>
      </c>
      <c r="BY31" s="33">
        <f t="shared" si="55"/>
        <v>28.09402128227698</v>
      </c>
      <c r="BZ31" s="33">
        <f t="shared" si="55"/>
        <v>28.104161597170823</v>
      </c>
      <c r="CA31" s="33">
        <f t="shared" si="55"/>
        <v>28.114319662433935</v>
      </c>
      <c r="CB31" s="33">
        <f t="shared" si="55"/>
        <v>28.124495429521478</v>
      </c>
      <c r="CC31" s="33">
        <f t="shared" si="55"/>
        <v>28.134688849073818</v>
      </c>
      <c r="CD31" s="33">
        <f t="shared" si="55"/>
        <v>28.144899870910063</v>
      </c>
      <c r="CE31" s="33">
        <f t="shared" si="55"/>
        <v>28.155128444021582</v>
      </c>
      <c r="CF31" s="33">
        <f t="shared" si="55"/>
        <v>28.165374516565436</v>
      </c>
      <c r="CG31" s="33">
        <f t="shared" si="55"/>
        <v>28.175638035857819</v>
      </c>
      <c r="CH31" s="33">
        <f t="shared" si="55"/>
        <v>28.185918948367412</v>
      </c>
      <c r="CI31" s="33">
        <f t="shared" si="55"/>
        <v>28.196217199708723</v>
      </c>
      <c r="CJ31" s="33">
        <f t="shared" si="55"/>
        <v>28.206532734635367</v>
      </c>
      <c r="CK31" s="33">
        <f t="shared" si="55"/>
        <v>28.2168654970333</v>
      </c>
      <c r="CL31" s="33">
        <f t="shared" si="55"/>
        <v>28.22721542991404</v>
      </c>
      <c r="CM31" s="33">
        <f t="shared" si="55"/>
        <v>28.237582475407791</v>
      </c>
      <c r="CN31" s="33">
        <f t="shared" si="55"/>
        <v>28.247966574756571</v>
      </c>
      <c r="CO31" s="33">
        <f t="shared" si="55"/>
        <v>28.258367668307269</v>
      </c>
      <c r="CP31" s="33">
        <f t="shared" si="55"/>
        <v>28.268785695504661</v>
      </c>
      <c r="CQ31" s="33">
        <f t="shared" si="55"/>
        <v>28.279220594884411</v>
      </c>
      <c r="CR31" s="33">
        <f t="shared" si="55"/>
        <v>28.289672304065935</v>
      </c>
      <c r="CS31" s="33">
        <f t="shared" si="55"/>
        <v>28.300140759745361</v>
      </c>
      <c r="CT31" s="33">
        <f t="shared" si="55"/>
        <v>28.310625897688308</v>
      </c>
      <c r="CU31" s="33">
        <f t="shared" si="55"/>
        <v>28.321127652722691</v>
      </c>
      <c r="CV31" s="33">
        <f t="shared" si="55"/>
        <v>28.331645958731485</v>
      </c>
      <c r="CW31" s="33">
        <f t="shared" si="55"/>
        <v>28.342180748645387</v>
      </c>
      <c r="CX31" s="33">
        <f t="shared" si="55"/>
        <v>28.352731954435484</v>
      </c>
      <c r="CY31" s="33">
        <f t="shared" si="55"/>
        <v>28.36329950710585</v>
      </c>
      <c r="CZ31" s="33">
        <f t="shared" si="55"/>
        <v>28.373883336686109</v>
      </c>
      <c r="DA31" s="33">
        <f t="shared" si="55"/>
        <v>28.384483372223912</v>
      </c>
      <c r="DB31" s="33">
        <f t="shared" si="55"/>
        <v>28.395099541777427</v>
      </c>
      <c r="DC31" s="33">
        <f t="shared" si="55"/>
        <v>28.405731772407716</v>
      </c>
      <c r="DD31" s="33">
        <f t="shared" si="55"/>
        <v>28.416379990171126</v>
      </c>
      <c r="DE31" s="33">
        <f t="shared" si="55"/>
        <v>28.427044120111567</v>
      </c>
      <c r="DF31" s="33">
        <f t="shared" si="55"/>
        <v>28.437724086252796</v>
      </c>
      <c r="DG31" s="33">
        <f t="shared" si="55"/>
        <v>28.448419811590611</v>
      </c>
      <c r="DH31" s="33">
        <f t="shared" si="55"/>
        <v>28.459131218085009</v>
      </c>
      <c r="DI31" s="33">
        <f t="shared" si="55"/>
        <v>28.469858226652331</v>
      </c>
      <c r="DJ31" s="33">
        <f t="shared" si="55"/>
        <v>28.480600757157273</v>
      </c>
      <c r="DK31" s="33">
        <f t="shared" si="55"/>
        <v>28.491358728404908</v>
      </c>
      <c r="DL31" s="33">
        <f t="shared" si="55"/>
        <v>28.502132058132666</v>
      </c>
      <c r="DM31" s="33">
        <f t="shared" si="55"/>
        <v>28.51292066300222</v>
      </c>
      <c r="DN31" s="33">
        <f t="shared" si="55"/>
        <v>28.523724458591317</v>
      </c>
      <c r="DO31" s="33">
        <f t="shared" si="55"/>
        <v>28.534543359385633</v>
      </c>
      <c r="DP31" s="33">
        <f t="shared" si="55"/>
        <v>28.545377278770466</v>
      </c>
      <c r="DQ31" s="33">
        <f t="shared" si="55"/>
        <v>28.55622612902247</v>
      </c>
      <c r="DR31" s="33">
        <f t="shared" si="55"/>
        <v>28.56708982130127</v>
      </c>
      <c r="DS31" s="33">
        <f t="shared" si="55"/>
        <v>28.577968265641058</v>
      </c>
      <c r="DT31" s="33">
        <f t="shared" si="55"/>
        <v>28.588861370942151</v>
      </c>
      <c r="DU31" s="33">
        <f t="shared" si="55"/>
        <v>28.599769044962422</v>
      </c>
      <c r="DV31" s="33">
        <f t="shared" si="55"/>
        <v>28.610691194308774</v>
      </c>
      <c r="DW31" s="33">
        <f t="shared" si="55"/>
        <v>28.6216277244285</v>
      </c>
      <c r="DX31" s="33">
        <f t="shared" si="55"/>
        <v>28.632578539600569</v>
      </c>
      <c r="DY31" s="33">
        <f t="shared" si="55"/>
        <v>28.64354354292691</v>
      </c>
      <c r="DZ31" s="33">
        <f t="shared" si="55"/>
        <v>28.654522636323627</v>
      </c>
      <c r="EA31" s="33">
        <f t="shared" ref="EA31:GL31" si="56">(EA25+EA30)*$B$13</f>
        <v>28.665515720512133</v>
      </c>
      <c r="EB31" s="33">
        <f t="shared" si="56"/>
        <v>28.676522695010235</v>
      </c>
      <c r="EC31" s="33">
        <f t="shared" si="56"/>
        <v>28.687543458123184</v>
      </c>
      <c r="ED31" s="33">
        <f t="shared" si="56"/>
        <v>28.698577906934652</v>
      </c>
      <c r="EE31" s="33">
        <f t="shared" si="56"/>
        <v>28.709625937297634</v>
      </c>
      <c r="EF31" s="33">
        <f t="shared" si="56"/>
        <v>28.720687443825344</v>
      </c>
      <c r="EG31" s="33">
        <f t="shared" si="56"/>
        <v>28.731762319881994</v>
      </c>
      <c r="EH31" s="33">
        <f t="shared" si="56"/>
        <v>28.742850457573542</v>
      </c>
      <c r="EI31" s="33">
        <f t="shared" si="56"/>
        <v>28.753951747738395</v>
      </c>
      <c r="EJ31" s="33">
        <f t="shared" si="56"/>
        <v>28.765066079938009</v>
      </c>
      <c r="EK31" s="33">
        <f t="shared" si="56"/>
        <v>28.77619334244751</v>
      </c>
      <c r="EL31" s="33">
        <f t="shared" si="56"/>
        <v>28.787333422246139</v>
      </c>
      <c r="EM31" s="33">
        <f t="shared" si="56"/>
        <v>28.798486205007748</v>
      </c>
      <c r="EN31" s="33">
        <f t="shared" si="56"/>
        <v>28.809651575091166</v>
      </c>
      <c r="EO31" s="33">
        <f t="shared" si="56"/>
        <v>28.820829415530543</v>
      </c>
      <c r="EP31" s="33">
        <f t="shared" si="56"/>
        <v>28.83201960802559</v>
      </c>
      <c r="EQ31" s="33">
        <f t="shared" si="56"/>
        <v>28.843222032931809</v>
      </c>
      <c r="ER31" s="33">
        <f t="shared" si="56"/>
        <v>28.85443656925063</v>
      </c>
      <c r="ES31" s="33">
        <f t="shared" si="56"/>
        <v>28.865663094619478</v>
      </c>
      <c r="ET31" s="33">
        <f t="shared" si="56"/>
        <v>28.876901485301811</v>
      </c>
      <c r="EU31" s="33">
        <f t="shared" si="56"/>
        <v>28.888151616177048</v>
      </c>
      <c r="EV31" s="33">
        <f t="shared" si="56"/>
        <v>28.899413360730495</v>
      </c>
      <c r="EW31" s="33">
        <f t="shared" si="56"/>
        <v>28.910686591043131</v>
      </c>
      <c r="EX31" s="33">
        <f t="shared" si="56"/>
        <v>28.921971177781415</v>
      </c>
      <c r="EY31" s="33">
        <f t="shared" si="56"/>
        <v>28.933266990186954</v>
      </c>
      <c r="EZ31" s="33">
        <f t="shared" si="56"/>
        <v>28.944573896066121</v>
      </c>
      <c r="FA31" s="33">
        <f t="shared" si="56"/>
        <v>28.955891761779686</v>
      </c>
      <c r="FB31" s="33">
        <f t="shared" si="56"/>
        <v>28.96722045223224</v>
      </c>
      <c r="FC31" s="33">
        <f t="shared" si="56"/>
        <v>28.978559830861709</v>
      </c>
      <c r="FD31" s="33">
        <f t="shared" si="56"/>
        <v>28.989909759628656</v>
      </c>
      <c r="FE31" s="33">
        <f t="shared" si="56"/>
        <v>29.001270099005605</v>
      </c>
      <c r="FF31" s="33">
        <f t="shared" si="56"/>
        <v>29.012640707966316</v>
      </c>
      <c r="FG31" s="33">
        <f t="shared" si="56"/>
        <v>29.024021443974899</v>
      </c>
      <c r="FH31" s="33">
        <f t="shared" si="56"/>
        <v>29.035412162974936</v>
      </c>
      <c r="FI31" s="33">
        <f t="shared" si="56"/>
        <v>29.046812719378515</v>
      </c>
      <c r="FJ31" s="33">
        <f t="shared" si="56"/>
        <v>29.05822296605519</v>
      </c>
      <c r="FK31" s="33">
        <f t="shared" si="56"/>
        <v>29.069642754320878</v>
      </c>
      <c r="FL31" s="33">
        <f t="shared" si="56"/>
        <v>29.081071933926669</v>
      </c>
      <c r="FM31" s="33">
        <f t="shared" si="56"/>
        <v>29.092510353047583</v>
      </c>
      <c r="FN31" s="33">
        <f t="shared" si="56"/>
        <v>29.103957858271283</v>
      </c>
      <c r="FO31" s="33">
        <f t="shared" si="56"/>
        <v>29.115414294586635</v>
      </c>
      <c r="FP31" s="33">
        <f t="shared" si="56"/>
        <v>29.12687950537229</v>
      </c>
      <c r="FQ31" s="33">
        <f t="shared" si="56"/>
        <v>29.138353332385137</v>
      </c>
      <c r="FR31" s="33">
        <f t="shared" si="56"/>
        <v>29.1498356157487</v>
      </c>
      <c r="FS31" s="33">
        <f t="shared" si="56"/>
        <v>29.161326193941459</v>
      </c>
      <c r="FT31" s="33">
        <f t="shared" si="56"/>
        <v>29.172824903785123</v>
      </c>
      <c r="FU31" s="33">
        <f t="shared" si="56"/>
        <v>29.184331580432772</v>
      </c>
      <c r="FV31" s="33">
        <f t="shared" si="56"/>
        <v>29.195846057356984</v>
      </c>
      <c r="FW31" s="33">
        <f t="shared" si="56"/>
        <v>29.207368166337869</v>
      </c>
      <c r="FX31" s="33">
        <f t="shared" si="56"/>
        <v>29.218897737451016</v>
      </c>
      <c r="FY31" s="33">
        <f t="shared" si="56"/>
        <v>29.230434599055357</v>
      </c>
      <c r="FZ31" s="33">
        <f t="shared" si="56"/>
        <v>29.241978577781001</v>
      </c>
      <c r="GA31" s="33">
        <f t="shared" si="56"/>
        <v>29.25352949851694</v>
      </c>
      <c r="GB31" s="33">
        <f t="shared" si="56"/>
        <v>29.265087184398716</v>
      </c>
      <c r="GC31" s="33">
        <f t="shared" si="56"/>
        <v>29.276651456795985</v>
      </c>
      <c r="GD31" s="33">
        <f t="shared" si="56"/>
        <v>29.288222135300011</v>
      </c>
      <c r="GE31" s="33">
        <f t="shared" si="56"/>
        <v>29.2997990377111</v>
      </c>
      <c r="GF31" s="33">
        <f t="shared" si="56"/>
        <v>29.311381980025935</v>
      </c>
      <c r="GG31" s="33">
        <f t="shared" si="56"/>
        <v>29.322970776424828</v>
      </c>
      <c r="GH31" s="33">
        <f t="shared" si="56"/>
        <v>29.334565239258918</v>
      </c>
      <c r="GI31" s="33">
        <f t="shared" si="56"/>
        <v>29.346165179037271</v>
      </c>
      <c r="GJ31" s="33">
        <f t="shared" si="56"/>
        <v>29.357770404413905</v>
      </c>
      <c r="GK31" s="33">
        <f t="shared" si="56"/>
        <v>29.369380722174721</v>
      </c>
      <c r="GL31" s="33">
        <f t="shared" si="56"/>
        <v>29.38099593722437</v>
      </c>
      <c r="GM31" s="33">
        <f t="shared" ref="GM31:IX31" si="57">(GM25+GM30)*$B$13</f>
        <v>29.392615852573062</v>
      </c>
      <c r="GN31" s="33">
        <f t="shared" si="57"/>
        <v>29.404240269323218</v>
      </c>
      <c r="GO31" s="33">
        <f t="shared" si="57"/>
        <v>29.415868986656108</v>
      </c>
      <c r="GP31" s="33">
        <f t="shared" si="57"/>
        <v>29.427501801818408</v>
      </c>
      <c r="GQ31" s="33">
        <f t="shared" si="57"/>
        <v>29.439138510108588</v>
      </c>
      <c r="GR31" s="33">
        <f t="shared" si="57"/>
        <v>29.450778904863355</v>
      </c>
      <c r="GS31" s="33">
        <f t="shared" si="57"/>
        <v>29.46242277744388</v>
      </c>
      <c r="GT31" s="33">
        <f t="shared" si="57"/>
        <v>29.474069917221996</v>
      </c>
      <c r="GU31" s="33">
        <f t="shared" si="57"/>
        <v>29.485720111566344</v>
      </c>
      <c r="GV31" s="33">
        <f t="shared" si="57"/>
        <v>29.497373145828362</v>
      </c>
      <c r="GW31" s="33">
        <f t="shared" si="57"/>
        <v>29.509028803328249</v>
      </c>
      <c r="GX31" s="33">
        <f t="shared" si="57"/>
        <v>29.520686865340814</v>
      </c>
      <c r="GY31" s="33">
        <f t="shared" si="57"/>
        <v>29.532347111081219</v>
      </c>
      <c r="GZ31" s="33">
        <f t="shared" si="57"/>
        <v>29.544009317690669</v>
      </c>
      <c r="HA31" s="33">
        <f t="shared" si="57"/>
        <v>29.555673260222022</v>
      </c>
      <c r="HB31" s="33">
        <f t="shared" si="57"/>
        <v>29.567338711625244</v>
      </c>
      <c r="HC31" s="33">
        <f t="shared" si="57"/>
        <v>29.579005442732878</v>
      </c>
      <c r="HD31" s="33">
        <f t="shared" si="57"/>
        <v>29.590673222245297</v>
      </c>
      <c r="HE31" s="33">
        <f t="shared" si="57"/>
        <v>29.602341816715981</v>
      </c>
      <c r="HF31" s="33">
        <f t="shared" si="57"/>
        <v>29.614010990536645</v>
      </c>
      <c r="HG31" s="33">
        <f t="shared" si="57"/>
        <v>29.625680505922276</v>
      </c>
      <c r="HH31" s="33">
        <f t="shared" si="57"/>
        <v>29.637350122896088</v>
      </c>
      <c r="HI31" s="33">
        <f t="shared" si="57"/>
        <v>29.649019599274425</v>
      </c>
      <c r="HJ31" s="33">
        <f t="shared" si="57"/>
        <v>29.660688690651458</v>
      </c>
      <c r="HK31" s="33">
        <f t="shared" si="57"/>
        <v>29.672357150383927</v>
      </c>
      <c r="HL31" s="33">
        <f t="shared" si="57"/>
        <v>29.684024729575675</v>
      </c>
      <c r="HM31" s="33">
        <f t="shared" si="57"/>
        <v>29.69569117706218</v>
      </c>
      <c r="HN31" s="33">
        <f t="shared" si="57"/>
        <v>29.707356239394905</v>
      </c>
      <c r="HO31" s="33">
        <f t="shared" si="57"/>
        <v>29.719019660825616</v>
      </c>
      <c r="HP31" s="33">
        <f t="shared" si="57"/>
        <v>29.730681183290578</v>
      </c>
      <c r="HQ31" s="33">
        <f t="shared" si="57"/>
        <v>29.742340546394662</v>
      </c>
      <c r="HR31" s="33">
        <f t="shared" si="57"/>
        <v>29.753997487395342</v>
      </c>
      <c r="HS31" s="33">
        <f t="shared" si="57"/>
        <v>29.765651741186602</v>
      </c>
      <c r="HT31" s="33">
        <f t="shared" si="57"/>
        <v>29.777303040282757</v>
      </c>
      <c r="HU31" s="33">
        <f t="shared" si="57"/>
        <v>29.788951114802138</v>
      </c>
      <c r="HV31" s="33">
        <f t="shared" si="57"/>
        <v>29.800595692450742</v>
      </c>
      <c r="HW31" s="33">
        <f t="shared" si="57"/>
        <v>29.81223649850569</v>
      </c>
      <c r="HX31" s="33">
        <f t="shared" si="57"/>
        <v>29.823873255798681</v>
      </c>
      <c r="HY31" s="33">
        <f t="shared" si="57"/>
        <v>29.835505684699257</v>
      </c>
      <c r="HZ31" s="33">
        <f t="shared" si="57"/>
        <v>29.847133503098057</v>
      </c>
      <c r="IA31" s="33">
        <f t="shared" si="57"/>
        <v>29.858756426389874</v>
      </c>
      <c r="IB31" s="33">
        <f t="shared" si="57"/>
        <v>29.870374167456674</v>
      </c>
      <c r="IC31" s="33">
        <f t="shared" si="57"/>
        <v>29.881986436650497</v>
      </c>
      <c r="ID31" s="33">
        <f t="shared" si="57"/>
        <v>29.893592941776237</v>
      </c>
      <c r="IE31" s="33">
        <f t="shared" si="57"/>
        <v>29.905193388074323</v>
      </c>
      <c r="IF31" s="33">
        <f t="shared" si="57"/>
        <v>29.916787478203315</v>
      </c>
      <c r="IG31" s="33">
        <f t="shared" si="57"/>
        <v>29.928374912222367</v>
      </c>
      <c r="IH31" s="33">
        <f t="shared" si="57"/>
        <v>29.939955387573587</v>
      </c>
      <c r="II31" s="33">
        <f t="shared" si="57"/>
        <v>29.951528599064314</v>
      </c>
      <c r="IJ31" s="33">
        <f t="shared" si="57"/>
        <v>29.963094238849262</v>
      </c>
      <c r="IK31" s="33">
        <f t="shared" si="57"/>
        <v>29.97465199641255</v>
      </c>
      <c r="IL31" s="33">
        <f t="shared" si="57"/>
        <v>29.986201558549652</v>
      </c>
      <c r="IM31" s="33">
        <f t="shared" si="57"/>
        <v>29.997742609349206</v>
      </c>
      <c r="IN31" s="33">
        <f t="shared" si="57"/>
        <v>30.009274830174753</v>
      </c>
      <c r="IO31" s="33">
        <f t="shared" si="57"/>
        <v>30.020797899646301</v>
      </c>
      <c r="IP31" s="33">
        <f t="shared" si="57"/>
        <v>30.03231149362183</v>
      </c>
      <c r="IQ31" s="33">
        <f t="shared" si="57"/>
        <v>30.043815285178685</v>
      </c>
      <c r="IR31" s="33">
        <f t="shared" si="57"/>
        <v>30.055308944594827</v>
      </c>
      <c r="IS31" s="33">
        <f t="shared" si="57"/>
        <v>30.066792139329966</v>
      </c>
      <c r="IT31" s="33">
        <f t="shared" si="57"/>
        <v>30.078264534006614</v>
      </c>
      <c r="IU31" s="33">
        <f t="shared" si="57"/>
        <v>30.089725790391032</v>
      </c>
      <c r="IV31" s="33">
        <f t="shared" si="57"/>
        <v>30.101175567373968</v>
      </c>
      <c r="IW31" s="33">
        <f t="shared" si="57"/>
        <v>30.112613520951413</v>
      </c>
      <c r="IX31" s="33">
        <f t="shared" si="57"/>
        <v>30.124039304205127</v>
      </c>
      <c r="IY31" s="33">
        <f t="shared" ref="IY31:LJ31" si="58">(IY25+IY30)*$B$13</f>
        <v>30.1354525672831</v>
      </c>
      <c r="IZ31" s="33">
        <f t="shared" si="58"/>
        <v>30.14685295737991</v>
      </c>
      <c r="JA31" s="33">
        <f t="shared" si="58"/>
        <v>30.158240118716922</v>
      </c>
      <c r="JB31" s="33">
        <f t="shared" si="58"/>
        <v>30.169613692522368</v>
      </c>
      <c r="JC31" s="33">
        <f t="shared" si="58"/>
        <v>30.180973317011343</v>
      </c>
      <c r="JD31" s="33">
        <f t="shared" si="58"/>
        <v>30.192318627365673</v>
      </c>
      <c r="JE31" s="33">
        <f t="shared" si="58"/>
        <v>30.2036492557136</v>
      </c>
      <c r="JF31" s="33">
        <f t="shared" si="58"/>
        <v>30.214964831109441</v>
      </c>
      <c r="JG31" s="33">
        <f t="shared" si="58"/>
        <v>30.226264979513047</v>
      </c>
      <c r="JH31" s="33">
        <f t="shared" si="58"/>
        <v>30.237549323769169</v>
      </c>
      <c r="JI31" s="33">
        <f t="shared" si="58"/>
        <v>30.248817483586681</v>
      </c>
      <c r="JJ31" s="33">
        <f t="shared" si="58"/>
        <v>30.260069075517741</v>
      </c>
      <c r="JK31" s="33">
        <f t="shared" si="58"/>
        <v>30.271303712936714</v>
      </c>
      <c r="JL31" s="33">
        <f t="shared" si="58"/>
        <v>30.282521006019085</v>
      </c>
      <c r="JM31" s="33">
        <f t="shared" si="58"/>
        <v>30.293720561720153</v>
      </c>
      <c r="JN31" s="33">
        <f t="shared" si="58"/>
        <v>30.304901983753648</v>
      </c>
      <c r="JO31" s="33">
        <f t="shared" si="58"/>
        <v>30.316064872570202</v>
      </c>
      <c r="JP31" s="33">
        <f t="shared" si="58"/>
        <v>30.32720882533571</v>
      </c>
      <c r="JQ31" s="33">
        <f t="shared" si="58"/>
        <v>30.338333435909519</v>
      </c>
      <c r="JR31" s="33">
        <f t="shared" si="58"/>
        <v>30.349438294822516</v>
      </c>
      <c r="JS31" s="33">
        <f t="shared" si="58"/>
        <v>30.360522989255092</v>
      </c>
      <c r="JT31" s="33">
        <f t="shared" si="58"/>
        <v>30.37158710301496</v>
      </c>
      <c r="JU31" s="33">
        <f t="shared" si="58"/>
        <v>30.382630216514805</v>
      </c>
      <c r="JV31" s="33">
        <f t="shared" si="58"/>
        <v>30.39365190674987</v>
      </c>
      <c r="JW31" s="33">
        <f t="shared" si="58"/>
        <v>30.404651747275377</v>
      </c>
      <c r="JX31" s="33">
        <f t="shared" si="58"/>
        <v>30.415629308183775</v>
      </c>
      <c r="JY31" s="33">
        <f t="shared" si="58"/>
        <v>30.426584156081891</v>
      </c>
      <c r="JZ31" s="33">
        <f t="shared" si="58"/>
        <v>30.437515854067939</v>
      </c>
      <c r="KA31" s="33">
        <f t="shared" si="58"/>
        <v>30.448423961708411</v>
      </c>
      <c r="KB31" s="33">
        <f t="shared" si="58"/>
        <v>30.459308035014747</v>
      </c>
      <c r="KC31" s="33">
        <f t="shared" si="58"/>
        <v>30.470167626419979</v>
      </c>
      <c r="KD31" s="33">
        <f t="shared" si="58"/>
        <v>30.481002284755164</v>
      </c>
      <c r="KE31" s="33">
        <f t="shared" si="58"/>
        <v>30.491811555225656</v>
      </c>
      <c r="KF31" s="33">
        <f t="shared" si="58"/>
        <v>30.502594979387322</v>
      </c>
      <c r="KG31" s="33">
        <f t="shared" si="58"/>
        <v>30.513352095122528</v>
      </c>
      <c r="KH31" s="33">
        <f t="shared" si="58"/>
        <v>30.524082436616037</v>
      </c>
      <c r="KI31" s="33">
        <f t="shared" si="58"/>
        <v>30.534785534330709</v>
      </c>
      <c r="KJ31" s="33">
        <f t="shared" si="58"/>
        <v>30.545460914983128</v>
      </c>
      <c r="KK31" s="33">
        <f t="shared" si="58"/>
        <v>30.556108101519023</v>
      </c>
      <c r="KL31" s="33">
        <f t="shared" si="58"/>
        <v>30.566726613088562</v>
      </c>
      <c r="KM31" s="33">
        <f t="shared" si="58"/>
        <v>30.577315965021505</v>
      </c>
      <c r="KN31" s="33">
        <f t="shared" si="58"/>
        <v>30.58787566880218</v>
      </c>
      <c r="KO31" s="33">
        <f t="shared" si="58"/>
        <v>30.59840523204436</v>
      </c>
      <c r="KP31" s="33">
        <f t="shared" si="58"/>
        <v>30.608904158465968</v>
      </c>
      <c r="KQ31" s="33">
        <f t="shared" si="58"/>
        <v>30.619371947863556</v>
      </c>
      <c r="KR31" s="33">
        <f t="shared" si="58"/>
        <v>30.62980809608678</v>
      </c>
      <c r="KS31" s="33">
        <f t="shared" si="58"/>
        <v>30.640212095012604</v>
      </c>
      <c r="KT31" s="33">
        <f t="shared" si="58"/>
        <v>30.650583432519362</v>
      </c>
      <c r="KU31" s="33">
        <f t="shared" si="58"/>
        <v>30.66092159246076</v>
      </c>
      <c r="KV31" s="33">
        <f t="shared" si="58"/>
        <v>30.671226054639561</v>
      </c>
      <c r="KW31" s="33">
        <f t="shared" si="58"/>
        <v>30.681496294781279</v>
      </c>
      <c r="KX31" s="33">
        <f t="shared" si="58"/>
        <v>30.691731784507621</v>
      </c>
      <c r="KY31" s="33">
        <f t="shared" si="58"/>
        <v>30.701931991309777</v>
      </c>
      <c r="KZ31" s="33">
        <f t="shared" si="58"/>
        <v>30.712096378521565</v>
      </c>
      <c r="LA31" s="33">
        <f t="shared" si="58"/>
        <v>30.722224405292437</v>
      </c>
      <c r="LB31" s="33">
        <f t="shared" si="58"/>
        <v>30.732315526560278</v>
      </c>
      <c r="LC31" s="33">
        <f t="shared" si="58"/>
        <v>30.742369193024093</v>
      </c>
      <c r="LD31" s="33">
        <f t="shared" si="58"/>
        <v>30.752384851116485</v>
      </c>
      <c r="LE31" s="33">
        <f t="shared" si="58"/>
        <v>30.762361942975996</v>
      </c>
      <c r="LF31" s="33">
        <f t="shared" si="58"/>
        <v>30.772299906419278</v>
      </c>
      <c r="LG31" s="33">
        <f t="shared" si="58"/>
        <v>30.782198174913102</v>
      </c>
      <c r="LH31" s="33">
        <f t="shared" si="58"/>
        <v>30.792056177546201</v>
      </c>
      <c r="LI31" s="33">
        <f t="shared" si="58"/>
        <v>30.801873339000913</v>
      </c>
      <c r="LJ31" s="33">
        <f t="shared" si="58"/>
        <v>30.811649079524724</v>
      </c>
      <c r="LK31" s="33">
        <f t="shared" ref="LK31:MX31" si="59">(LK25+LK30)*$B$13</f>
        <v>30.821382814901568</v>
      </c>
      <c r="LL31" s="33">
        <f t="shared" si="59"/>
        <v>30.831073956422998</v>
      </c>
      <c r="LM31" s="33">
        <f t="shared" si="59"/>
        <v>30.840721910859195</v>
      </c>
      <c r="LN31" s="33">
        <f t="shared" si="59"/>
        <v>30.85032608042976</v>
      </c>
      <c r="LO31" s="33">
        <f t="shared" si="59"/>
        <v>30.85988586277437</v>
      </c>
      <c r="LP31" s="33">
        <f t="shared" si="59"/>
        <v>30.869400650923254</v>
      </c>
      <c r="LQ31" s="33">
        <f t="shared" si="59"/>
        <v>30.878869833267487</v>
      </c>
      <c r="LR31" s="33">
        <f t="shared" si="59"/>
        <v>30.888292793529114</v>
      </c>
      <c r="LS31" s="33">
        <f t="shared" si="59"/>
        <v>30.897668910731063</v>
      </c>
      <c r="LT31" s="33">
        <f t="shared" si="59"/>
        <v>30.906997559166967</v>
      </c>
      <c r="LU31" s="33">
        <f t="shared" si="59"/>
        <v>30.91627810837068</v>
      </c>
      <c r="LV31" s="33">
        <f t="shared" si="59"/>
        <v>30.925509923085738</v>
      </c>
      <c r="LW31" s="33">
        <f t="shared" si="59"/>
        <v>30.934692363234554</v>
      </c>
      <c r="LX31" s="33">
        <f t="shared" si="59"/>
        <v>30.943824783887464</v>
      </c>
      <c r="LY31" s="33">
        <f t="shared" si="59"/>
        <v>30.952906535231588</v>
      </c>
      <c r="LZ31" s="33">
        <f t="shared" si="59"/>
        <v>30.961936962539486</v>
      </c>
      <c r="MA31" s="33">
        <f t="shared" si="59"/>
        <v>30.970915406137685</v>
      </c>
      <c r="MB31" s="33">
        <f t="shared" si="59"/>
        <v>30.979841201374942</v>
      </c>
      <c r="MC31" s="33">
        <f t="shared" si="59"/>
        <v>30.988713678590372</v>
      </c>
      <c r="MD31" s="33">
        <f t="shared" si="59"/>
        <v>30.997532163081377</v>
      </c>
      <c r="ME31" s="33">
        <f t="shared" si="59"/>
        <v>31.006295975071367</v>
      </c>
      <c r="MF31" s="33">
        <f t="shared" si="59"/>
        <v>31.015004429677333</v>
      </c>
      <c r="MG31" s="33">
        <f t="shared" si="59"/>
        <v>31.023656836877159</v>
      </c>
      <c r="MH31" s="33">
        <f t="shared" si="59"/>
        <v>31.032252501476833</v>
      </c>
      <c r="MI31" s="33">
        <f t="shared" si="59"/>
        <v>31.04079072307735</v>
      </c>
      <c r="MJ31" s="33">
        <f t="shared" si="59"/>
        <v>31.049270796041565</v>
      </c>
      <c r="MK31" s="33">
        <f t="shared" si="59"/>
        <v>31.05769200946067</v>
      </c>
      <c r="ML31" s="33">
        <f t="shared" si="59"/>
        <v>31.066053647120661</v>
      </c>
      <c r="MM31" s="33">
        <f t="shared" si="59"/>
        <v>31.074354987468464</v>
      </c>
      <c r="MN31" s="33">
        <f t="shared" si="59"/>
        <v>31.082595303577943</v>
      </c>
      <c r="MO31" s="33">
        <f t="shared" si="59"/>
        <v>31.090773863115633</v>
      </c>
      <c r="MP31" s="33">
        <f t="shared" si="59"/>
        <v>31.098889928306395</v>
      </c>
      <c r="MQ31" s="33">
        <f t="shared" si="59"/>
        <v>31.106942755898718</v>
      </c>
      <c r="MR31" s="33">
        <f t="shared" si="59"/>
        <v>31.114931597129917</v>
      </c>
      <c r="MS31" s="33">
        <f t="shared" si="59"/>
        <v>31.122855697691111</v>
      </c>
      <c r="MT31" s="33">
        <f t="shared" si="59"/>
        <v>31.130714297691984</v>
      </c>
      <c r="MU31" s="33">
        <f t="shared" si="59"/>
        <v>31.138506631625283</v>
      </c>
      <c r="MV31" s="33">
        <f t="shared" si="59"/>
        <v>31.146231928331225</v>
      </c>
      <c r="MW31" s="33">
        <f t="shared" si="59"/>
        <v>31.153889410961611</v>
      </c>
      <c r="MX31" s="55">
        <f t="shared" si="59"/>
        <v>31.161478296943724</v>
      </c>
      <c r="MY31" s="1"/>
      <c r="MZ31" s="1"/>
      <c r="NA31" s="1"/>
      <c r="NB31" s="1"/>
      <c r="NC31" s="1"/>
      <c r="ND31" s="1"/>
      <c r="NE31" s="1"/>
      <c r="NF31" s="13">
        <v>0.15</v>
      </c>
      <c r="NG31" s="1">
        <f>Combine!A33</f>
        <v>48170</v>
      </c>
      <c r="NH31" s="14">
        <f>Combine!F33</f>
        <v>417891.42041844199</v>
      </c>
    </row>
    <row r="32" spans="1:372" ht="12.75" customHeight="1" x14ac:dyDescent="0.3">
      <c r="A32" s="37" t="s">
        <v>873</v>
      </c>
      <c r="B32" s="38"/>
      <c r="C32" s="39">
        <f t="shared" ref="C32:BN32" si="60">C26+C28+C29+C30-C31</f>
        <v>1866.6722253697699</v>
      </c>
      <c r="D32" s="39">
        <f t="shared" si="60"/>
        <v>1868.116911149818</v>
      </c>
      <c r="E32" s="39">
        <f t="shared" si="60"/>
        <v>1869.5676333932015</v>
      </c>
      <c r="F32" s="39">
        <f t="shared" si="60"/>
        <v>1871.0244173365472</v>
      </c>
      <c r="G32" s="39">
        <f t="shared" si="60"/>
        <v>1872.487288322058</v>
      </c>
      <c r="H32" s="39">
        <f t="shared" si="60"/>
        <v>1873.9562717979552</v>
      </c>
      <c r="I32" s="39">
        <f t="shared" si="60"/>
        <v>1875.4313933189214</v>
      </c>
      <c r="J32" s="39">
        <f t="shared" si="60"/>
        <v>1876.9126785465478</v>
      </c>
      <c r="K32" s="39">
        <f t="shared" si="60"/>
        <v>1878.40015324978</v>
      </c>
      <c r="L32" s="39">
        <f t="shared" si="60"/>
        <v>1879.8938433053688</v>
      </c>
      <c r="M32" s="39">
        <f t="shared" si="60"/>
        <v>1881.3937746983215</v>
      </c>
      <c r="N32" s="39">
        <f t="shared" si="60"/>
        <v>1882.8999735223545</v>
      </c>
      <c r="O32" s="39">
        <f t="shared" si="60"/>
        <v>1884.4124659803481</v>
      </c>
      <c r="P32" s="39">
        <f t="shared" si="60"/>
        <v>1885.9312783848052</v>
      </c>
      <c r="Q32" s="39">
        <f t="shared" si="60"/>
        <v>1887.4564371583087</v>
      </c>
      <c r="R32" s="39">
        <f t="shared" si="60"/>
        <v>1888.9879688339831</v>
      </c>
      <c r="S32" s="39">
        <f t="shared" si="60"/>
        <v>1890.5259000559574</v>
      </c>
      <c r="T32" s="39">
        <f t="shared" si="60"/>
        <v>1892.0702575798293</v>
      </c>
      <c r="U32" s="39">
        <f t="shared" si="60"/>
        <v>1893.6210682731321</v>
      </c>
      <c r="V32" s="39">
        <f t="shared" si="60"/>
        <v>1895.1783591158044</v>
      </c>
      <c r="W32" s="39">
        <f t="shared" si="60"/>
        <v>1896.742157200659</v>
      </c>
      <c r="X32" s="39">
        <f t="shared" si="60"/>
        <v>1898.3124897338564</v>
      </c>
      <c r="Y32" s="39">
        <f t="shared" si="60"/>
        <v>1899.8893840353803</v>
      </c>
      <c r="Z32" s="39">
        <f t="shared" si="60"/>
        <v>1901.472867539512</v>
      </c>
      <c r="AA32" s="39">
        <f t="shared" si="60"/>
        <v>1903.0629677953114</v>
      </c>
      <c r="AB32" s="39">
        <f t="shared" si="60"/>
        <v>1904.6597124670952</v>
      </c>
      <c r="AC32" s="39">
        <f t="shared" si="60"/>
        <v>1906.2631293349214</v>
      </c>
      <c r="AD32" s="39">
        <f t="shared" si="60"/>
        <v>1907.8732462950732</v>
      </c>
      <c r="AE32" s="39">
        <f t="shared" si="60"/>
        <v>1909.4900913605454</v>
      </c>
      <c r="AF32" s="39">
        <f t="shared" si="60"/>
        <v>1911.1136926615334</v>
      </c>
      <c r="AG32" s="39">
        <f t="shared" si="60"/>
        <v>1912.7440784459241</v>
      </c>
      <c r="AH32" s="39">
        <f t="shared" si="60"/>
        <v>1914.3812770797879</v>
      </c>
      <c r="AI32" s="39">
        <f t="shared" si="60"/>
        <v>1916.025317047875</v>
      </c>
      <c r="AJ32" s="39">
        <f t="shared" si="60"/>
        <v>1917.6762269541105</v>
      </c>
      <c r="AK32" s="39">
        <f t="shared" si="60"/>
        <v>1919.3340355220946</v>
      </c>
      <c r="AL32" s="39">
        <f t="shared" si="60"/>
        <v>1920.9987715956042</v>
      </c>
      <c r="AM32" s="39">
        <f t="shared" si="60"/>
        <v>1922.6704641390943</v>
      </c>
      <c r="AN32" s="39">
        <f t="shared" si="60"/>
        <v>1924.3491422382049</v>
      </c>
      <c r="AO32" s="39">
        <f t="shared" si="60"/>
        <v>1926.0348351002681</v>
      </c>
      <c r="AP32" s="39">
        <f t="shared" si="60"/>
        <v>1927.7275720548171</v>
      </c>
      <c r="AQ32" s="39">
        <f t="shared" si="60"/>
        <v>1929.4273825540984</v>
      </c>
      <c r="AR32" s="39">
        <f t="shared" si="60"/>
        <v>1931.1342961735854</v>
      </c>
      <c r="AS32" s="39">
        <f t="shared" si="60"/>
        <v>1932.8483426124947</v>
      </c>
      <c r="AT32" s="39">
        <f t="shared" si="60"/>
        <v>1934.5695516943042</v>
      </c>
      <c r="AU32" s="39">
        <f t="shared" si="60"/>
        <v>1936.2979533672724</v>
      </c>
      <c r="AV32" s="39">
        <f t="shared" si="60"/>
        <v>1938.0335777049629</v>
      </c>
      <c r="AW32" s="39">
        <f t="shared" si="60"/>
        <v>1939.776454906767</v>
      </c>
      <c r="AX32" s="39">
        <f t="shared" si="60"/>
        <v>1941.5266152984323</v>
      </c>
      <c r="AY32" s="39">
        <f t="shared" si="60"/>
        <v>1943.2840893325911</v>
      </c>
      <c r="AZ32" s="39">
        <f t="shared" si="60"/>
        <v>1945.048907589291</v>
      </c>
      <c r="BA32" s="39">
        <f t="shared" si="60"/>
        <v>1946.8211007765299</v>
      </c>
      <c r="BB32" s="39">
        <f t="shared" si="60"/>
        <v>1948.6006997307904</v>
      </c>
      <c r="BC32" s="39">
        <f t="shared" si="60"/>
        <v>1950.3877354175788</v>
      </c>
      <c r="BD32" s="39">
        <f t="shared" si="60"/>
        <v>1952.1822389319657</v>
      </c>
      <c r="BE32" s="39">
        <f t="shared" si="60"/>
        <v>1953.9842414991265</v>
      </c>
      <c r="BF32" s="39">
        <f t="shared" si="60"/>
        <v>1955.7937744748886</v>
      </c>
      <c r="BG32" s="39">
        <f t="shared" si="60"/>
        <v>1957.6108693462777</v>
      </c>
      <c r="BH32" s="39">
        <f t="shared" si="60"/>
        <v>1959.4355577320664</v>
      </c>
      <c r="BI32" s="39">
        <f t="shared" si="60"/>
        <v>1961.267871383327</v>
      </c>
      <c r="BJ32" s="39">
        <f t="shared" si="60"/>
        <v>1963.107842183985</v>
      </c>
      <c r="BK32" s="39">
        <f t="shared" si="60"/>
        <v>1964.9555021513752</v>
      </c>
      <c r="BL32" s="39">
        <f t="shared" si="60"/>
        <v>1966.8108834368013</v>
      </c>
      <c r="BM32" s="39">
        <f t="shared" si="60"/>
        <v>1968.6740183260958</v>
      </c>
      <c r="BN32" s="39">
        <f t="shared" si="60"/>
        <v>1970.544939240184</v>
      </c>
      <c r="BO32" s="39">
        <f t="shared" ref="BO32:DZ32" si="61">BO26+BO28+BO29+BO30-BO31</f>
        <v>1972.4236787356501</v>
      </c>
      <c r="BP32" s="39">
        <f t="shared" si="61"/>
        <v>1974.3102695053037</v>
      </c>
      <c r="BQ32" s="39">
        <f t="shared" si="61"/>
        <v>1976.2047443787524</v>
      </c>
      <c r="BR32" s="39">
        <f t="shared" si="61"/>
        <v>1978.107136322973</v>
      </c>
      <c r="BS32" s="39">
        <f t="shared" si="61"/>
        <v>1980.0174784428882</v>
      </c>
      <c r="BT32" s="39">
        <f t="shared" si="61"/>
        <v>1981.9358039819426</v>
      </c>
      <c r="BU32" s="39">
        <f t="shared" si="61"/>
        <v>1983.8621463226843</v>
      </c>
      <c r="BV32" s="39">
        <f t="shared" si="61"/>
        <v>1985.7965389873468</v>
      </c>
      <c r="BW32" s="39">
        <f t="shared" si="61"/>
        <v>1987.7390156384338</v>
      </c>
      <c r="BX32" s="39">
        <f t="shared" si="61"/>
        <v>1989.6896100793072</v>
      </c>
      <c r="BY32" s="39">
        <f t="shared" si="61"/>
        <v>1991.648356254776</v>
      </c>
      <c r="BZ32" s="39">
        <f t="shared" si="61"/>
        <v>1993.6152882516903</v>
      </c>
      <c r="CA32" s="39">
        <f t="shared" si="61"/>
        <v>1995.5904402995345</v>
      </c>
      <c r="CB32" s="39">
        <f t="shared" si="61"/>
        <v>1997.5738467710255</v>
      </c>
      <c r="CC32" s="39">
        <f t="shared" si="61"/>
        <v>1999.5655421827123</v>
      </c>
      <c r="CD32" s="39">
        <f t="shared" si="61"/>
        <v>2001.565561195579</v>
      </c>
      <c r="CE32" s="39">
        <f t="shared" si="61"/>
        <v>2003.5739386156483</v>
      </c>
      <c r="CF32" s="39">
        <f t="shared" si="61"/>
        <v>2005.59070939459</v>
      </c>
      <c r="CG32" s="39">
        <f t="shared" si="61"/>
        <v>2007.6159086303312</v>
      </c>
      <c r="CH32" s="39">
        <f t="shared" si="61"/>
        <v>2009.6495715676679</v>
      </c>
      <c r="CI32" s="39">
        <f t="shared" si="61"/>
        <v>2011.6917335988803</v>
      </c>
      <c r="CJ32" s="39">
        <f t="shared" si="61"/>
        <v>2013.7424302643515</v>
      </c>
      <c r="CK32" s="39">
        <f t="shared" si="61"/>
        <v>2015.8016972531866</v>
      </c>
      <c r="CL32" s="39">
        <f t="shared" si="61"/>
        <v>2017.8695704038355</v>
      </c>
      <c r="CM32" s="39">
        <f t="shared" si="61"/>
        <v>2019.9460857047191</v>
      </c>
      <c r="CN32" s="39">
        <f t="shared" si="61"/>
        <v>2022.0312792948582</v>
      </c>
      <c r="CO32" s="39">
        <f t="shared" si="61"/>
        <v>2024.1251874645011</v>
      </c>
      <c r="CP32" s="39">
        <f t="shared" si="61"/>
        <v>2026.2278466557607</v>
      </c>
      <c r="CQ32" s="39">
        <f t="shared" si="61"/>
        <v>2028.3392934632484</v>
      </c>
      <c r="CR32" s="39">
        <f t="shared" si="61"/>
        <v>2030.4595646347127</v>
      </c>
      <c r="CS32" s="39">
        <f t="shared" si="61"/>
        <v>2032.5886970716824</v>
      </c>
      <c r="CT32" s="39">
        <f t="shared" si="61"/>
        <v>2034.7267278301072</v>
      </c>
      <c r="CU32" s="39">
        <f t="shared" si="61"/>
        <v>2036.8736941210091</v>
      </c>
      <c r="CV32" s="39">
        <f t="shared" si="61"/>
        <v>2039.029633311128</v>
      </c>
      <c r="CW32" s="39">
        <f t="shared" si="61"/>
        <v>2041.1945829235754</v>
      </c>
      <c r="CX32" s="39">
        <f t="shared" si="61"/>
        <v>2043.3685806384901</v>
      </c>
      <c r="CY32" s="39">
        <f t="shared" si="61"/>
        <v>2045.5516642936939</v>
      </c>
      <c r="CZ32" s="39">
        <f t="shared" si="61"/>
        <v>2047.7438718853541</v>
      </c>
      <c r="DA32" s="39">
        <f t="shared" si="61"/>
        <v>2049.9452415686455</v>
      </c>
      <c r="DB32" s="39">
        <f t="shared" si="61"/>
        <v>2052.1558116584156</v>
      </c>
      <c r="DC32" s="39">
        <f t="shared" si="61"/>
        <v>2054.3756206298567</v>
      </c>
      <c r="DD32" s="39">
        <f t="shared" si="61"/>
        <v>2056.6047071191729</v>
      </c>
      <c r="DE32" s="39">
        <f t="shared" si="61"/>
        <v>2058.8431099242589</v>
      </c>
      <c r="DF32" s="39">
        <f t="shared" si="61"/>
        <v>2061.0908680053726</v>
      </c>
      <c r="DG32" s="39">
        <f t="shared" si="61"/>
        <v>2063.3480204858206</v>
      </c>
      <c r="DH32" s="39">
        <f t="shared" si="61"/>
        <v>2065.6146066526353</v>
      </c>
      <c r="DI32" s="39">
        <f t="shared" si="61"/>
        <v>2067.8906659572667</v>
      </c>
      <c r="DJ32" s="39">
        <f t="shared" si="61"/>
        <v>2070.176238016265</v>
      </c>
      <c r="DK32" s="39">
        <f t="shared" si="61"/>
        <v>2072.4713626119769</v>
      </c>
      <c r="DL32" s="39">
        <f t="shared" si="61"/>
        <v>2074.776079693238</v>
      </c>
      <c r="DM32" s="39">
        <f t="shared" si="61"/>
        <v>2077.0904293760696</v>
      </c>
      <c r="DN32" s="39">
        <f t="shared" si="61"/>
        <v>2079.4144519443803</v>
      </c>
      <c r="DO32" s="39">
        <f t="shared" si="61"/>
        <v>2081.7481878506687</v>
      </c>
      <c r="DP32" s="39">
        <f t="shared" si="61"/>
        <v>2084.0916777167295</v>
      </c>
      <c r="DQ32" s="39">
        <f t="shared" si="61"/>
        <v>2086.4449623343626</v>
      </c>
      <c r="DR32" s="39">
        <f t="shared" si="61"/>
        <v>2088.8080826660853</v>
      </c>
      <c r="DS32" s="39">
        <f t="shared" si="61"/>
        <v>2091.1810798458464</v>
      </c>
      <c r="DT32" s="39">
        <f t="shared" si="61"/>
        <v>2093.5639951797466</v>
      </c>
      <c r="DU32" s="39">
        <f t="shared" si="61"/>
        <v>2095.9568701467579</v>
      </c>
      <c r="DV32" s="39">
        <f t="shared" si="61"/>
        <v>2098.3597463994474</v>
      </c>
      <c r="DW32" s="39">
        <f t="shared" si="61"/>
        <v>2100.7726657647058</v>
      </c>
      <c r="DX32" s="39">
        <f t="shared" si="61"/>
        <v>2103.1956702444754</v>
      </c>
      <c r="DY32" s="39">
        <f t="shared" si="61"/>
        <v>2105.6288020164861</v>
      </c>
      <c r="DZ32" s="39">
        <f t="shared" si="61"/>
        <v>2108.0721034349908</v>
      </c>
      <c r="EA32" s="39">
        <f t="shared" ref="EA32:GL32" si="62">EA26+EA28+EA29+EA30-EA31</f>
        <v>2110.5256170315033</v>
      </c>
      <c r="EB32" s="39">
        <f t="shared" si="62"/>
        <v>2112.9893855155424</v>
      </c>
      <c r="EC32" s="39">
        <f t="shared" si="62"/>
        <v>2115.4634517753766</v>
      </c>
      <c r="ED32" s="39">
        <f t="shared" si="62"/>
        <v>2117.9478588787756</v>
      </c>
      <c r="EE32" s="39">
        <f t="shared" si="62"/>
        <v>2120.4426500737568</v>
      </c>
      <c r="EF32" s="39">
        <f t="shared" si="62"/>
        <v>2122.9478687893456</v>
      </c>
      <c r="EG32" s="39">
        <f t="shared" si="62"/>
        <v>2125.4635586363306</v>
      </c>
      <c r="EH32" s="39">
        <f t="shared" si="62"/>
        <v>2127.9897634080271</v>
      </c>
      <c r="EI32" s="39">
        <f t="shared" si="62"/>
        <v>2130.5265270810391</v>
      </c>
      <c r="EJ32" s="39">
        <f t="shared" si="62"/>
        <v>2133.0738938160298</v>
      </c>
      <c r="EK32" s="39">
        <f t="shared" si="62"/>
        <v>2135.6319079584905</v>
      </c>
      <c r="EL32" s="39">
        <f t="shared" si="62"/>
        <v>2138.2006140395165</v>
      </c>
      <c r="EM32" s="39">
        <f t="shared" si="62"/>
        <v>2140.7800567765826</v>
      </c>
      <c r="EN32" s="39">
        <f t="shared" si="62"/>
        <v>2143.3702810743262</v>
      </c>
      <c r="EO32" s="39">
        <f t="shared" si="62"/>
        <v>2145.97133202533</v>
      </c>
      <c r="EP32" s="39">
        <f t="shared" si="62"/>
        <v>2148.5832549109086</v>
      </c>
      <c r="EQ32" s="39">
        <f t="shared" si="62"/>
        <v>2151.2060952019019</v>
      </c>
      <c r="ER32" s="39">
        <f t="shared" si="62"/>
        <v>2153.8398985594654</v>
      </c>
      <c r="ES32" s="39">
        <f t="shared" si="62"/>
        <v>2156.4847108358699</v>
      </c>
      <c r="ET32" s="39">
        <f t="shared" si="62"/>
        <v>2159.1405780753016</v>
      </c>
      <c r="EU32" s="39">
        <f t="shared" si="62"/>
        <v>2161.8075465146662</v>
      </c>
      <c r="EV32" s="39">
        <f t="shared" si="62"/>
        <v>2164.4856625843945</v>
      </c>
      <c r="EW32" s="39">
        <f t="shared" si="62"/>
        <v>2167.1749729092571</v>
      </c>
      <c r="EX32" s="39">
        <f t="shared" si="62"/>
        <v>2169.8755243091737</v>
      </c>
      <c r="EY32" s="39">
        <f t="shared" si="62"/>
        <v>2172.5873638000344</v>
      </c>
      <c r="EZ32" s="39">
        <f t="shared" si="62"/>
        <v>2175.3105385945178</v>
      </c>
      <c r="FA32" s="39">
        <f t="shared" si="62"/>
        <v>2178.0450961029192</v>
      </c>
      <c r="FB32" s="39">
        <f t="shared" si="62"/>
        <v>2180.7910839339729</v>
      </c>
      <c r="FC32" s="39">
        <f t="shared" si="62"/>
        <v>2183.5485498956896</v>
      </c>
      <c r="FD32" s="39">
        <f t="shared" si="62"/>
        <v>2186.3175419961872</v>
      </c>
      <c r="FE32" s="39">
        <f t="shared" si="62"/>
        <v>2189.0981084445298</v>
      </c>
      <c r="FF32" s="39">
        <f t="shared" si="62"/>
        <v>2191.8902976515706</v>
      </c>
      <c r="FG32" s="39">
        <f t="shared" si="62"/>
        <v>2194.6941582307973</v>
      </c>
      <c r="FH32" s="39">
        <f t="shared" si="62"/>
        <v>2197.5097389991793</v>
      </c>
      <c r="FI32" s="39">
        <f t="shared" si="62"/>
        <v>2200.3370889780217</v>
      </c>
      <c r="FJ32" s="39">
        <f t="shared" si="62"/>
        <v>2203.1762573938213</v>
      </c>
      <c r="FK32" s="39">
        <f t="shared" si="62"/>
        <v>2206.0272936791257</v>
      </c>
      <c r="FL32" s="39">
        <f t="shared" si="62"/>
        <v>2208.8902474733964</v>
      </c>
      <c r="FM32" s="39">
        <f t="shared" si="62"/>
        <v>2211.765168623876</v>
      </c>
      <c r="FN32" s="39">
        <f t="shared" si="62"/>
        <v>2214.6521071864599</v>
      </c>
      <c r="FO32" s="39">
        <f t="shared" si="62"/>
        <v>2217.551113426568</v>
      </c>
      <c r="FP32" s="39">
        <f t="shared" si="62"/>
        <v>2220.4622378200243</v>
      </c>
      <c r="FQ32" s="39">
        <f t="shared" si="62"/>
        <v>2223.3855310539379</v>
      </c>
      <c r="FR32" s="39">
        <f t="shared" si="62"/>
        <v>2226.321044027588</v>
      </c>
      <c r="FS32" s="39">
        <f t="shared" si="62"/>
        <v>2229.2688278533124</v>
      </c>
      <c r="FT32" s="39">
        <f t="shared" si="62"/>
        <v>2232.2289338574028</v>
      </c>
      <c r="FU32" s="39">
        <f t="shared" si="62"/>
        <v>2235.2014135809973</v>
      </c>
      <c r="FV32" s="39">
        <f t="shared" si="62"/>
        <v>2238.1863187809827</v>
      </c>
      <c r="FW32" s="39">
        <f t="shared" si="62"/>
        <v>2241.1837014308985</v>
      </c>
      <c r="FX32" s="39">
        <f t="shared" si="62"/>
        <v>2244.1936137218445</v>
      </c>
      <c r="FY32" s="39">
        <f t="shared" si="62"/>
        <v>2247.2161080633905</v>
      </c>
      <c r="FZ32" s="39">
        <f t="shared" si="62"/>
        <v>2250.2512370844956</v>
      </c>
      <c r="GA32" s="39">
        <f t="shared" si="62"/>
        <v>2253.2990536344232</v>
      </c>
      <c r="GB32" s="39">
        <f t="shared" si="62"/>
        <v>2256.3596107836652</v>
      </c>
      <c r="GC32" s="39">
        <f t="shared" si="62"/>
        <v>2259.4329618248721</v>
      </c>
      <c r="GD32" s="39">
        <f t="shared" si="62"/>
        <v>2262.5191602737787</v>
      </c>
      <c r="GE32" s="39">
        <f t="shared" si="62"/>
        <v>2265.6182598701425</v>
      </c>
      <c r="GF32" s="39">
        <f t="shared" si="62"/>
        <v>2268.7303145786809</v>
      </c>
      <c r="GG32" s="39">
        <f t="shared" si="62"/>
        <v>2271.855378590014</v>
      </c>
      <c r="GH32" s="39">
        <f t="shared" si="62"/>
        <v>2274.9935063216103</v>
      </c>
      <c r="GI32" s="39">
        <f t="shared" si="62"/>
        <v>2278.1447524187392</v>
      </c>
      <c r="GJ32" s="39">
        <f t="shared" si="62"/>
        <v>2281.3091717554239</v>
      </c>
      <c r="GK32" s="39">
        <f t="shared" si="62"/>
        <v>2284.4868194353994</v>
      </c>
      <c r="GL32" s="39">
        <f t="shared" si="62"/>
        <v>2287.6777507930769</v>
      </c>
      <c r="GM32" s="39">
        <f t="shared" ref="GM32:IX32" si="63">GM26+GM28+GM29+GM30-GM31</f>
        <v>2290.8820213945078</v>
      </c>
      <c r="GN32" s="39">
        <f t="shared" si="63"/>
        <v>2294.0996870383578</v>
      </c>
      <c r="GO32" s="39">
        <f t="shared" si="63"/>
        <v>2297.3308037568768</v>
      </c>
      <c r="GP32" s="39">
        <f t="shared" si="63"/>
        <v>2300.5754278168833</v>
      </c>
      <c r="GQ32" s="39">
        <f t="shared" si="63"/>
        <v>2303.8336157207414</v>
      </c>
      <c r="GR32" s="39">
        <f t="shared" si="63"/>
        <v>2307.1054242073519</v>
      </c>
      <c r="GS32" s="39">
        <f t="shared" si="63"/>
        <v>2310.3909102531429</v>
      </c>
      <c r="GT32" s="39">
        <f t="shared" si="63"/>
        <v>2313.6901310730623</v>
      </c>
      <c r="GU32" s="39">
        <f t="shared" si="63"/>
        <v>2317.0031441215815</v>
      </c>
      <c r="GV32" s="39">
        <f t="shared" si="63"/>
        <v>2320.3300070936943</v>
      </c>
      <c r="GW32" s="39">
        <f t="shared" si="63"/>
        <v>2323.6707779259295</v>
      </c>
      <c r="GX32" s="39">
        <f t="shared" si="63"/>
        <v>2327.0255147973594</v>
      </c>
      <c r="GY32" s="39">
        <f t="shared" si="63"/>
        <v>2330.3942761306171</v>
      </c>
      <c r="GZ32" s="39">
        <f t="shared" si="63"/>
        <v>2333.7771205929189</v>
      </c>
      <c r="HA32" s="39">
        <f t="shared" si="63"/>
        <v>2337.1741070970852</v>
      </c>
      <c r="HB32" s="39">
        <f t="shared" si="63"/>
        <v>2340.5852948025745</v>
      </c>
      <c r="HC32" s="39">
        <f t="shared" si="63"/>
        <v>2344.0107431165129</v>
      </c>
      <c r="HD32" s="39">
        <f t="shared" si="63"/>
        <v>2347.4505116947348</v>
      </c>
      <c r="HE32" s="39">
        <f t="shared" si="63"/>
        <v>2350.9046604428218</v>
      </c>
      <c r="HF32" s="39">
        <f t="shared" si="63"/>
        <v>2354.373249517153</v>
      </c>
      <c r="HG32" s="39">
        <f t="shared" si="63"/>
        <v>2357.8563393259528</v>
      </c>
      <c r="HH32" s="39">
        <f t="shared" si="63"/>
        <v>2361.3539905303492</v>
      </c>
      <c r="HI32" s="39">
        <f t="shared" si="63"/>
        <v>2364.8662640454295</v>
      </c>
      <c r="HJ32" s="39">
        <f t="shared" si="63"/>
        <v>2368.3932210413091</v>
      </c>
      <c r="HK32" s="39">
        <f t="shared" si="63"/>
        <v>2371.9349229441968</v>
      </c>
      <c r="HL32" s="39">
        <f t="shared" si="63"/>
        <v>2375.4914314374696</v>
      </c>
      <c r="HM32" s="39">
        <f t="shared" si="63"/>
        <v>2379.0628084627497</v>
      </c>
      <c r="HN32" s="39">
        <f t="shared" si="63"/>
        <v>2382.6491162209868</v>
      </c>
      <c r="HO32" s="39">
        <f t="shared" si="63"/>
        <v>2386.2504171735445</v>
      </c>
      <c r="HP32" s="39">
        <f t="shared" si="63"/>
        <v>2389.8667740432934</v>
      </c>
      <c r="HQ32" s="39">
        <f t="shared" si="63"/>
        <v>2393.4982498157037</v>
      </c>
      <c r="HR32" s="39">
        <f t="shared" si="63"/>
        <v>2397.1449077399488</v>
      </c>
      <c r="HS32" s="39">
        <f t="shared" si="63"/>
        <v>2400.8068113300083</v>
      </c>
      <c r="HT32" s="39">
        <f t="shared" si="63"/>
        <v>2404.4840243657791</v>
      </c>
      <c r="HU32" s="39">
        <f t="shared" si="63"/>
        <v>2408.1766108941883</v>
      </c>
      <c r="HV32" s="39">
        <f t="shared" si="63"/>
        <v>2411.8846352303149</v>
      </c>
      <c r="HW32" s="39">
        <f t="shared" si="63"/>
        <v>2415.6081619585084</v>
      </c>
      <c r="HX32" s="39">
        <f t="shared" si="63"/>
        <v>2419.3472559335232</v>
      </c>
      <c r="HY32" s="39">
        <f t="shared" si="63"/>
        <v>2423.1019822816484</v>
      </c>
      <c r="HZ32" s="39">
        <f t="shared" si="63"/>
        <v>2426.8724064018465</v>
      </c>
      <c r="IA32" s="39">
        <f t="shared" si="63"/>
        <v>2430.6585939668958</v>
      </c>
      <c r="IB32" s="39">
        <f t="shared" si="63"/>
        <v>2434.4606109245383</v>
      </c>
      <c r="IC32" s="39">
        <f t="shared" si="63"/>
        <v>2438.2785234986313</v>
      </c>
      <c r="ID32" s="39">
        <f t="shared" si="63"/>
        <v>2442.1123981903065</v>
      </c>
      <c r="IE32" s="39">
        <f t="shared" si="63"/>
        <v>2445.9623017791291</v>
      </c>
      <c r="IF32" s="39">
        <f t="shared" si="63"/>
        <v>2449.8283013242667</v>
      </c>
      <c r="IG32" s="39">
        <f t="shared" si="63"/>
        <v>2453.710464165662</v>
      </c>
      <c r="IH32" s="39">
        <f t="shared" si="63"/>
        <v>2457.6088579252055</v>
      </c>
      <c r="II32" s="39">
        <f t="shared" si="63"/>
        <v>2461.5235505079218</v>
      </c>
      <c r="IJ32" s="39">
        <f t="shared" si="63"/>
        <v>2465.4546101031528</v>
      </c>
      <c r="IK32" s="39">
        <f t="shared" si="63"/>
        <v>2469.4021051857521</v>
      </c>
      <c r="IL32" s="39">
        <f t="shared" si="63"/>
        <v>2473.3661045172776</v>
      </c>
      <c r="IM32" s="39">
        <f t="shared" si="63"/>
        <v>2477.3466771471976</v>
      </c>
      <c r="IN32" s="39">
        <f t="shared" si="63"/>
        <v>2481.3438924140946</v>
      </c>
      <c r="IO32" s="39">
        <f t="shared" si="63"/>
        <v>2485.357819946878</v>
      </c>
      <c r="IP32" s="39">
        <f t="shared" si="63"/>
        <v>2489.3885296660001</v>
      </c>
      <c r="IQ32" s="39">
        <f t="shared" si="63"/>
        <v>2493.4360917846784</v>
      </c>
      <c r="IR32" s="39">
        <f t="shared" si="63"/>
        <v>2497.5005768101241</v>
      </c>
      <c r="IS32" s="39">
        <f t="shared" si="63"/>
        <v>2501.5820555447708</v>
      </c>
      <c r="IT32" s="39">
        <f t="shared" si="63"/>
        <v>2505.680599087515</v>
      </c>
      <c r="IU32" s="39">
        <f t="shared" si="63"/>
        <v>2509.7962788349569</v>
      </c>
      <c r="IV32" s="39">
        <f t="shared" si="63"/>
        <v>2513.9291664826501</v>
      </c>
      <c r="IW32" s="39">
        <f t="shared" si="63"/>
        <v>2518.0793340263513</v>
      </c>
      <c r="IX32" s="39">
        <f t="shared" si="63"/>
        <v>2522.2468537632817</v>
      </c>
      <c r="IY32" s="39">
        <f t="shared" ref="IY32:LJ32" si="64">IY26+IY28+IY29+IY30-IY31</f>
        <v>2526.431798293389</v>
      </c>
      <c r="IZ32" s="39">
        <f t="shared" si="64"/>
        <v>2530.6342405206151</v>
      </c>
      <c r="JA32" s="39">
        <f t="shared" si="64"/>
        <v>2534.8542536541736</v>
      </c>
      <c r="JB32" s="39">
        <f t="shared" si="64"/>
        <v>2539.0919112098259</v>
      </c>
      <c r="JC32" s="39">
        <f t="shared" si="64"/>
        <v>2543.3472870111673</v>
      </c>
      <c r="JD32" s="39">
        <f t="shared" si="64"/>
        <v>2547.6204551909173</v>
      </c>
      <c r="JE32" s="39">
        <f t="shared" si="64"/>
        <v>2551.9114901922158</v>
      </c>
      <c r="JF32" s="39">
        <f t="shared" si="64"/>
        <v>2556.220466769923</v>
      </c>
      <c r="JG32" s="39">
        <f t="shared" si="64"/>
        <v>2560.5474599919276</v>
      </c>
      <c r="JH32" s="39">
        <f t="shared" si="64"/>
        <v>2564.892545240456</v>
      </c>
      <c r="JI32" s="39">
        <f t="shared" si="64"/>
        <v>2569.2557982133935</v>
      </c>
      <c r="JJ32" s="39">
        <f t="shared" si="64"/>
        <v>2573.6372949256033</v>
      </c>
      <c r="JK32" s="39">
        <f t="shared" si="64"/>
        <v>2578.0371117102595</v>
      </c>
      <c r="JL32" s="39">
        <f t="shared" si="64"/>
        <v>2582.4553252201772</v>
      </c>
      <c r="JM32" s="39">
        <f t="shared" si="64"/>
        <v>2586.8920124291562</v>
      </c>
      <c r="JN32" s="39">
        <f t="shared" si="64"/>
        <v>2591.3472506333214</v>
      </c>
      <c r="JO32" s="39">
        <f t="shared" si="64"/>
        <v>2595.8211174524795</v>
      </c>
      <c r="JP32" s="39">
        <f t="shared" si="64"/>
        <v>2600.3136908314723</v>
      </c>
      <c r="JQ32" s="39">
        <f t="shared" si="64"/>
        <v>2604.8250490415385</v>
      </c>
      <c r="JR32" s="39">
        <f t="shared" si="64"/>
        <v>2609.3552706816859</v>
      </c>
      <c r="JS32" s="39">
        <f t="shared" si="64"/>
        <v>2613.9044346800588</v>
      </c>
      <c r="JT32" s="39">
        <f t="shared" si="64"/>
        <v>2618.4726202953248</v>
      </c>
      <c r="JU32" s="39">
        <f t="shared" si="64"/>
        <v>2623.0599071180554</v>
      </c>
      <c r="JV32" s="39">
        <f t="shared" si="64"/>
        <v>2627.6663750721177</v>
      </c>
      <c r="JW32" s="39">
        <f t="shared" si="64"/>
        <v>2632.2921044160748</v>
      </c>
      <c r="JX32" s="39">
        <f t="shared" si="64"/>
        <v>2636.9371757445838</v>
      </c>
      <c r="JY32" s="39">
        <f t="shared" si="64"/>
        <v>2641.6016699898091</v>
      </c>
      <c r="JZ32" s="39">
        <f t="shared" si="64"/>
        <v>2646.2856684228345</v>
      </c>
      <c r="KA32" s="39">
        <f t="shared" si="64"/>
        <v>2650.9892526550848</v>
      </c>
      <c r="KB32" s="39">
        <f t="shared" si="64"/>
        <v>2655.7125046397528</v>
      </c>
      <c r="KC32" s="39">
        <f t="shared" si="64"/>
        <v>2660.4555066732296</v>
      </c>
      <c r="KD32" s="39">
        <f t="shared" si="64"/>
        <v>2665.2183413965467</v>
      </c>
      <c r="KE32" s="39">
        <f t="shared" si="64"/>
        <v>2670.0010917968184</v>
      </c>
      <c r="KF32" s="39">
        <f t="shared" si="64"/>
        <v>2674.8038412086939</v>
      </c>
      <c r="KG32" s="39">
        <f t="shared" si="64"/>
        <v>2679.6266733158122</v>
      </c>
      <c r="KH32" s="39">
        <f t="shared" si="64"/>
        <v>2684.4696721522682</v>
      </c>
      <c r="KI32" s="39">
        <f t="shared" si="64"/>
        <v>2689.3329221040776</v>
      </c>
      <c r="KJ32" s="39">
        <f t="shared" si="64"/>
        <v>2694.2165079106558</v>
      </c>
      <c r="KK32" s="39">
        <f t="shared" si="64"/>
        <v>2699.1205146662974</v>
      </c>
      <c r="KL32" s="39">
        <f t="shared" si="64"/>
        <v>2704.045027821664</v>
      </c>
      <c r="KM32" s="39">
        <f t="shared" si="64"/>
        <v>2708.9901331852793</v>
      </c>
      <c r="KN32" s="39">
        <f t="shared" si="64"/>
        <v>2713.9559169250288</v>
      </c>
      <c r="KO32" s="39">
        <f t="shared" si="64"/>
        <v>2718.9424655696639</v>
      </c>
      <c r="KP32" s="39">
        <f t="shared" si="64"/>
        <v>2723.9498660103204</v>
      </c>
      <c r="KQ32" s="39">
        <f t="shared" si="64"/>
        <v>2728.9782055020296</v>
      </c>
      <c r="KR32" s="39">
        <f t="shared" si="64"/>
        <v>2734.0275716652513</v>
      </c>
      <c r="KS32" s="39">
        <f t="shared" si="64"/>
        <v>2739.0980524874021</v>
      </c>
      <c r="KT32" s="39">
        <f t="shared" si="64"/>
        <v>2744.189736324392</v>
      </c>
      <c r="KU32" s="39">
        <f t="shared" si="64"/>
        <v>2749.3027119021745</v>
      </c>
      <c r="KV32" s="39">
        <f t="shared" si="64"/>
        <v>2754.4370683182938</v>
      </c>
      <c r="KW32" s="39">
        <f t="shared" si="64"/>
        <v>2759.5928950434431</v>
      </c>
      <c r="KX32" s="39">
        <f t="shared" si="64"/>
        <v>2764.7702819230294</v>
      </c>
      <c r="KY32" s="39">
        <f t="shared" si="64"/>
        <v>2769.9693191787464</v>
      </c>
      <c r="KZ32" s="39">
        <f t="shared" si="64"/>
        <v>2775.1900974101468</v>
      </c>
      <c r="LA32" s="39">
        <f t="shared" si="64"/>
        <v>2780.4327075962324</v>
      </c>
      <c r="LB32" s="39">
        <f t="shared" si="64"/>
        <v>2785.6972410970411</v>
      </c>
      <c r="LC32" s="39">
        <f t="shared" si="64"/>
        <v>2790.9837896552458</v>
      </c>
      <c r="LD32" s="39">
        <f t="shared" si="64"/>
        <v>2796.2924453977585</v>
      </c>
      <c r="LE32" s="39">
        <f t="shared" si="64"/>
        <v>2801.6233008373392</v>
      </c>
      <c r="LF32" s="39">
        <f t="shared" si="64"/>
        <v>2806.976448874218</v>
      </c>
      <c r="LG32" s="39">
        <f t="shared" si="64"/>
        <v>2812.3519827977138</v>
      </c>
      <c r="LH32" s="39">
        <f t="shared" si="64"/>
        <v>2817.7499962878701</v>
      </c>
      <c r="LI32" s="39">
        <f t="shared" si="64"/>
        <v>2823.1705834170916</v>
      </c>
      <c r="LJ32" s="39">
        <f t="shared" si="64"/>
        <v>2828.6138386517887</v>
      </c>
      <c r="LK32" s="39">
        <f t="shared" ref="LK32:MX32" si="65">LK26+LK28+LK29+LK30-LK31</f>
        <v>2834.0798568540299</v>
      </c>
      <c r="LL32" s="39">
        <f t="shared" si="65"/>
        <v>2839.5687332831985</v>
      </c>
      <c r="LM32" s="39">
        <f t="shared" si="65"/>
        <v>2845.0805635976653</v>
      </c>
      <c r="LN32" s="39">
        <f t="shared" si="65"/>
        <v>2850.6154438564504</v>
      </c>
      <c r="LO32" s="39">
        <f t="shared" si="65"/>
        <v>2856.1734705209133</v>
      </c>
      <c r="LP32" s="39">
        <f t="shared" si="65"/>
        <v>2861.7547404564339</v>
      </c>
      <c r="LQ32" s="39">
        <f t="shared" si="65"/>
        <v>2867.3593509341072</v>
      </c>
      <c r="LR32" s="39">
        <f t="shared" si="65"/>
        <v>2872.9873996324463</v>
      </c>
      <c r="LS32" s="39">
        <f t="shared" si="65"/>
        <v>2878.6389846390894</v>
      </c>
      <c r="LT32" s="39">
        <f t="shared" si="65"/>
        <v>2884.3142044525152</v>
      </c>
      <c r="LU32" s="39">
        <f t="shared" si="65"/>
        <v>2890.0131579837644</v>
      </c>
      <c r="LV32" s="39">
        <f t="shared" si="65"/>
        <v>2895.7359445581696</v>
      </c>
      <c r="LW32" s="39">
        <f t="shared" si="65"/>
        <v>2901.482663917096</v>
      </c>
      <c r="LX32" s="39">
        <f t="shared" si="65"/>
        <v>2907.2534162196821</v>
      </c>
      <c r="LY32" s="39">
        <f t="shared" si="65"/>
        <v>2913.0483020445899</v>
      </c>
      <c r="LZ32" s="39">
        <f t="shared" si="65"/>
        <v>2918.8674223917683</v>
      </c>
      <c r="MA32" s="39">
        <f t="shared" si="65"/>
        <v>2924.7108786842173</v>
      </c>
      <c r="MB32" s="39">
        <f t="shared" si="65"/>
        <v>2930.5787727697598</v>
      </c>
      <c r="MC32" s="39">
        <f t="shared" si="65"/>
        <v>2936.4712069228276</v>
      </c>
      <c r="MD32" s="39">
        <f t="shared" si="65"/>
        <v>2942.3882838462464</v>
      </c>
      <c r="ME32" s="39">
        <f t="shared" si="65"/>
        <v>2948.3301066730328</v>
      </c>
      <c r="MF32" s="39">
        <f t="shared" si="65"/>
        <v>2954.2967789681975</v>
      </c>
      <c r="MG32" s="39">
        <f t="shared" si="65"/>
        <v>2960.2884047305588</v>
      </c>
      <c r="MH32" s="39">
        <f t="shared" si="65"/>
        <v>2966.3050883945612</v>
      </c>
      <c r="MI32" s="39">
        <f t="shared" si="65"/>
        <v>2972.3469348320968</v>
      </c>
      <c r="MJ32" s="39">
        <f t="shared" si="65"/>
        <v>2978.4140493543505</v>
      </c>
      <c r="MK32" s="39">
        <f t="shared" si="65"/>
        <v>2984.5065377136279</v>
      </c>
      <c r="ML32" s="39">
        <f t="shared" si="65"/>
        <v>2990.6245061052177</v>
      </c>
      <c r="MM32" s="39">
        <f t="shared" si="65"/>
        <v>2996.7680611692417</v>
      </c>
      <c r="MN32" s="39">
        <f t="shared" si="65"/>
        <v>3002.9373099925228</v>
      </c>
      <c r="MO32" s="39">
        <f t="shared" si="65"/>
        <v>3009.132360110455</v>
      </c>
      <c r="MP32" s="39">
        <f t="shared" si="65"/>
        <v>3015.3533195088912</v>
      </c>
      <c r="MQ32" s="39">
        <f t="shared" si="65"/>
        <v>3021.6002966260248</v>
      </c>
      <c r="MR32" s="39">
        <f t="shared" si="65"/>
        <v>3027.8734003542886</v>
      </c>
      <c r="MS32" s="39">
        <f t="shared" si="65"/>
        <v>3034.1727400422615</v>
      </c>
      <c r="MT32" s="39">
        <f t="shared" si="65"/>
        <v>3040.4984254965811</v>
      </c>
      <c r="MU32" s="39">
        <f t="shared" si="65"/>
        <v>3046.8505669838614</v>
      </c>
      <c r="MV32" s="39">
        <f t="shared" si="65"/>
        <v>3053.2292752326234</v>
      </c>
      <c r="MW32" s="39">
        <f t="shared" si="65"/>
        <v>3059.6346614352342</v>
      </c>
      <c r="MX32" s="57">
        <f t="shared" si="65"/>
        <v>3066.0668372498485</v>
      </c>
      <c r="MY32" s="1"/>
      <c r="MZ32" s="1"/>
      <c r="NA32" s="1"/>
      <c r="NB32" s="1"/>
      <c r="NC32" s="1"/>
      <c r="ND32" s="1"/>
      <c r="NE32" s="1"/>
      <c r="NF32" s="13">
        <v>0.155</v>
      </c>
      <c r="NG32" s="1">
        <f>Combine!A34</f>
        <v>49504</v>
      </c>
      <c r="NH32" s="14">
        <f>Combine!F34</f>
        <v>237449.929711376</v>
      </c>
    </row>
    <row r="33" spans="1:372" ht="12.75" customHeight="1" x14ac:dyDescent="0.3">
      <c r="A33" s="9"/>
      <c r="B33" s="10"/>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c r="NA33" s="1"/>
      <c r="NB33" s="1"/>
      <c r="NC33" s="1"/>
      <c r="ND33" s="1"/>
      <c r="NE33" s="1"/>
      <c r="NF33" s="13">
        <v>0.16</v>
      </c>
      <c r="NG33" s="1">
        <f>Combine!A35</f>
        <v>48198</v>
      </c>
      <c r="NH33" s="14">
        <f>Combine!F35</f>
        <v>189350.57895318899</v>
      </c>
    </row>
    <row r="34" spans="1:372" ht="12.75" customHeight="1" x14ac:dyDescent="0.3">
      <c r="A34" s="26" t="s">
        <v>874</v>
      </c>
      <c r="B34" s="40"/>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c r="ES34" s="41"/>
      <c r="ET34" s="41"/>
      <c r="EU34" s="41"/>
      <c r="EV34" s="41"/>
      <c r="EW34" s="41"/>
      <c r="EX34" s="41"/>
      <c r="EY34" s="41"/>
      <c r="EZ34" s="41"/>
      <c r="FA34" s="41"/>
      <c r="FB34" s="41"/>
      <c r="FC34" s="41"/>
      <c r="FD34" s="41"/>
      <c r="FE34" s="41"/>
      <c r="FF34" s="41"/>
      <c r="FG34" s="41"/>
      <c r="FH34" s="41"/>
      <c r="FI34" s="41"/>
      <c r="FJ34" s="41"/>
      <c r="FK34" s="41"/>
      <c r="FL34" s="41"/>
      <c r="FM34" s="41"/>
      <c r="FN34" s="41"/>
      <c r="FO34" s="41"/>
      <c r="FP34" s="41"/>
      <c r="FQ34" s="41"/>
      <c r="FR34" s="41"/>
      <c r="FS34" s="41"/>
      <c r="FT34" s="41"/>
      <c r="FU34" s="41"/>
      <c r="FV34" s="41"/>
      <c r="FW34" s="41"/>
      <c r="FX34" s="41"/>
      <c r="FY34" s="41"/>
      <c r="FZ34" s="41"/>
      <c r="GA34" s="41"/>
      <c r="GB34" s="41"/>
      <c r="GC34" s="41"/>
      <c r="GD34" s="41"/>
      <c r="GE34" s="41"/>
      <c r="GF34" s="41"/>
      <c r="GG34" s="41"/>
      <c r="GH34" s="41"/>
      <c r="GI34" s="41"/>
      <c r="GJ34" s="41"/>
      <c r="GK34" s="41"/>
      <c r="GL34" s="41"/>
      <c r="GM34" s="41"/>
      <c r="GN34" s="41"/>
      <c r="GO34" s="41"/>
      <c r="GP34" s="41"/>
      <c r="GQ34" s="41"/>
      <c r="GR34" s="41"/>
      <c r="GS34" s="41"/>
      <c r="GT34" s="41"/>
      <c r="GU34" s="41"/>
      <c r="GV34" s="41"/>
      <c r="GW34" s="41"/>
      <c r="GX34" s="41"/>
      <c r="GY34" s="41"/>
      <c r="GZ34" s="41"/>
      <c r="HA34" s="41"/>
      <c r="HB34" s="41"/>
      <c r="HC34" s="41"/>
      <c r="HD34" s="41"/>
      <c r="HE34" s="41"/>
      <c r="HF34" s="41"/>
      <c r="HG34" s="41"/>
      <c r="HH34" s="41"/>
      <c r="HI34" s="41"/>
      <c r="HJ34" s="41"/>
      <c r="HK34" s="41"/>
      <c r="HL34" s="41"/>
      <c r="HM34" s="41"/>
      <c r="HN34" s="41"/>
      <c r="HO34" s="41"/>
      <c r="HP34" s="41"/>
      <c r="HQ34" s="41"/>
      <c r="HR34" s="41"/>
      <c r="HS34" s="41"/>
      <c r="HT34" s="41"/>
      <c r="HU34" s="41"/>
      <c r="HV34" s="41"/>
      <c r="HW34" s="41"/>
      <c r="HX34" s="41"/>
      <c r="HY34" s="41"/>
      <c r="HZ34" s="41"/>
      <c r="IA34" s="41"/>
      <c r="IB34" s="41"/>
      <c r="IC34" s="41"/>
      <c r="ID34" s="41"/>
      <c r="IE34" s="41"/>
      <c r="IF34" s="41"/>
      <c r="IG34" s="41"/>
      <c r="IH34" s="41"/>
      <c r="II34" s="41"/>
      <c r="IJ34" s="41"/>
      <c r="IK34" s="41"/>
      <c r="IL34" s="41"/>
      <c r="IM34" s="41"/>
      <c r="IN34" s="41"/>
      <c r="IO34" s="41"/>
      <c r="IP34" s="41"/>
      <c r="IQ34" s="41"/>
      <c r="IR34" s="41"/>
      <c r="IS34" s="41"/>
      <c r="IT34" s="41"/>
      <c r="IU34" s="41"/>
      <c r="IV34" s="41"/>
      <c r="IW34" s="41"/>
      <c r="IX34" s="41"/>
      <c r="IY34" s="41"/>
      <c r="IZ34" s="41"/>
      <c r="JA34" s="41"/>
      <c r="JB34" s="41"/>
      <c r="JC34" s="41"/>
      <c r="JD34" s="41"/>
      <c r="JE34" s="41"/>
      <c r="JF34" s="41"/>
      <c r="JG34" s="41"/>
      <c r="JH34" s="41"/>
      <c r="JI34" s="41"/>
      <c r="JJ34" s="41"/>
      <c r="JK34" s="41"/>
      <c r="JL34" s="41"/>
      <c r="JM34" s="41"/>
      <c r="JN34" s="41"/>
      <c r="JO34" s="41"/>
      <c r="JP34" s="41"/>
      <c r="JQ34" s="41"/>
      <c r="JR34" s="41"/>
      <c r="JS34" s="41"/>
      <c r="JT34" s="41"/>
      <c r="JU34" s="41"/>
      <c r="JV34" s="41"/>
      <c r="JW34" s="41"/>
      <c r="JX34" s="41"/>
      <c r="JY34" s="41"/>
      <c r="JZ34" s="41"/>
      <c r="KA34" s="41"/>
      <c r="KB34" s="41"/>
      <c r="KC34" s="41"/>
      <c r="KD34" s="41"/>
      <c r="KE34" s="41"/>
      <c r="KF34" s="41"/>
      <c r="KG34" s="41"/>
      <c r="KH34" s="41"/>
      <c r="KI34" s="41"/>
      <c r="KJ34" s="41"/>
      <c r="KK34" s="41"/>
      <c r="KL34" s="41"/>
      <c r="KM34" s="41"/>
      <c r="KN34" s="41"/>
      <c r="KO34" s="41"/>
      <c r="KP34" s="41"/>
      <c r="KQ34" s="41"/>
      <c r="KR34" s="41"/>
      <c r="KS34" s="41"/>
      <c r="KT34" s="41"/>
      <c r="KU34" s="41"/>
      <c r="KV34" s="41"/>
      <c r="KW34" s="41"/>
      <c r="KX34" s="41"/>
      <c r="KY34" s="41"/>
      <c r="KZ34" s="41"/>
      <c r="LA34" s="41"/>
      <c r="LB34" s="41"/>
      <c r="LC34" s="41"/>
      <c r="LD34" s="41"/>
      <c r="LE34" s="41"/>
      <c r="LF34" s="41"/>
      <c r="LG34" s="41"/>
      <c r="LH34" s="41"/>
      <c r="LI34" s="41"/>
      <c r="LJ34" s="41"/>
      <c r="LK34" s="41"/>
      <c r="LL34" s="41"/>
      <c r="LM34" s="41"/>
      <c r="LN34" s="41"/>
      <c r="LO34" s="41"/>
      <c r="LP34" s="41"/>
      <c r="LQ34" s="41"/>
      <c r="LR34" s="41"/>
      <c r="LS34" s="41"/>
      <c r="LT34" s="41"/>
      <c r="LU34" s="41"/>
      <c r="LV34" s="41"/>
      <c r="LW34" s="41"/>
      <c r="LX34" s="41"/>
      <c r="LY34" s="41"/>
      <c r="LZ34" s="41"/>
      <c r="MA34" s="41"/>
      <c r="MB34" s="41"/>
      <c r="MC34" s="41"/>
      <c r="MD34" s="41"/>
      <c r="ME34" s="41"/>
      <c r="MF34" s="41"/>
      <c r="MG34" s="41"/>
      <c r="MH34" s="41"/>
      <c r="MI34" s="41"/>
      <c r="MJ34" s="41"/>
      <c r="MK34" s="41"/>
      <c r="ML34" s="41"/>
      <c r="MM34" s="41"/>
      <c r="MN34" s="41"/>
      <c r="MO34" s="41"/>
      <c r="MP34" s="41"/>
      <c r="MQ34" s="41"/>
      <c r="MR34" s="41"/>
      <c r="MS34" s="41"/>
      <c r="MT34" s="41"/>
      <c r="MU34" s="41"/>
      <c r="MV34" s="41"/>
      <c r="MW34" s="41"/>
      <c r="MX34" s="41"/>
      <c r="MY34" s="1"/>
      <c r="MZ34" s="1"/>
      <c r="NA34" s="1"/>
      <c r="NB34" s="1"/>
      <c r="NC34" s="1"/>
      <c r="ND34" s="1"/>
      <c r="NE34" s="1"/>
      <c r="NF34" s="13">
        <v>0.16500000000000001</v>
      </c>
      <c r="NG34" s="1">
        <f>Combine!A36</f>
        <v>48105</v>
      </c>
      <c r="NH34" s="14">
        <f>Combine!F36</f>
        <v>516425.402275133</v>
      </c>
    </row>
    <row r="35" spans="1:372" ht="12.75" customHeight="1" x14ac:dyDescent="0.3">
      <c r="A35" s="28" t="s">
        <v>862</v>
      </c>
      <c r="B35" s="29">
        <v>0</v>
      </c>
      <c r="C35" s="30">
        <v>1</v>
      </c>
      <c r="D35" s="30">
        <v>2</v>
      </c>
      <c r="E35" s="30">
        <v>3</v>
      </c>
      <c r="F35" s="30">
        <v>4</v>
      </c>
      <c r="G35" s="30">
        <v>5</v>
      </c>
      <c r="H35" s="30">
        <v>6</v>
      </c>
      <c r="I35" s="30">
        <v>7</v>
      </c>
      <c r="J35" s="30">
        <v>8</v>
      </c>
      <c r="K35" s="30">
        <v>9</v>
      </c>
      <c r="L35" s="30">
        <v>10</v>
      </c>
      <c r="M35" s="30">
        <v>11</v>
      </c>
      <c r="N35" s="30">
        <v>12</v>
      </c>
      <c r="O35" s="30">
        <v>13</v>
      </c>
      <c r="P35" s="30">
        <v>14</v>
      </c>
      <c r="Q35" s="30">
        <v>15</v>
      </c>
      <c r="R35" s="30">
        <v>16</v>
      </c>
      <c r="S35" s="30">
        <v>17</v>
      </c>
      <c r="T35" s="30">
        <v>18</v>
      </c>
      <c r="U35" s="30">
        <v>19</v>
      </c>
      <c r="V35" s="30">
        <v>20</v>
      </c>
      <c r="W35" s="30">
        <v>21</v>
      </c>
      <c r="X35" s="30">
        <v>22</v>
      </c>
      <c r="Y35" s="30">
        <v>23</v>
      </c>
      <c r="Z35" s="30">
        <v>24</v>
      </c>
      <c r="AA35" s="30">
        <v>25</v>
      </c>
      <c r="AB35" s="30">
        <v>26</v>
      </c>
      <c r="AC35" s="30">
        <v>27</v>
      </c>
      <c r="AD35" s="30">
        <v>28</v>
      </c>
      <c r="AE35" s="30">
        <v>29</v>
      </c>
      <c r="AF35" s="30">
        <v>30</v>
      </c>
      <c r="AG35" s="30">
        <v>31</v>
      </c>
      <c r="AH35" s="30">
        <v>32</v>
      </c>
      <c r="AI35" s="30">
        <v>33</v>
      </c>
      <c r="AJ35" s="30">
        <v>34</v>
      </c>
      <c r="AK35" s="30">
        <v>35</v>
      </c>
      <c r="AL35" s="30">
        <v>36</v>
      </c>
      <c r="AM35" s="30">
        <v>37</v>
      </c>
      <c r="AN35" s="30">
        <v>38</v>
      </c>
      <c r="AO35" s="30">
        <v>39</v>
      </c>
      <c r="AP35" s="30">
        <v>40</v>
      </c>
      <c r="AQ35" s="30">
        <v>41</v>
      </c>
      <c r="AR35" s="30">
        <v>42</v>
      </c>
      <c r="AS35" s="30">
        <v>43</v>
      </c>
      <c r="AT35" s="30">
        <v>44</v>
      </c>
      <c r="AU35" s="30">
        <v>45</v>
      </c>
      <c r="AV35" s="30">
        <v>46</v>
      </c>
      <c r="AW35" s="30">
        <v>47</v>
      </c>
      <c r="AX35" s="30">
        <v>48</v>
      </c>
      <c r="AY35" s="30">
        <v>49</v>
      </c>
      <c r="AZ35" s="30">
        <v>50</v>
      </c>
      <c r="BA35" s="30">
        <v>51</v>
      </c>
      <c r="BB35" s="30">
        <v>52</v>
      </c>
      <c r="BC35" s="30">
        <v>53</v>
      </c>
      <c r="BD35" s="30">
        <v>54</v>
      </c>
      <c r="BE35" s="30">
        <v>55</v>
      </c>
      <c r="BF35" s="30">
        <v>56</v>
      </c>
      <c r="BG35" s="30">
        <v>57</v>
      </c>
      <c r="BH35" s="30">
        <v>58</v>
      </c>
      <c r="BI35" s="30">
        <v>59</v>
      </c>
      <c r="BJ35" s="30">
        <v>60</v>
      </c>
      <c r="BK35" s="30">
        <v>61</v>
      </c>
      <c r="BL35" s="30">
        <v>62</v>
      </c>
      <c r="BM35" s="30">
        <v>63</v>
      </c>
      <c r="BN35" s="30">
        <v>64</v>
      </c>
      <c r="BO35" s="30">
        <v>65</v>
      </c>
      <c r="BP35" s="30">
        <v>66</v>
      </c>
      <c r="BQ35" s="30">
        <v>67</v>
      </c>
      <c r="BR35" s="30">
        <v>68</v>
      </c>
      <c r="BS35" s="30">
        <v>69</v>
      </c>
      <c r="BT35" s="30">
        <v>70</v>
      </c>
      <c r="BU35" s="30">
        <v>71</v>
      </c>
      <c r="BV35" s="30">
        <v>72</v>
      </c>
      <c r="BW35" s="30">
        <v>73</v>
      </c>
      <c r="BX35" s="30">
        <v>74</v>
      </c>
      <c r="BY35" s="30">
        <v>75</v>
      </c>
      <c r="BZ35" s="30">
        <v>76</v>
      </c>
      <c r="CA35" s="30">
        <v>77</v>
      </c>
      <c r="CB35" s="30">
        <v>78</v>
      </c>
      <c r="CC35" s="30">
        <v>79</v>
      </c>
      <c r="CD35" s="30">
        <v>80</v>
      </c>
      <c r="CE35" s="30">
        <v>81</v>
      </c>
      <c r="CF35" s="30">
        <v>82</v>
      </c>
      <c r="CG35" s="30">
        <v>83</v>
      </c>
      <c r="CH35" s="30">
        <v>84</v>
      </c>
      <c r="CI35" s="30">
        <v>85</v>
      </c>
      <c r="CJ35" s="30">
        <v>86</v>
      </c>
      <c r="CK35" s="30">
        <v>87</v>
      </c>
      <c r="CL35" s="30">
        <v>88</v>
      </c>
      <c r="CM35" s="30">
        <v>89</v>
      </c>
      <c r="CN35" s="30">
        <v>90</v>
      </c>
      <c r="CO35" s="30">
        <v>91</v>
      </c>
      <c r="CP35" s="30">
        <v>92</v>
      </c>
      <c r="CQ35" s="30">
        <v>93</v>
      </c>
      <c r="CR35" s="30">
        <v>94</v>
      </c>
      <c r="CS35" s="30">
        <v>95</v>
      </c>
      <c r="CT35" s="30">
        <v>96</v>
      </c>
      <c r="CU35" s="30">
        <v>97</v>
      </c>
      <c r="CV35" s="30">
        <v>98</v>
      </c>
      <c r="CW35" s="30">
        <v>99</v>
      </c>
      <c r="CX35" s="30">
        <v>100</v>
      </c>
      <c r="CY35" s="30">
        <v>101</v>
      </c>
      <c r="CZ35" s="30">
        <v>102</v>
      </c>
      <c r="DA35" s="30">
        <v>103</v>
      </c>
      <c r="DB35" s="30">
        <v>104</v>
      </c>
      <c r="DC35" s="30">
        <v>105</v>
      </c>
      <c r="DD35" s="30">
        <v>106</v>
      </c>
      <c r="DE35" s="30">
        <v>107</v>
      </c>
      <c r="DF35" s="30">
        <v>108</v>
      </c>
      <c r="DG35" s="30">
        <v>109</v>
      </c>
      <c r="DH35" s="30">
        <v>110</v>
      </c>
      <c r="DI35" s="30">
        <v>111</v>
      </c>
      <c r="DJ35" s="30">
        <v>112</v>
      </c>
      <c r="DK35" s="30">
        <v>113</v>
      </c>
      <c r="DL35" s="30">
        <v>114</v>
      </c>
      <c r="DM35" s="30">
        <v>115</v>
      </c>
      <c r="DN35" s="30">
        <v>116</v>
      </c>
      <c r="DO35" s="30">
        <v>117</v>
      </c>
      <c r="DP35" s="30">
        <v>118</v>
      </c>
      <c r="DQ35" s="30">
        <v>119</v>
      </c>
      <c r="DR35" s="30">
        <v>120</v>
      </c>
      <c r="DS35" s="30">
        <v>121</v>
      </c>
      <c r="DT35" s="30">
        <v>122</v>
      </c>
      <c r="DU35" s="30">
        <v>123</v>
      </c>
      <c r="DV35" s="30">
        <v>124</v>
      </c>
      <c r="DW35" s="30">
        <v>125</v>
      </c>
      <c r="DX35" s="30">
        <v>126</v>
      </c>
      <c r="DY35" s="30">
        <v>127</v>
      </c>
      <c r="DZ35" s="30">
        <v>128</v>
      </c>
      <c r="EA35" s="30">
        <v>129</v>
      </c>
      <c r="EB35" s="30">
        <v>130</v>
      </c>
      <c r="EC35" s="30">
        <v>131</v>
      </c>
      <c r="ED35" s="30">
        <v>132</v>
      </c>
      <c r="EE35" s="30">
        <v>133</v>
      </c>
      <c r="EF35" s="30">
        <v>134</v>
      </c>
      <c r="EG35" s="30">
        <v>135</v>
      </c>
      <c r="EH35" s="30">
        <v>136</v>
      </c>
      <c r="EI35" s="30">
        <v>137</v>
      </c>
      <c r="EJ35" s="30">
        <v>138</v>
      </c>
      <c r="EK35" s="30">
        <v>139</v>
      </c>
      <c r="EL35" s="30">
        <v>140</v>
      </c>
      <c r="EM35" s="30">
        <v>141</v>
      </c>
      <c r="EN35" s="30">
        <v>142</v>
      </c>
      <c r="EO35" s="30">
        <v>143</v>
      </c>
      <c r="EP35" s="30">
        <v>144</v>
      </c>
      <c r="EQ35" s="30">
        <v>145</v>
      </c>
      <c r="ER35" s="30">
        <v>146</v>
      </c>
      <c r="ES35" s="30">
        <v>147</v>
      </c>
      <c r="ET35" s="30">
        <v>148</v>
      </c>
      <c r="EU35" s="30">
        <v>149</v>
      </c>
      <c r="EV35" s="30">
        <v>150</v>
      </c>
      <c r="EW35" s="30">
        <v>151</v>
      </c>
      <c r="EX35" s="30">
        <v>152</v>
      </c>
      <c r="EY35" s="30">
        <v>153</v>
      </c>
      <c r="EZ35" s="30">
        <v>154</v>
      </c>
      <c r="FA35" s="30">
        <v>155</v>
      </c>
      <c r="FB35" s="30">
        <v>156</v>
      </c>
      <c r="FC35" s="30">
        <v>157</v>
      </c>
      <c r="FD35" s="30">
        <v>158</v>
      </c>
      <c r="FE35" s="30">
        <v>159</v>
      </c>
      <c r="FF35" s="30">
        <v>160</v>
      </c>
      <c r="FG35" s="30">
        <v>161</v>
      </c>
      <c r="FH35" s="30">
        <v>162</v>
      </c>
      <c r="FI35" s="30">
        <v>163</v>
      </c>
      <c r="FJ35" s="30">
        <v>164</v>
      </c>
      <c r="FK35" s="30">
        <v>165</v>
      </c>
      <c r="FL35" s="30">
        <v>166</v>
      </c>
      <c r="FM35" s="30">
        <v>167</v>
      </c>
      <c r="FN35" s="30">
        <v>168</v>
      </c>
      <c r="FO35" s="30">
        <v>169</v>
      </c>
      <c r="FP35" s="30">
        <v>170</v>
      </c>
      <c r="FQ35" s="30">
        <v>171</v>
      </c>
      <c r="FR35" s="30">
        <v>172</v>
      </c>
      <c r="FS35" s="30">
        <v>173</v>
      </c>
      <c r="FT35" s="30">
        <v>174</v>
      </c>
      <c r="FU35" s="30">
        <v>175</v>
      </c>
      <c r="FV35" s="30">
        <v>176</v>
      </c>
      <c r="FW35" s="30">
        <v>177</v>
      </c>
      <c r="FX35" s="30">
        <v>178</v>
      </c>
      <c r="FY35" s="30">
        <v>179</v>
      </c>
      <c r="FZ35" s="30">
        <v>180</v>
      </c>
      <c r="GA35" s="30">
        <v>181</v>
      </c>
      <c r="GB35" s="30">
        <v>182</v>
      </c>
      <c r="GC35" s="30">
        <v>183</v>
      </c>
      <c r="GD35" s="30">
        <v>184</v>
      </c>
      <c r="GE35" s="30">
        <v>185</v>
      </c>
      <c r="GF35" s="30">
        <v>186</v>
      </c>
      <c r="GG35" s="30">
        <v>187</v>
      </c>
      <c r="GH35" s="30">
        <v>188</v>
      </c>
      <c r="GI35" s="30">
        <v>189</v>
      </c>
      <c r="GJ35" s="30">
        <v>190</v>
      </c>
      <c r="GK35" s="30">
        <v>191</v>
      </c>
      <c r="GL35" s="30">
        <v>192</v>
      </c>
      <c r="GM35" s="30">
        <v>193</v>
      </c>
      <c r="GN35" s="30">
        <v>194</v>
      </c>
      <c r="GO35" s="30">
        <v>195</v>
      </c>
      <c r="GP35" s="30">
        <v>196</v>
      </c>
      <c r="GQ35" s="30">
        <v>197</v>
      </c>
      <c r="GR35" s="30">
        <v>198</v>
      </c>
      <c r="GS35" s="30">
        <v>199</v>
      </c>
      <c r="GT35" s="30">
        <v>200</v>
      </c>
      <c r="GU35" s="30">
        <v>201</v>
      </c>
      <c r="GV35" s="30">
        <v>202</v>
      </c>
      <c r="GW35" s="30">
        <v>203</v>
      </c>
      <c r="GX35" s="30">
        <v>204</v>
      </c>
      <c r="GY35" s="30">
        <v>205</v>
      </c>
      <c r="GZ35" s="30">
        <v>206</v>
      </c>
      <c r="HA35" s="30">
        <v>207</v>
      </c>
      <c r="HB35" s="30">
        <v>208</v>
      </c>
      <c r="HC35" s="30">
        <v>209</v>
      </c>
      <c r="HD35" s="30">
        <v>210</v>
      </c>
      <c r="HE35" s="30">
        <v>211</v>
      </c>
      <c r="HF35" s="30">
        <v>212</v>
      </c>
      <c r="HG35" s="30">
        <v>213</v>
      </c>
      <c r="HH35" s="30">
        <v>214</v>
      </c>
      <c r="HI35" s="30">
        <v>215</v>
      </c>
      <c r="HJ35" s="30">
        <v>216</v>
      </c>
      <c r="HK35" s="30">
        <v>217</v>
      </c>
      <c r="HL35" s="30">
        <v>218</v>
      </c>
      <c r="HM35" s="30">
        <v>219</v>
      </c>
      <c r="HN35" s="30">
        <v>220</v>
      </c>
      <c r="HO35" s="30">
        <v>221</v>
      </c>
      <c r="HP35" s="30">
        <v>222</v>
      </c>
      <c r="HQ35" s="30">
        <v>223</v>
      </c>
      <c r="HR35" s="30">
        <v>224</v>
      </c>
      <c r="HS35" s="30">
        <v>225</v>
      </c>
      <c r="HT35" s="30">
        <v>226</v>
      </c>
      <c r="HU35" s="30">
        <v>227</v>
      </c>
      <c r="HV35" s="30">
        <v>228</v>
      </c>
      <c r="HW35" s="30">
        <v>229</v>
      </c>
      <c r="HX35" s="30">
        <v>230</v>
      </c>
      <c r="HY35" s="30">
        <v>231</v>
      </c>
      <c r="HZ35" s="30">
        <v>232</v>
      </c>
      <c r="IA35" s="30">
        <v>233</v>
      </c>
      <c r="IB35" s="30">
        <v>234</v>
      </c>
      <c r="IC35" s="30">
        <v>235</v>
      </c>
      <c r="ID35" s="30">
        <v>236</v>
      </c>
      <c r="IE35" s="30">
        <v>237</v>
      </c>
      <c r="IF35" s="30">
        <v>238</v>
      </c>
      <c r="IG35" s="30">
        <v>239</v>
      </c>
      <c r="IH35" s="30">
        <v>240</v>
      </c>
      <c r="II35" s="30">
        <v>241</v>
      </c>
      <c r="IJ35" s="30">
        <v>242</v>
      </c>
      <c r="IK35" s="30">
        <v>243</v>
      </c>
      <c r="IL35" s="30">
        <v>244</v>
      </c>
      <c r="IM35" s="30">
        <v>245</v>
      </c>
      <c r="IN35" s="30">
        <v>246</v>
      </c>
      <c r="IO35" s="30">
        <v>247</v>
      </c>
      <c r="IP35" s="30">
        <v>248</v>
      </c>
      <c r="IQ35" s="30">
        <v>249</v>
      </c>
      <c r="IR35" s="30">
        <v>250</v>
      </c>
      <c r="IS35" s="30">
        <v>251</v>
      </c>
      <c r="IT35" s="30">
        <v>252</v>
      </c>
      <c r="IU35" s="30">
        <v>253</v>
      </c>
      <c r="IV35" s="30">
        <v>254</v>
      </c>
      <c r="IW35" s="30">
        <v>255</v>
      </c>
      <c r="IX35" s="30">
        <v>256</v>
      </c>
      <c r="IY35" s="30">
        <v>257</v>
      </c>
      <c r="IZ35" s="30">
        <v>258</v>
      </c>
      <c r="JA35" s="30">
        <v>259</v>
      </c>
      <c r="JB35" s="30">
        <v>260</v>
      </c>
      <c r="JC35" s="30">
        <v>261</v>
      </c>
      <c r="JD35" s="30">
        <v>262</v>
      </c>
      <c r="JE35" s="30">
        <v>263</v>
      </c>
      <c r="JF35" s="30">
        <v>264</v>
      </c>
      <c r="JG35" s="30">
        <v>265</v>
      </c>
      <c r="JH35" s="30">
        <v>266</v>
      </c>
      <c r="JI35" s="30">
        <v>267</v>
      </c>
      <c r="JJ35" s="30">
        <v>268</v>
      </c>
      <c r="JK35" s="30">
        <v>269</v>
      </c>
      <c r="JL35" s="30">
        <v>270</v>
      </c>
      <c r="JM35" s="30">
        <v>271</v>
      </c>
      <c r="JN35" s="30">
        <v>272</v>
      </c>
      <c r="JO35" s="30">
        <v>273</v>
      </c>
      <c r="JP35" s="30">
        <v>274</v>
      </c>
      <c r="JQ35" s="30">
        <v>275</v>
      </c>
      <c r="JR35" s="30">
        <v>276</v>
      </c>
      <c r="JS35" s="30">
        <v>277</v>
      </c>
      <c r="JT35" s="30">
        <v>278</v>
      </c>
      <c r="JU35" s="30">
        <v>279</v>
      </c>
      <c r="JV35" s="30">
        <v>280</v>
      </c>
      <c r="JW35" s="30">
        <v>281</v>
      </c>
      <c r="JX35" s="30">
        <v>282</v>
      </c>
      <c r="JY35" s="30">
        <v>283</v>
      </c>
      <c r="JZ35" s="30">
        <v>284</v>
      </c>
      <c r="KA35" s="30">
        <v>285</v>
      </c>
      <c r="KB35" s="30">
        <v>286</v>
      </c>
      <c r="KC35" s="30">
        <v>287</v>
      </c>
      <c r="KD35" s="30">
        <v>288</v>
      </c>
      <c r="KE35" s="30">
        <v>289</v>
      </c>
      <c r="KF35" s="30">
        <v>290</v>
      </c>
      <c r="KG35" s="30">
        <v>291</v>
      </c>
      <c r="KH35" s="30">
        <v>292</v>
      </c>
      <c r="KI35" s="30">
        <v>293</v>
      </c>
      <c r="KJ35" s="30">
        <v>294</v>
      </c>
      <c r="KK35" s="30">
        <v>295</v>
      </c>
      <c r="KL35" s="30">
        <v>296</v>
      </c>
      <c r="KM35" s="30">
        <v>297</v>
      </c>
      <c r="KN35" s="30">
        <v>298</v>
      </c>
      <c r="KO35" s="30">
        <v>299</v>
      </c>
      <c r="KP35" s="30">
        <v>300</v>
      </c>
      <c r="KQ35" s="30">
        <v>301</v>
      </c>
      <c r="KR35" s="30">
        <v>302</v>
      </c>
      <c r="KS35" s="30">
        <v>303</v>
      </c>
      <c r="KT35" s="30">
        <v>304</v>
      </c>
      <c r="KU35" s="30">
        <v>305</v>
      </c>
      <c r="KV35" s="30">
        <v>306</v>
      </c>
      <c r="KW35" s="30">
        <v>307</v>
      </c>
      <c r="KX35" s="30">
        <v>308</v>
      </c>
      <c r="KY35" s="30">
        <v>309</v>
      </c>
      <c r="KZ35" s="30">
        <v>310</v>
      </c>
      <c r="LA35" s="30">
        <v>311</v>
      </c>
      <c r="LB35" s="30">
        <v>312</v>
      </c>
      <c r="LC35" s="30">
        <v>313</v>
      </c>
      <c r="LD35" s="30">
        <v>314</v>
      </c>
      <c r="LE35" s="30">
        <v>315</v>
      </c>
      <c r="LF35" s="30">
        <v>316</v>
      </c>
      <c r="LG35" s="30">
        <v>317</v>
      </c>
      <c r="LH35" s="30">
        <v>318</v>
      </c>
      <c r="LI35" s="30">
        <v>319</v>
      </c>
      <c r="LJ35" s="30">
        <v>320</v>
      </c>
      <c r="LK35" s="30">
        <v>321</v>
      </c>
      <c r="LL35" s="30">
        <v>322</v>
      </c>
      <c r="LM35" s="30">
        <v>323</v>
      </c>
      <c r="LN35" s="30">
        <v>324</v>
      </c>
      <c r="LO35" s="30">
        <v>325</v>
      </c>
      <c r="LP35" s="30">
        <v>326</v>
      </c>
      <c r="LQ35" s="30">
        <v>327</v>
      </c>
      <c r="LR35" s="30">
        <v>328</v>
      </c>
      <c r="LS35" s="30">
        <v>329</v>
      </c>
      <c r="LT35" s="30">
        <v>330</v>
      </c>
      <c r="LU35" s="30">
        <v>331</v>
      </c>
      <c r="LV35" s="30">
        <v>332</v>
      </c>
      <c r="LW35" s="30">
        <v>333</v>
      </c>
      <c r="LX35" s="30">
        <v>334</v>
      </c>
      <c r="LY35" s="30">
        <v>335</v>
      </c>
      <c r="LZ35" s="30">
        <v>336</v>
      </c>
      <c r="MA35" s="30">
        <v>337</v>
      </c>
      <c r="MB35" s="30">
        <v>338</v>
      </c>
      <c r="MC35" s="30">
        <v>339</v>
      </c>
      <c r="MD35" s="30">
        <v>340</v>
      </c>
      <c r="ME35" s="30">
        <v>341</v>
      </c>
      <c r="MF35" s="30">
        <v>342</v>
      </c>
      <c r="MG35" s="30">
        <v>343</v>
      </c>
      <c r="MH35" s="30">
        <v>344</v>
      </c>
      <c r="MI35" s="30">
        <v>345</v>
      </c>
      <c r="MJ35" s="30">
        <v>346</v>
      </c>
      <c r="MK35" s="30">
        <v>347</v>
      </c>
      <c r="ML35" s="30">
        <v>348</v>
      </c>
      <c r="MM35" s="30">
        <v>349</v>
      </c>
      <c r="MN35" s="30">
        <v>350</v>
      </c>
      <c r="MO35" s="30">
        <v>351</v>
      </c>
      <c r="MP35" s="30">
        <v>352</v>
      </c>
      <c r="MQ35" s="30">
        <v>353</v>
      </c>
      <c r="MR35" s="30">
        <v>354</v>
      </c>
      <c r="MS35" s="30">
        <v>355</v>
      </c>
      <c r="MT35" s="30">
        <v>356</v>
      </c>
      <c r="MU35" s="30">
        <v>357</v>
      </c>
      <c r="MV35" s="30">
        <v>358</v>
      </c>
      <c r="MW35" s="30">
        <v>359</v>
      </c>
      <c r="MX35" s="54">
        <v>360</v>
      </c>
      <c r="MY35" s="1"/>
      <c r="MZ35" s="1"/>
      <c r="NA35" s="1"/>
      <c r="NB35" s="1"/>
      <c r="NC35" s="1"/>
      <c r="ND35" s="1"/>
      <c r="NE35" s="1"/>
      <c r="NF35" s="13">
        <v>0.17</v>
      </c>
      <c r="NG35" s="1">
        <f>Combine!A37</f>
        <v>49507</v>
      </c>
      <c r="NH35" s="14">
        <f>Combine!F37</f>
        <v>192020.518194576</v>
      </c>
    </row>
    <row r="36" spans="1:372" ht="15.75" customHeight="1" x14ac:dyDescent="0.3">
      <c r="A36" s="31" t="s">
        <v>885</v>
      </c>
      <c r="B36" s="32"/>
      <c r="C36" s="33">
        <f t="shared" ref="C36:BN36" si="66">C32</f>
        <v>1866.6722253697699</v>
      </c>
      <c r="D36" s="33">
        <f t="shared" si="66"/>
        <v>1868.116911149818</v>
      </c>
      <c r="E36" s="33">
        <f t="shared" si="66"/>
        <v>1869.5676333932015</v>
      </c>
      <c r="F36" s="33">
        <f t="shared" si="66"/>
        <v>1871.0244173365472</v>
      </c>
      <c r="G36" s="33">
        <f t="shared" si="66"/>
        <v>1872.487288322058</v>
      </c>
      <c r="H36" s="33">
        <f t="shared" si="66"/>
        <v>1873.9562717979552</v>
      </c>
      <c r="I36" s="33">
        <f t="shared" si="66"/>
        <v>1875.4313933189214</v>
      </c>
      <c r="J36" s="33">
        <f t="shared" si="66"/>
        <v>1876.9126785465478</v>
      </c>
      <c r="K36" s="33">
        <f t="shared" si="66"/>
        <v>1878.40015324978</v>
      </c>
      <c r="L36" s="33">
        <f t="shared" si="66"/>
        <v>1879.8938433053688</v>
      </c>
      <c r="M36" s="33">
        <f t="shared" si="66"/>
        <v>1881.3937746983215</v>
      </c>
      <c r="N36" s="33">
        <f t="shared" si="66"/>
        <v>1882.8999735223545</v>
      </c>
      <c r="O36" s="33">
        <f t="shared" si="66"/>
        <v>1884.4124659803481</v>
      </c>
      <c r="P36" s="33">
        <f t="shared" si="66"/>
        <v>1885.9312783848052</v>
      </c>
      <c r="Q36" s="33">
        <f t="shared" si="66"/>
        <v>1887.4564371583087</v>
      </c>
      <c r="R36" s="33">
        <f t="shared" si="66"/>
        <v>1888.9879688339831</v>
      </c>
      <c r="S36" s="33">
        <f t="shared" si="66"/>
        <v>1890.5259000559574</v>
      </c>
      <c r="T36" s="33">
        <f t="shared" si="66"/>
        <v>1892.0702575798293</v>
      </c>
      <c r="U36" s="33">
        <f t="shared" si="66"/>
        <v>1893.6210682731321</v>
      </c>
      <c r="V36" s="33">
        <f t="shared" si="66"/>
        <v>1895.1783591158044</v>
      </c>
      <c r="W36" s="33">
        <f t="shared" si="66"/>
        <v>1896.742157200659</v>
      </c>
      <c r="X36" s="33">
        <f t="shared" si="66"/>
        <v>1898.3124897338564</v>
      </c>
      <c r="Y36" s="33">
        <f t="shared" si="66"/>
        <v>1899.8893840353803</v>
      </c>
      <c r="Z36" s="33">
        <f t="shared" si="66"/>
        <v>1901.472867539512</v>
      </c>
      <c r="AA36" s="33">
        <f t="shared" si="66"/>
        <v>1903.0629677953114</v>
      </c>
      <c r="AB36" s="33">
        <f t="shared" si="66"/>
        <v>1904.6597124670952</v>
      </c>
      <c r="AC36" s="33">
        <f t="shared" si="66"/>
        <v>1906.2631293349214</v>
      </c>
      <c r="AD36" s="33">
        <f t="shared" si="66"/>
        <v>1907.8732462950732</v>
      </c>
      <c r="AE36" s="33">
        <f t="shared" si="66"/>
        <v>1909.4900913605454</v>
      </c>
      <c r="AF36" s="33">
        <f t="shared" si="66"/>
        <v>1911.1136926615334</v>
      </c>
      <c r="AG36" s="33">
        <f t="shared" si="66"/>
        <v>1912.7440784459241</v>
      </c>
      <c r="AH36" s="33">
        <f t="shared" si="66"/>
        <v>1914.3812770797879</v>
      </c>
      <c r="AI36" s="33">
        <f t="shared" si="66"/>
        <v>1916.025317047875</v>
      </c>
      <c r="AJ36" s="33">
        <f t="shared" si="66"/>
        <v>1917.6762269541105</v>
      </c>
      <c r="AK36" s="33">
        <f t="shared" si="66"/>
        <v>1919.3340355220946</v>
      </c>
      <c r="AL36" s="33">
        <f t="shared" si="66"/>
        <v>1920.9987715956042</v>
      </c>
      <c r="AM36" s="33">
        <f t="shared" si="66"/>
        <v>1922.6704641390943</v>
      </c>
      <c r="AN36" s="33">
        <f t="shared" si="66"/>
        <v>1924.3491422382049</v>
      </c>
      <c r="AO36" s="33">
        <f t="shared" si="66"/>
        <v>1926.0348351002681</v>
      </c>
      <c r="AP36" s="33">
        <f t="shared" si="66"/>
        <v>1927.7275720548171</v>
      </c>
      <c r="AQ36" s="33">
        <f t="shared" si="66"/>
        <v>1929.4273825540984</v>
      </c>
      <c r="AR36" s="33">
        <f t="shared" si="66"/>
        <v>1931.1342961735854</v>
      </c>
      <c r="AS36" s="33">
        <f t="shared" si="66"/>
        <v>1932.8483426124947</v>
      </c>
      <c r="AT36" s="33">
        <f t="shared" si="66"/>
        <v>1934.5695516943042</v>
      </c>
      <c r="AU36" s="33">
        <f t="shared" si="66"/>
        <v>1936.2979533672724</v>
      </c>
      <c r="AV36" s="33">
        <f t="shared" si="66"/>
        <v>1938.0335777049629</v>
      </c>
      <c r="AW36" s="33">
        <f t="shared" si="66"/>
        <v>1939.776454906767</v>
      </c>
      <c r="AX36" s="33">
        <f t="shared" si="66"/>
        <v>1941.5266152984323</v>
      </c>
      <c r="AY36" s="33">
        <f t="shared" si="66"/>
        <v>1943.2840893325911</v>
      </c>
      <c r="AZ36" s="33">
        <f t="shared" si="66"/>
        <v>1945.048907589291</v>
      </c>
      <c r="BA36" s="33">
        <f t="shared" si="66"/>
        <v>1946.8211007765299</v>
      </c>
      <c r="BB36" s="33">
        <f t="shared" si="66"/>
        <v>1948.6006997307904</v>
      </c>
      <c r="BC36" s="33">
        <f t="shared" si="66"/>
        <v>1950.3877354175788</v>
      </c>
      <c r="BD36" s="33">
        <f t="shared" si="66"/>
        <v>1952.1822389319657</v>
      </c>
      <c r="BE36" s="33">
        <f t="shared" si="66"/>
        <v>1953.9842414991265</v>
      </c>
      <c r="BF36" s="33">
        <f t="shared" si="66"/>
        <v>1955.7937744748886</v>
      </c>
      <c r="BG36" s="33">
        <f t="shared" si="66"/>
        <v>1957.6108693462777</v>
      </c>
      <c r="BH36" s="33">
        <f t="shared" si="66"/>
        <v>1959.4355577320664</v>
      </c>
      <c r="BI36" s="33">
        <f t="shared" si="66"/>
        <v>1961.267871383327</v>
      </c>
      <c r="BJ36" s="33">
        <f t="shared" si="66"/>
        <v>1963.107842183985</v>
      </c>
      <c r="BK36" s="33">
        <f t="shared" si="66"/>
        <v>1964.9555021513752</v>
      </c>
      <c r="BL36" s="33">
        <f t="shared" si="66"/>
        <v>1966.8108834368013</v>
      </c>
      <c r="BM36" s="33">
        <f t="shared" si="66"/>
        <v>1968.6740183260958</v>
      </c>
      <c r="BN36" s="33">
        <f t="shared" si="66"/>
        <v>1970.544939240184</v>
      </c>
      <c r="BO36" s="33">
        <f t="shared" ref="BO36:DZ36" si="67">BO32</f>
        <v>1972.4236787356501</v>
      </c>
      <c r="BP36" s="33">
        <f t="shared" si="67"/>
        <v>1974.3102695053037</v>
      </c>
      <c r="BQ36" s="33">
        <f t="shared" si="67"/>
        <v>1976.2047443787524</v>
      </c>
      <c r="BR36" s="33">
        <f t="shared" si="67"/>
        <v>1978.107136322973</v>
      </c>
      <c r="BS36" s="33">
        <f t="shared" si="67"/>
        <v>1980.0174784428882</v>
      </c>
      <c r="BT36" s="33">
        <f t="shared" si="67"/>
        <v>1981.9358039819426</v>
      </c>
      <c r="BU36" s="33">
        <f t="shared" si="67"/>
        <v>1983.8621463226843</v>
      </c>
      <c r="BV36" s="33">
        <f t="shared" si="67"/>
        <v>1985.7965389873468</v>
      </c>
      <c r="BW36" s="33">
        <f t="shared" si="67"/>
        <v>1987.7390156384338</v>
      </c>
      <c r="BX36" s="33">
        <f t="shared" si="67"/>
        <v>1989.6896100793072</v>
      </c>
      <c r="BY36" s="33">
        <f t="shared" si="67"/>
        <v>1991.648356254776</v>
      </c>
      <c r="BZ36" s="33">
        <f t="shared" si="67"/>
        <v>1993.6152882516903</v>
      </c>
      <c r="CA36" s="33">
        <f t="shared" si="67"/>
        <v>1995.5904402995345</v>
      </c>
      <c r="CB36" s="33">
        <f t="shared" si="67"/>
        <v>1997.5738467710255</v>
      </c>
      <c r="CC36" s="33">
        <f t="shared" si="67"/>
        <v>1999.5655421827123</v>
      </c>
      <c r="CD36" s="33">
        <f t="shared" si="67"/>
        <v>2001.565561195579</v>
      </c>
      <c r="CE36" s="33">
        <f t="shared" si="67"/>
        <v>2003.5739386156483</v>
      </c>
      <c r="CF36" s="33">
        <f t="shared" si="67"/>
        <v>2005.59070939459</v>
      </c>
      <c r="CG36" s="33">
        <f t="shared" si="67"/>
        <v>2007.6159086303312</v>
      </c>
      <c r="CH36" s="33">
        <f t="shared" si="67"/>
        <v>2009.6495715676679</v>
      </c>
      <c r="CI36" s="33">
        <f t="shared" si="67"/>
        <v>2011.6917335988803</v>
      </c>
      <c r="CJ36" s="33">
        <f t="shared" si="67"/>
        <v>2013.7424302643515</v>
      </c>
      <c r="CK36" s="33">
        <f t="shared" si="67"/>
        <v>2015.8016972531866</v>
      </c>
      <c r="CL36" s="33">
        <f t="shared" si="67"/>
        <v>2017.8695704038355</v>
      </c>
      <c r="CM36" s="33">
        <f t="shared" si="67"/>
        <v>2019.9460857047191</v>
      </c>
      <c r="CN36" s="33">
        <f t="shared" si="67"/>
        <v>2022.0312792948582</v>
      </c>
      <c r="CO36" s="33">
        <f t="shared" si="67"/>
        <v>2024.1251874645011</v>
      </c>
      <c r="CP36" s="33">
        <f t="shared" si="67"/>
        <v>2026.2278466557607</v>
      </c>
      <c r="CQ36" s="33">
        <f t="shared" si="67"/>
        <v>2028.3392934632484</v>
      </c>
      <c r="CR36" s="33">
        <f t="shared" si="67"/>
        <v>2030.4595646347127</v>
      </c>
      <c r="CS36" s="33">
        <f t="shared" si="67"/>
        <v>2032.5886970716824</v>
      </c>
      <c r="CT36" s="33">
        <f t="shared" si="67"/>
        <v>2034.7267278301072</v>
      </c>
      <c r="CU36" s="33">
        <f t="shared" si="67"/>
        <v>2036.8736941210091</v>
      </c>
      <c r="CV36" s="33">
        <f t="shared" si="67"/>
        <v>2039.029633311128</v>
      </c>
      <c r="CW36" s="33">
        <f t="shared" si="67"/>
        <v>2041.1945829235754</v>
      </c>
      <c r="CX36" s="33">
        <f t="shared" si="67"/>
        <v>2043.3685806384901</v>
      </c>
      <c r="CY36" s="33">
        <f t="shared" si="67"/>
        <v>2045.5516642936939</v>
      </c>
      <c r="CZ36" s="33">
        <f t="shared" si="67"/>
        <v>2047.7438718853541</v>
      </c>
      <c r="DA36" s="33">
        <f t="shared" si="67"/>
        <v>2049.9452415686455</v>
      </c>
      <c r="DB36" s="33">
        <f t="shared" si="67"/>
        <v>2052.1558116584156</v>
      </c>
      <c r="DC36" s="33">
        <f t="shared" si="67"/>
        <v>2054.3756206298567</v>
      </c>
      <c r="DD36" s="33">
        <f t="shared" si="67"/>
        <v>2056.6047071191729</v>
      </c>
      <c r="DE36" s="33">
        <f t="shared" si="67"/>
        <v>2058.8431099242589</v>
      </c>
      <c r="DF36" s="33">
        <f t="shared" si="67"/>
        <v>2061.0908680053726</v>
      </c>
      <c r="DG36" s="33">
        <f t="shared" si="67"/>
        <v>2063.3480204858206</v>
      </c>
      <c r="DH36" s="33">
        <f t="shared" si="67"/>
        <v>2065.6146066526353</v>
      </c>
      <c r="DI36" s="33">
        <f t="shared" si="67"/>
        <v>2067.8906659572667</v>
      </c>
      <c r="DJ36" s="33">
        <f t="shared" si="67"/>
        <v>2070.176238016265</v>
      </c>
      <c r="DK36" s="33">
        <f t="shared" si="67"/>
        <v>2072.4713626119769</v>
      </c>
      <c r="DL36" s="33">
        <f t="shared" si="67"/>
        <v>2074.776079693238</v>
      </c>
      <c r="DM36" s="33">
        <f t="shared" si="67"/>
        <v>2077.0904293760696</v>
      </c>
      <c r="DN36" s="33">
        <f t="shared" si="67"/>
        <v>2079.4144519443803</v>
      </c>
      <c r="DO36" s="33">
        <f t="shared" si="67"/>
        <v>2081.7481878506687</v>
      </c>
      <c r="DP36" s="33">
        <f t="shared" si="67"/>
        <v>2084.0916777167295</v>
      </c>
      <c r="DQ36" s="33">
        <f t="shared" si="67"/>
        <v>2086.4449623343626</v>
      </c>
      <c r="DR36" s="33">
        <f t="shared" si="67"/>
        <v>2088.8080826660853</v>
      </c>
      <c r="DS36" s="33">
        <f t="shared" si="67"/>
        <v>2091.1810798458464</v>
      </c>
      <c r="DT36" s="33">
        <f t="shared" si="67"/>
        <v>2093.5639951797466</v>
      </c>
      <c r="DU36" s="33">
        <f t="shared" si="67"/>
        <v>2095.9568701467579</v>
      </c>
      <c r="DV36" s="33">
        <f t="shared" si="67"/>
        <v>2098.3597463994474</v>
      </c>
      <c r="DW36" s="33">
        <f t="shared" si="67"/>
        <v>2100.7726657647058</v>
      </c>
      <c r="DX36" s="33">
        <f t="shared" si="67"/>
        <v>2103.1956702444754</v>
      </c>
      <c r="DY36" s="33">
        <f t="shared" si="67"/>
        <v>2105.6288020164861</v>
      </c>
      <c r="DZ36" s="33">
        <f t="shared" si="67"/>
        <v>2108.0721034349908</v>
      </c>
      <c r="EA36" s="33">
        <f t="shared" ref="EA36:GL36" si="68">EA32</f>
        <v>2110.5256170315033</v>
      </c>
      <c r="EB36" s="33">
        <f t="shared" si="68"/>
        <v>2112.9893855155424</v>
      </c>
      <c r="EC36" s="33">
        <f t="shared" si="68"/>
        <v>2115.4634517753766</v>
      </c>
      <c r="ED36" s="33">
        <f t="shared" si="68"/>
        <v>2117.9478588787756</v>
      </c>
      <c r="EE36" s="33">
        <f t="shared" si="68"/>
        <v>2120.4426500737568</v>
      </c>
      <c r="EF36" s="33">
        <f t="shared" si="68"/>
        <v>2122.9478687893456</v>
      </c>
      <c r="EG36" s="33">
        <f t="shared" si="68"/>
        <v>2125.4635586363306</v>
      </c>
      <c r="EH36" s="33">
        <f t="shared" si="68"/>
        <v>2127.9897634080271</v>
      </c>
      <c r="EI36" s="33">
        <f t="shared" si="68"/>
        <v>2130.5265270810391</v>
      </c>
      <c r="EJ36" s="33">
        <f t="shared" si="68"/>
        <v>2133.0738938160298</v>
      </c>
      <c r="EK36" s="33">
        <f t="shared" si="68"/>
        <v>2135.6319079584905</v>
      </c>
      <c r="EL36" s="33">
        <f t="shared" si="68"/>
        <v>2138.2006140395165</v>
      </c>
      <c r="EM36" s="33">
        <f t="shared" si="68"/>
        <v>2140.7800567765826</v>
      </c>
      <c r="EN36" s="33">
        <f t="shared" si="68"/>
        <v>2143.3702810743262</v>
      </c>
      <c r="EO36" s="33">
        <f t="shared" si="68"/>
        <v>2145.97133202533</v>
      </c>
      <c r="EP36" s="33">
        <f t="shared" si="68"/>
        <v>2148.5832549109086</v>
      </c>
      <c r="EQ36" s="33">
        <f t="shared" si="68"/>
        <v>2151.2060952019019</v>
      </c>
      <c r="ER36" s="33">
        <f t="shared" si="68"/>
        <v>2153.8398985594654</v>
      </c>
      <c r="ES36" s="33">
        <f t="shared" si="68"/>
        <v>2156.4847108358699</v>
      </c>
      <c r="ET36" s="33">
        <f t="shared" si="68"/>
        <v>2159.1405780753016</v>
      </c>
      <c r="EU36" s="33">
        <f t="shared" si="68"/>
        <v>2161.8075465146662</v>
      </c>
      <c r="EV36" s="33">
        <f t="shared" si="68"/>
        <v>2164.4856625843945</v>
      </c>
      <c r="EW36" s="33">
        <f t="shared" si="68"/>
        <v>2167.1749729092571</v>
      </c>
      <c r="EX36" s="33">
        <f t="shared" si="68"/>
        <v>2169.8755243091737</v>
      </c>
      <c r="EY36" s="33">
        <f t="shared" si="68"/>
        <v>2172.5873638000344</v>
      </c>
      <c r="EZ36" s="33">
        <f t="shared" si="68"/>
        <v>2175.3105385945178</v>
      </c>
      <c r="FA36" s="33">
        <f t="shared" si="68"/>
        <v>2178.0450961029192</v>
      </c>
      <c r="FB36" s="33">
        <f t="shared" si="68"/>
        <v>2180.7910839339729</v>
      </c>
      <c r="FC36" s="33">
        <f t="shared" si="68"/>
        <v>2183.5485498956896</v>
      </c>
      <c r="FD36" s="33">
        <f t="shared" si="68"/>
        <v>2186.3175419961872</v>
      </c>
      <c r="FE36" s="33">
        <f t="shared" si="68"/>
        <v>2189.0981084445298</v>
      </c>
      <c r="FF36" s="33">
        <f t="shared" si="68"/>
        <v>2191.8902976515706</v>
      </c>
      <c r="FG36" s="33">
        <f t="shared" si="68"/>
        <v>2194.6941582307973</v>
      </c>
      <c r="FH36" s="33">
        <f t="shared" si="68"/>
        <v>2197.5097389991793</v>
      </c>
      <c r="FI36" s="33">
        <f t="shared" si="68"/>
        <v>2200.3370889780217</v>
      </c>
      <c r="FJ36" s="33">
        <f t="shared" si="68"/>
        <v>2203.1762573938213</v>
      </c>
      <c r="FK36" s="33">
        <f t="shared" si="68"/>
        <v>2206.0272936791257</v>
      </c>
      <c r="FL36" s="33">
        <f t="shared" si="68"/>
        <v>2208.8902474733964</v>
      </c>
      <c r="FM36" s="33">
        <f t="shared" si="68"/>
        <v>2211.765168623876</v>
      </c>
      <c r="FN36" s="33">
        <f t="shared" si="68"/>
        <v>2214.6521071864599</v>
      </c>
      <c r="FO36" s="33">
        <f t="shared" si="68"/>
        <v>2217.551113426568</v>
      </c>
      <c r="FP36" s="33">
        <f t="shared" si="68"/>
        <v>2220.4622378200243</v>
      </c>
      <c r="FQ36" s="33">
        <f t="shared" si="68"/>
        <v>2223.3855310539379</v>
      </c>
      <c r="FR36" s="33">
        <f t="shared" si="68"/>
        <v>2226.321044027588</v>
      </c>
      <c r="FS36" s="33">
        <f t="shared" si="68"/>
        <v>2229.2688278533124</v>
      </c>
      <c r="FT36" s="33">
        <f t="shared" si="68"/>
        <v>2232.2289338574028</v>
      </c>
      <c r="FU36" s="33">
        <f t="shared" si="68"/>
        <v>2235.2014135809973</v>
      </c>
      <c r="FV36" s="33">
        <f t="shared" si="68"/>
        <v>2238.1863187809827</v>
      </c>
      <c r="FW36" s="33">
        <f t="shared" si="68"/>
        <v>2241.1837014308985</v>
      </c>
      <c r="FX36" s="33">
        <f t="shared" si="68"/>
        <v>2244.1936137218445</v>
      </c>
      <c r="FY36" s="33">
        <f t="shared" si="68"/>
        <v>2247.2161080633905</v>
      </c>
      <c r="FZ36" s="33">
        <f t="shared" si="68"/>
        <v>2250.2512370844956</v>
      </c>
      <c r="GA36" s="33">
        <f t="shared" si="68"/>
        <v>2253.2990536344232</v>
      </c>
      <c r="GB36" s="33">
        <f t="shared" si="68"/>
        <v>2256.3596107836652</v>
      </c>
      <c r="GC36" s="33">
        <f t="shared" si="68"/>
        <v>2259.4329618248721</v>
      </c>
      <c r="GD36" s="33">
        <f t="shared" si="68"/>
        <v>2262.5191602737787</v>
      </c>
      <c r="GE36" s="33">
        <f t="shared" si="68"/>
        <v>2265.6182598701425</v>
      </c>
      <c r="GF36" s="33">
        <f t="shared" si="68"/>
        <v>2268.7303145786809</v>
      </c>
      <c r="GG36" s="33">
        <f t="shared" si="68"/>
        <v>2271.855378590014</v>
      </c>
      <c r="GH36" s="33">
        <f t="shared" si="68"/>
        <v>2274.9935063216103</v>
      </c>
      <c r="GI36" s="33">
        <f t="shared" si="68"/>
        <v>2278.1447524187392</v>
      </c>
      <c r="GJ36" s="33">
        <f t="shared" si="68"/>
        <v>2281.3091717554239</v>
      </c>
      <c r="GK36" s="33">
        <f t="shared" si="68"/>
        <v>2284.4868194353994</v>
      </c>
      <c r="GL36" s="33">
        <f t="shared" si="68"/>
        <v>2287.6777507930769</v>
      </c>
      <c r="GM36" s="33">
        <f t="shared" ref="GM36:IX36" si="69">GM32</f>
        <v>2290.8820213945078</v>
      </c>
      <c r="GN36" s="33">
        <f t="shared" si="69"/>
        <v>2294.0996870383578</v>
      </c>
      <c r="GO36" s="33">
        <f t="shared" si="69"/>
        <v>2297.3308037568768</v>
      </c>
      <c r="GP36" s="33">
        <f t="shared" si="69"/>
        <v>2300.5754278168833</v>
      </c>
      <c r="GQ36" s="33">
        <f t="shared" si="69"/>
        <v>2303.8336157207414</v>
      </c>
      <c r="GR36" s="33">
        <f t="shared" si="69"/>
        <v>2307.1054242073519</v>
      </c>
      <c r="GS36" s="33">
        <f t="shared" si="69"/>
        <v>2310.3909102531429</v>
      </c>
      <c r="GT36" s="33">
        <f t="shared" si="69"/>
        <v>2313.6901310730623</v>
      </c>
      <c r="GU36" s="33">
        <f t="shared" si="69"/>
        <v>2317.0031441215815</v>
      </c>
      <c r="GV36" s="33">
        <f t="shared" si="69"/>
        <v>2320.3300070936943</v>
      </c>
      <c r="GW36" s="33">
        <f t="shared" si="69"/>
        <v>2323.6707779259295</v>
      </c>
      <c r="GX36" s="33">
        <f t="shared" si="69"/>
        <v>2327.0255147973594</v>
      </c>
      <c r="GY36" s="33">
        <f t="shared" si="69"/>
        <v>2330.3942761306171</v>
      </c>
      <c r="GZ36" s="33">
        <f t="shared" si="69"/>
        <v>2333.7771205929189</v>
      </c>
      <c r="HA36" s="33">
        <f t="shared" si="69"/>
        <v>2337.1741070970852</v>
      </c>
      <c r="HB36" s="33">
        <f t="shared" si="69"/>
        <v>2340.5852948025745</v>
      </c>
      <c r="HC36" s="33">
        <f t="shared" si="69"/>
        <v>2344.0107431165129</v>
      </c>
      <c r="HD36" s="33">
        <f t="shared" si="69"/>
        <v>2347.4505116947348</v>
      </c>
      <c r="HE36" s="33">
        <f t="shared" si="69"/>
        <v>2350.9046604428218</v>
      </c>
      <c r="HF36" s="33">
        <f t="shared" si="69"/>
        <v>2354.373249517153</v>
      </c>
      <c r="HG36" s="33">
        <f t="shared" si="69"/>
        <v>2357.8563393259528</v>
      </c>
      <c r="HH36" s="33">
        <f t="shared" si="69"/>
        <v>2361.3539905303492</v>
      </c>
      <c r="HI36" s="33">
        <f t="shared" si="69"/>
        <v>2364.8662640454295</v>
      </c>
      <c r="HJ36" s="33">
        <f t="shared" si="69"/>
        <v>2368.3932210413091</v>
      </c>
      <c r="HK36" s="33">
        <f t="shared" si="69"/>
        <v>2371.9349229441968</v>
      </c>
      <c r="HL36" s="33">
        <f t="shared" si="69"/>
        <v>2375.4914314374696</v>
      </c>
      <c r="HM36" s="33">
        <f t="shared" si="69"/>
        <v>2379.0628084627497</v>
      </c>
      <c r="HN36" s="33">
        <f t="shared" si="69"/>
        <v>2382.6491162209868</v>
      </c>
      <c r="HO36" s="33">
        <f t="shared" si="69"/>
        <v>2386.2504171735445</v>
      </c>
      <c r="HP36" s="33">
        <f t="shared" si="69"/>
        <v>2389.8667740432934</v>
      </c>
      <c r="HQ36" s="33">
        <f t="shared" si="69"/>
        <v>2393.4982498157037</v>
      </c>
      <c r="HR36" s="33">
        <f t="shared" si="69"/>
        <v>2397.1449077399488</v>
      </c>
      <c r="HS36" s="33">
        <f t="shared" si="69"/>
        <v>2400.8068113300083</v>
      </c>
      <c r="HT36" s="33">
        <f t="shared" si="69"/>
        <v>2404.4840243657791</v>
      </c>
      <c r="HU36" s="33">
        <f t="shared" si="69"/>
        <v>2408.1766108941883</v>
      </c>
      <c r="HV36" s="33">
        <f t="shared" si="69"/>
        <v>2411.8846352303149</v>
      </c>
      <c r="HW36" s="33">
        <f t="shared" si="69"/>
        <v>2415.6081619585084</v>
      </c>
      <c r="HX36" s="33">
        <f t="shared" si="69"/>
        <v>2419.3472559335232</v>
      </c>
      <c r="HY36" s="33">
        <f t="shared" si="69"/>
        <v>2423.1019822816484</v>
      </c>
      <c r="HZ36" s="33">
        <f t="shared" si="69"/>
        <v>2426.8724064018465</v>
      </c>
      <c r="IA36" s="33">
        <f t="shared" si="69"/>
        <v>2430.6585939668958</v>
      </c>
      <c r="IB36" s="33">
        <f t="shared" si="69"/>
        <v>2434.4606109245383</v>
      </c>
      <c r="IC36" s="33">
        <f t="shared" si="69"/>
        <v>2438.2785234986313</v>
      </c>
      <c r="ID36" s="33">
        <f t="shared" si="69"/>
        <v>2442.1123981903065</v>
      </c>
      <c r="IE36" s="33">
        <f t="shared" si="69"/>
        <v>2445.9623017791291</v>
      </c>
      <c r="IF36" s="33">
        <f t="shared" si="69"/>
        <v>2449.8283013242667</v>
      </c>
      <c r="IG36" s="33">
        <f t="shared" si="69"/>
        <v>2453.710464165662</v>
      </c>
      <c r="IH36" s="33">
        <f t="shared" si="69"/>
        <v>2457.6088579252055</v>
      </c>
      <c r="II36" s="33">
        <f t="shared" si="69"/>
        <v>2461.5235505079218</v>
      </c>
      <c r="IJ36" s="33">
        <f t="shared" si="69"/>
        <v>2465.4546101031528</v>
      </c>
      <c r="IK36" s="33">
        <f t="shared" si="69"/>
        <v>2469.4021051857521</v>
      </c>
      <c r="IL36" s="33">
        <f t="shared" si="69"/>
        <v>2473.3661045172776</v>
      </c>
      <c r="IM36" s="33">
        <f t="shared" si="69"/>
        <v>2477.3466771471976</v>
      </c>
      <c r="IN36" s="33">
        <f t="shared" si="69"/>
        <v>2481.3438924140946</v>
      </c>
      <c r="IO36" s="33">
        <f t="shared" si="69"/>
        <v>2485.357819946878</v>
      </c>
      <c r="IP36" s="33">
        <f t="shared" si="69"/>
        <v>2489.3885296660001</v>
      </c>
      <c r="IQ36" s="33">
        <f t="shared" si="69"/>
        <v>2493.4360917846784</v>
      </c>
      <c r="IR36" s="33">
        <f t="shared" si="69"/>
        <v>2497.5005768101241</v>
      </c>
      <c r="IS36" s="33">
        <f t="shared" si="69"/>
        <v>2501.5820555447708</v>
      </c>
      <c r="IT36" s="33">
        <f t="shared" si="69"/>
        <v>2505.680599087515</v>
      </c>
      <c r="IU36" s="33">
        <f t="shared" si="69"/>
        <v>2509.7962788349569</v>
      </c>
      <c r="IV36" s="33">
        <f t="shared" si="69"/>
        <v>2513.9291664826501</v>
      </c>
      <c r="IW36" s="33">
        <f t="shared" si="69"/>
        <v>2518.0793340263513</v>
      </c>
      <c r="IX36" s="33">
        <f t="shared" si="69"/>
        <v>2522.2468537632817</v>
      </c>
      <c r="IY36" s="33">
        <f t="shared" ref="IY36:LJ36" si="70">IY32</f>
        <v>2526.431798293389</v>
      </c>
      <c r="IZ36" s="33">
        <f t="shared" si="70"/>
        <v>2530.6342405206151</v>
      </c>
      <c r="JA36" s="33">
        <f t="shared" si="70"/>
        <v>2534.8542536541736</v>
      </c>
      <c r="JB36" s="33">
        <f t="shared" si="70"/>
        <v>2539.0919112098259</v>
      </c>
      <c r="JC36" s="33">
        <f t="shared" si="70"/>
        <v>2543.3472870111673</v>
      </c>
      <c r="JD36" s="33">
        <f t="shared" si="70"/>
        <v>2547.6204551909173</v>
      </c>
      <c r="JE36" s="33">
        <f t="shared" si="70"/>
        <v>2551.9114901922158</v>
      </c>
      <c r="JF36" s="33">
        <f t="shared" si="70"/>
        <v>2556.220466769923</v>
      </c>
      <c r="JG36" s="33">
        <f t="shared" si="70"/>
        <v>2560.5474599919276</v>
      </c>
      <c r="JH36" s="33">
        <f t="shared" si="70"/>
        <v>2564.892545240456</v>
      </c>
      <c r="JI36" s="33">
        <f t="shared" si="70"/>
        <v>2569.2557982133935</v>
      </c>
      <c r="JJ36" s="33">
        <f t="shared" si="70"/>
        <v>2573.6372949256033</v>
      </c>
      <c r="JK36" s="33">
        <f t="shared" si="70"/>
        <v>2578.0371117102595</v>
      </c>
      <c r="JL36" s="33">
        <f t="shared" si="70"/>
        <v>2582.4553252201772</v>
      </c>
      <c r="JM36" s="33">
        <f t="shared" si="70"/>
        <v>2586.8920124291562</v>
      </c>
      <c r="JN36" s="33">
        <f t="shared" si="70"/>
        <v>2591.3472506333214</v>
      </c>
      <c r="JO36" s="33">
        <f t="shared" si="70"/>
        <v>2595.8211174524795</v>
      </c>
      <c r="JP36" s="33">
        <f t="shared" si="70"/>
        <v>2600.3136908314723</v>
      </c>
      <c r="JQ36" s="33">
        <f t="shared" si="70"/>
        <v>2604.8250490415385</v>
      </c>
      <c r="JR36" s="33">
        <f t="shared" si="70"/>
        <v>2609.3552706816859</v>
      </c>
      <c r="JS36" s="33">
        <f t="shared" si="70"/>
        <v>2613.9044346800588</v>
      </c>
      <c r="JT36" s="33">
        <f t="shared" si="70"/>
        <v>2618.4726202953248</v>
      </c>
      <c r="JU36" s="33">
        <f t="shared" si="70"/>
        <v>2623.0599071180554</v>
      </c>
      <c r="JV36" s="33">
        <f t="shared" si="70"/>
        <v>2627.6663750721177</v>
      </c>
      <c r="JW36" s="33">
        <f t="shared" si="70"/>
        <v>2632.2921044160748</v>
      </c>
      <c r="JX36" s="33">
        <f t="shared" si="70"/>
        <v>2636.9371757445838</v>
      </c>
      <c r="JY36" s="33">
        <f t="shared" si="70"/>
        <v>2641.6016699898091</v>
      </c>
      <c r="JZ36" s="33">
        <f t="shared" si="70"/>
        <v>2646.2856684228345</v>
      </c>
      <c r="KA36" s="33">
        <f t="shared" si="70"/>
        <v>2650.9892526550848</v>
      </c>
      <c r="KB36" s="33">
        <f t="shared" si="70"/>
        <v>2655.7125046397528</v>
      </c>
      <c r="KC36" s="33">
        <f t="shared" si="70"/>
        <v>2660.4555066732296</v>
      </c>
      <c r="KD36" s="33">
        <f t="shared" si="70"/>
        <v>2665.2183413965467</v>
      </c>
      <c r="KE36" s="33">
        <f t="shared" si="70"/>
        <v>2670.0010917968184</v>
      </c>
      <c r="KF36" s="33">
        <f t="shared" si="70"/>
        <v>2674.8038412086939</v>
      </c>
      <c r="KG36" s="33">
        <f t="shared" si="70"/>
        <v>2679.6266733158122</v>
      </c>
      <c r="KH36" s="33">
        <f t="shared" si="70"/>
        <v>2684.4696721522682</v>
      </c>
      <c r="KI36" s="33">
        <f t="shared" si="70"/>
        <v>2689.3329221040776</v>
      </c>
      <c r="KJ36" s="33">
        <f t="shared" si="70"/>
        <v>2694.2165079106558</v>
      </c>
      <c r="KK36" s="33">
        <f t="shared" si="70"/>
        <v>2699.1205146662974</v>
      </c>
      <c r="KL36" s="33">
        <f t="shared" si="70"/>
        <v>2704.045027821664</v>
      </c>
      <c r="KM36" s="33">
        <f t="shared" si="70"/>
        <v>2708.9901331852793</v>
      </c>
      <c r="KN36" s="33">
        <f t="shared" si="70"/>
        <v>2713.9559169250288</v>
      </c>
      <c r="KO36" s="33">
        <f t="shared" si="70"/>
        <v>2718.9424655696639</v>
      </c>
      <c r="KP36" s="33">
        <f t="shared" si="70"/>
        <v>2723.9498660103204</v>
      </c>
      <c r="KQ36" s="33">
        <f t="shared" si="70"/>
        <v>2728.9782055020296</v>
      </c>
      <c r="KR36" s="33">
        <f t="shared" si="70"/>
        <v>2734.0275716652513</v>
      </c>
      <c r="KS36" s="33">
        <f t="shared" si="70"/>
        <v>2739.0980524874021</v>
      </c>
      <c r="KT36" s="33">
        <f t="shared" si="70"/>
        <v>2744.189736324392</v>
      </c>
      <c r="KU36" s="33">
        <f t="shared" si="70"/>
        <v>2749.3027119021745</v>
      </c>
      <c r="KV36" s="33">
        <f t="shared" si="70"/>
        <v>2754.4370683182938</v>
      </c>
      <c r="KW36" s="33">
        <f t="shared" si="70"/>
        <v>2759.5928950434431</v>
      </c>
      <c r="KX36" s="33">
        <f t="shared" si="70"/>
        <v>2764.7702819230294</v>
      </c>
      <c r="KY36" s="33">
        <f t="shared" si="70"/>
        <v>2769.9693191787464</v>
      </c>
      <c r="KZ36" s="33">
        <f t="shared" si="70"/>
        <v>2775.1900974101468</v>
      </c>
      <c r="LA36" s="33">
        <f t="shared" si="70"/>
        <v>2780.4327075962324</v>
      </c>
      <c r="LB36" s="33">
        <f t="shared" si="70"/>
        <v>2785.6972410970411</v>
      </c>
      <c r="LC36" s="33">
        <f t="shared" si="70"/>
        <v>2790.9837896552458</v>
      </c>
      <c r="LD36" s="33">
        <f t="shared" si="70"/>
        <v>2796.2924453977585</v>
      </c>
      <c r="LE36" s="33">
        <f t="shared" si="70"/>
        <v>2801.6233008373392</v>
      </c>
      <c r="LF36" s="33">
        <f t="shared" si="70"/>
        <v>2806.976448874218</v>
      </c>
      <c r="LG36" s="33">
        <f t="shared" si="70"/>
        <v>2812.3519827977138</v>
      </c>
      <c r="LH36" s="33">
        <f t="shared" si="70"/>
        <v>2817.7499962878701</v>
      </c>
      <c r="LI36" s="33">
        <f t="shared" si="70"/>
        <v>2823.1705834170916</v>
      </c>
      <c r="LJ36" s="33">
        <f t="shared" si="70"/>
        <v>2828.6138386517887</v>
      </c>
      <c r="LK36" s="33">
        <f t="shared" ref="LK36:MX36" si="71">LK32</f>
        <v>2834.0798568540299</v>
      </c>
      <c r="LL36" s="33">
        <f t="shared" si="71"/>
        <v>2839.5687332831985</v>
      </c>
      <c r="LM36" s="33">
        <f t="shared" si="71"/>
        <v>2845.0805635976653</v>
      </c>
      <c r="LN36" s="33">
        <f t="shared" si="71"/>
        <v>2850.6154438564504</v>
      </c>
      <c r="LO36" s="33">
        <f t="shared" si="71"/>
        <v>2856.1734705209133</v>
      </c>
      <c r="LP36" s="33">
        <f t="shared" si="71"/>
        <v>2861.7547404564339</v>
      </c>
      <c r="LQ36" s="33">
        <f t="shared" si="71"/>
        <v>2867.3593509341072</v>
      </c>
      <c r="LR36" s="33">
        <f t="shared" si="71"/>
        <v>2872.9873996324463</v>
      </c>
      <c r="LS36" s="33">
        <f t="shared" si="71"/>
        <v>2878.6389846390894</v>
      </c>
      <c r="LT36" s="33">
        <f t="shared" si="71"/>
        <v>2884.3142044525152</v>
      </c>
      <c r="LU36" s="33">
        <f t="shared" si="71"/>
        <v>2890.0131579837644</v>
      </c>
      <c r="LV36" s="33">
        <f t="shared" si="71"/>
        <v>2895.7359445581696</v>
      </c>
      <c r="LW36" s="33">
        <f t="shared" si="71"/>
        <v>2901.482663917096</v>
      </c>
      <c r="LX36" s="33">
        <f t="shared" si="71"/>
        <v>2907.2534162196821</v>
      </c>
      <c r="LY36" s="33">
        <f t="shared" si="71"/>
        <v>2913.0483020445899</v>
      </c>
      <c r="LZ36" s="33">
        <f t="shared" si="71"/>
        <v>2918.8674223917683</v>
      </c>
      <c r="MA36" s="33">
        <f t="shared" si="71"/>
        <v>2924.7108786842173</v>
      </c>
      <c r="MB36" s="33">
        <f t="shared" si="71"/>
        <v>2930.5787727697598</v>
      </c>
      <c r="MC36" s="33">
        <f t="shared" si="71"/>
        <v>2936.4712069228276</v>
      </c>
      <c r="MD36" s="33">
        <f t="shared" si="71"/>
        <v>2942.3882838462464</v>
      </c>
      <c r="ME36" s="33">
        <f t="shared" si="71"/>
        <v>2948.3301066730328</v>
      </c>
      <c r="MF36" s="33">
        <f t="shared" si="71"/>
        <v>2954.2967789681975</v>
      </c>
      <c r="MG36" s="33">
        <f t="shared" si="71"/>
        <v>2960.2884047305588</v>
      </c>
      <c r="MH36" s="33">
        <f t="shared" si="71"/>
        <v>2966.3050883945612</v>
      </c>
      <c r="MI36" s="33">
        <f t="shared" si="71"/>
        <v>2972.3469348320968</v>
      </c>
      <c r="MJ36" s="33">
        <f t="shared" si="71"/>
        <v>2978.4140493543505</v>
      </c>
      <c r="MK36" s="33">
        <f t="shared" si="71"/>
        <v>2984.5065377136279</v>
      </c>
      <c r="ML36" s="33">
        <f t="shared" si="71"/>
        <v>2990.6245061052177</v>
      </c>
      <c r="MM36" s="33">
        <f t="shared" si="71"/>
        <v>2996.7680611692417</v>
      </c>
      <c r="MN36" s="33">
        <f t="shared" si="71"/>
        <v>3002.9373099925228</v>
      </c>
      <c r="MO36" s="33">
        <f t="shared" si="71"/>
        <v>3009.132360110455</v>
      </c>
      <c r="MP36" s="33">
        <f t="shared" si="71"/>
        <v>3015.3533195088912</v>
      </c>
      <c r="MQ36" s="33">
        <f t="shared" si="71"/>
        <v>3021.6002966260248</v>
      </c>
      <c r="MR36" s="33">
        <f t="shared" si="71"/>
        <v>3027.8734003542886</v>
      </c>
      <c r="MS36" s="33">
        <f t="shared" si="71"/>
        <v>3034.1727400422615</v>
      </c>
      <c r="MT36" s="33">
        <f t="shared" si="71"/>
        <v>3040.4984254965811</v>
      </c>
      <c r="MU36" s="33">
        <f t="shared" si="71"/>
        <v>3046.8505669838614</v>
      </c>
      <c r="MV36" s="33">
        <f t="shared" si="71"/>
        <v>3053.2292752326234</v>
      </c>
      <c r="MW36" s="33">
        <f t="shared" si="71"/>
        <v>3059.6346614352342</v>
      </c>
      <c r="MX36" s="55">
        <f t="shared" si="71"/>
        <v>3066.0668372498485</v>
      </c>
      <c r="MY36" s="1"/>
      <c r="MZ36" s="1"/>
      <c r="NA36" s="1"/>
      <c r="NB36" s="1"/>
      <c r="NC36" s="1"/>
      <c r="ND36" s="1"/>
      <c r="NE36" s="1"/>
      <c r="NF36" s="13">
        <v>0.17499999999999999</v>
      </c>
      <c r="NG36" s="1">
        <f>Combine!A38</f>
        <v>48430</v>
      </c>
      <c r="NH36" s="14">
        <f>Combine!F38</f>
        <v>329554.21385650098</v>
      </c>
    </row>
    <row r="37" spans="1:372" ht="12.75" customHeight="1" x14ac:dyDescent="0.3">
      <c r="A37" s="31" t="s">
        <v>875</v>
      </c>
      <c r="B37" s="32">
        <f>B16</f>
        <v>1312</v>
      </c>
      <c r="C37" s="33">
        <f t="shared" ref="C37:BN37" si="72">(1+$B$17/12)*B37</f>
        <v>1317.4666666666667</v>
      </c>
      <c r="D37" s="33">
        <f t="shared" si="72"/>
        <v>1322.9561111111111</v>
      </c>
      <c r="E37" s="33">
        <f t="shared" si="72"/>
        <v>1328.4684282407406</v>
      </c>
      <c r="F37" s="33">
        <f t="shared" si="72"/>
        <v>1334.0037133584103</v>
      </c>
      <c r="G37" s="33">
        <f t="shared" si="72"/>
        <v>1339.5620621640703</v>
      </c>
      <c r="H37" s="33">
        <f t="shared" si="72"/>
        <v>1345.1435707564206</v>
      </c>
      <c r="I37" s="33">
        <f t="shared" si="72"/>
        <v>1350.7483356345722</v>
      </c>
      <c r="J37" s="33">
        <f t="shared" si="72"/>
        <v>1356.3764536997162</v>
      </c>
      <c r="K37" s="33">
        <f t="shared" si="72"/>
        <v>1362.0280222567983</v>
      </c>
      <c r="L37" s="33">
        <f t="shared" si="72"/>
        <v>1367.7031390162017</v>
      </c>
      <c r="M37" s="33">
        <f t="shared" si="72"/>
        <v>1373.4019020954358</v>
      </c>
      <c r="N37" s="33">
        <f t="shared" si="72"/>
        <v>1379.1244100208335</v>
      </c>
      <c r="O37" s="33">
        <f t="shared" si="72"/>
        <v>1384.8707617292537</v>
      </c>
      <c r="P37" s="33">
        <f t="shared" si="72"/>
        <v>1390.6410565697922</v>
      </c>
      <c r="Q37" s="33">
        <f t="shared" si="72"/>
        <v>1396.4353943054996</v>
      </c>
      <c r="R37" s="33">
        <f t="shared" si="72"/>
        <v>1402.2538751151058</v>
      </c>
      <c r="S37" s="33">
        <f t="shared" si="72"/>
        <v>1408.096599594752</v>
      </c>
      <c r="T37" s="33">
        <f t="shared" si="72"/>
        <v>1413.9636687597301</v>
      </c>
      <c r="U37" s="33">
        <f t="shared" si="72"/>
        <v>1419.8551840462289</v>
      </c>
      <c r="V37" s="33">
        <f t="shared" si="72"/>
        <v>1425.7712473130882</v>
      </c>
      <c r="W37" s="33">
        <f t="shared" si="72"/>
        <v>1431.7119608435594</v>
      </c>
      <c r="X37" s="33">
        <f t="shared" si="72"/>
        <v>1437.6774273470742</v>
      </c>
      <c r="Y37" s="33">
        <f t="shared" si="72"/>
        <v>1443.6677499610203</v>
      </c>
      <c r="Z37" s="33">
        <f t="shared" si="72"/>
        <v>1449.6830322525245</v>
      </c>
      <c r="AA37" s="33">
        <f t="shared" si="72"/>
        <v>1455.7233782202434</v>
      </c>
      <c r="AB37" s="33">
        <f t="shared" si="72"/>
        <v>1461.7888922961611</v>
      </c>
      <c r="AC37" s="33">
        <f t="shared" si="72"/>
        <v>1467.879679347395</v>
      </c>
      <c r="AD37" s="33">
        <f t="shared" si="72"/>
        <v>1473.9958446780092</v>
      </c>
      <c r="AE37" s="33">
        <f t="shared" si="72"/>
        <v>1480.1374940308342</v>
      </c>
      <c r="AF37" s="33">
        <f t="shared" si="72"/>
        <v>1486.3047335892959</v>
      </c>
      <c r="AG37" s="33">
        <f t="shared" si="72"/>
        <v>1492.4976699792512</v>
      </c>
      <c r="AH37" s="33">
        <f t="shared" si="72"/>
        <v>1498.7164102708314</v>
      </c>
      <c r="AI37" s="33">
        <f t="shared" si="72"/>
        <v>1504.9610619802932</v>
      </c>
      <c r="AJ37" s="33">
        <f t="shared" si="72"/>
        <v>1511.2317330718777</v>
      </c>
      <c r="AK37" s="33">
        <f t="shared" si="72"/>
        <v>1517.5285319596771</v>
      </c>
      <c r="AL37" s="33">
        <f t="shared" si="72"/>
        <v>1523.8515675095091</v>
      </c>
      <c r="AM37" s="33">
        <f t="shared" si="72"/>
        <v>1530.2009490407986</v>
      </c>
      <c r="AN37" s="33">
        <f t="shared" si="72"/>
        <v>1536.5767863284686</v>
      </c>
      <c r="AO37" s="33">
        <f t="shared" si="72"/>
        <v>1542.9791896048373</v>
      </c>
      <c r="AP37" s="33">
        <f t="shared" si="72"/>
        <v>1549.4082695615241</v>
      </c>
      <c r="AQ37" s="33">
        <f t="shared" si="72"/>
        <v>1555.8641373513638</v>
      </c>
      <c r="AR37" s="33">
        <f t="shared" si="72"/>
        <v>1562.3469045903278</v>
      </c>
      <c r="AS37" s="33">
        <f t="shared" si="72"/>
        <v>1568.8566833594541</v>
      </c>
      <c r="AT37" s="33">
        <f t="shared" si="72"/>
        <v>1575.3935862067851</v>
      </c>
      <c r="AU37" s="33">
        <f t="shared" si="72"/>
        <v>1581.9577261493134</v>
      </c>
      <c r="AV37" s="33">
        <f t="shared" si="72"/>
        <v>1588.5492166749355</v>
      </c>
      <c r="AW37" s="33">
        <f t="shared" si="72"/>
        <v>1595.1681717444144</v>
      </c>
      <c r="AX37" s="33">
        <f t="shared" si="72"/>
        <v>1601.8147057933495</v>
      </c>
      <c r="AY37" s="33">
        <f t="shared" si="72"/>
        <v>1608.4889337341551</v>
      </c>
      <c r="AZ37" s="33">
        <f t="shared" si="72"/>
        <v>1615.1909709580475</v>
      </c>
      <c r="BA37" s="33">
        <f t="shared" si="72"/>
        <v>1621.9209333370393</v>
      </c>
      <c r="BB37" s="33">
        <f t="shared" si="72"/>
        <v>1628.6789372259436</v>
      </c>
      <c r="BC37" s="33">
        <f t="shared" si="72"/>
        <v>1635.465099464385</v>
      </c>
      <c r="BD37" s="33">
        <f t="shared" si="72"/>
        <v>1642.2795373788199</v>
      </c>
      <c r="BE37" s="33">
        <f t="shared" si="72"/>
        <v>1649.122368784565</v>
      </c>
      <c r="BF37" s="33">
        <f t="shared" si="72"/>
        <v>1655.9937119878339</v>
      </c>
      <c r="BG37" s="33">
        <f t="shared" si="72"/>
        <v>1662.8936857877832</v>
      </c>
      <c r="BH37" s="33">
        <f t="shared" si="72"/>
        <v>1669.8224094785655</v>
      </c>
      <c r="BI37" s="33">
        <f t="shared" si="72"/>
        <v>1676.780002851393</v>
      </c>
      <c r="BJ37" s="33">
        <f t="shared" si="72"/>
        <v>1683.766586196607</v>
      </c>
      <c r="BK37" s="33">
        <f t="shared" si="72"/>
        <v>1690.7822803057595</v>
      </c>
      <c r="BL37" s="33">
        <f t="shared" si="72"/>
        <v>1697.8272064737002</v>
      </c>
      <c r="BM37" s="33">
        <f t="shared" si="72"/>
        <v>1704.9014865006741</v>
      </c>
      <c r="BN37" s="33">
        <f t="shared" si="72"/>
        <v>1712.0052426944269</v>
      </c>
      <c r="BO37" s="33">
        <f t="shared" ref="BO37:DZ37" si="73">(1+$B$17/12)*BN37</f>
        <v>1719.1385978723204</v>
      </c>
      <c r="BP37" s="33">
        <f t="shared" si="73"/>
        <v>1726.3016753634549</v>
      </c>
      <c r="BQ37" s="33">
        <f t="shared" si="73"/>
        <v>1733.4945990108026</v>
      </c>
      <c r="BR37" s="33">
        <f t="shared" si="73"/>
        <v>1740.7174931733475</v>
      </c>
      <c r="BS37" s="33">
        <f t="shared" si="73"/>
        <v>1747.9704827282364</v>
      </c>
      <c r="BT37" s="33">
        <f t="shared" si="73"/>
        <v>1755.2536930729375</v>
      </c>
      <c r="BU37" s="33">
        <f t="shared" si="73"/>
        <v>1762.567250127408</v>
      </c>
      <c r="BV37" s="33">
        <f t="shared" si="73"/>
        <v>1769.9112803362721</v>
      </c>
      <c r="BW37" s="33">
        <f t="shared" si="73"/>
        <v>1777.2859106710066</v>
      </c>
      <c r="BX37" s="33">
        <f t="shared" si="73"/>
        <v>1784.6912686321357</v>
      </c>
      <c r="BY37" s="33">
        <f t="shared" si="73"/>
        <v>1792.1274822514363</v>
      </c>
      <c r="BZ37" s="33">
        <f t="shared" si="73"/>
        <v>1799.5946800941506</v>
      </c>
      <c r="CA37" s="33">
        <f t="shared" si="73"/>
        <v>1807.0929912612096</v>
      </c>
      <c r="CB37" s="33">
        <f t="shared" si="73"/>
        <v>1814.6225453914647</v>
      </c>
      <c r="CC37" s="33">
        <f t="shared" si="73"/>
        <v>1822.183472663929</v>
      </c>
      <c r="CD37" s="33">
        <f t="shared" si="73"/>
        <v>1829.7759038000288</v>
      </c>
      <c r="CE37" s="33">
        <f t="shared" si="73"/>
        <v>1837.3999700658621</v>
      </c>
      <c r="CF37" s="33">
        <f t="shared" si="73"/>
        <v>1845.0558032744698</v>
      </c>
      <c r="CG37" s="33">
        <f t="shared" si="73"/>
        <v>1852.7435357881134</v>
      </c>
      <c r="CH37" s="33">
        <f t="shared" si="73"/>
        <v>1860.4633005205637</v>
      </c>
      <c r="CI37" s="33">
        <f t="shared" si="73"/>
        <v>1868.2152309393994</v>
      </c>
      <c r="CJ37" s="33">
        <f t="shared" si="73"/>
        <v>1875.9994610683134</v>
      </c>
      <c r="CK37" s="33">
        <f t="shared" si="73"/>
        <v>1883.8161254894314</v>
      </c>
      <c r="CL37" s="33">
        <f t="shared" si="73"/>
        <v>1891.6653593456374</v>
      </c>
      <c r="CM37" s="33">
        <f t="shared" si="73"/>
        <v>1899.5472983429108</v>
      </c>
      <c r="CN37" s="33">
        <f t="shared" si="73"/>
        <v>1907.4620787526728</v>
      </c>
      <c r="CO37" s="33">
        <f t="shared" si="73"/>
        <v>1915.4098374141422</v>
      </c>
      <c r="CP37" s="33">
        <f t="shared" si="73"/>
        <v>1923.3907117367012</v>
      </c>
      <c r="CQ37" s="33">
        <f t="shared" si="73"/>
        <v>1931.4048397022707</v>
      </c>
      <c r="CR37" s="33">
        <f t="shared" si="73"/>
        <v>1939.4523598676967</v>
      </c>
      <c r="CS37" s="33">
        <f t="shared" si="73"/>
        <v>1947.5334113671454</v>
      </c>
      <c r="CT37" s="33">
        <f t="shared" si="73"/>
        <v>1955.6481339145084</v>
      </c>
      <c r="CU37" s="33">
        <f t="shared" si="73"/>
        <v>1963.796667805819</v>
      </c>
      <c r="CV37" s="33">
        <f t="shared" si="73"/>
        <v>1971.9791539216765</v>
      </c>
      <c r="CW37" s="33">
        <f t="shared" si="73"/>
        <v>1980.1957337296835</v>
      </c>
      <c r="CX37" s="33">
        <f t="shared" si="73"/>
        <v>1988.4465492868906</v>
      </c>
      <c r="CY37" s="33">
        <f t="shared" si="73"/>
        <v>1996.7317432422526</v>
      </c>
      <c r="CZ37" s="33">
        <f t="shared" si="73"/>
        <v>2005.0514588390954</v>
      </c>
      <c r="DA37" s="33">
        <f t="shared" si="73"/>
        <v>2013.4058399175915</v>
      </c>
      <c r="DB37" s="33">
        <f t="shared" si="73"/>
        <v>2021.7950309172481</v>
      </c>
      <c r="DC37" s="33">
        <f t="shared" si="73"/>
        <v>2030.2191768794032</v>
      </c>
      <c r="DD37" s="33">
        <f t="shared" si="73"/>
        <v>2038.6784234497341</v>
      </c>
      <c r="DE37" s="33">
        <f t="shared" si="73"/>
        <v>2047.1729168807747</v>
      </c>
      <c r="DF37" s="33">
        <f t="shared" si="73"/>
        <v>2055.7028040344444</v>
      </c>
      <c r="DG37" s="33">
        <f t="shared" si="73"/>
        <v>2064.2682323845879</v>
      </c>
      <c r="DH37" s="33">
        <f t="shared" si="73"/>
        <v>2072.8693500195236</v>
      </c>
      <c r="DI37" s="33">
        <f t="shared" si="73"/>
        <v>2081.5063056446047</v>
      </c>
      <c r="DJ37" s="33">
        <f t="shared" si="73"/>
        <v>2090.1792485847905</v>
      </c>
      <c r="DK37" s="33">
        <f t="shared" si="73"/>
        <v>2098.8883287872272</v>
      </c>
      <c r="DL37" s="33">
        <f t="shared" si="73"/>
        <v>2107.6336968238406</v>
      </c>
      <c r="DM37" s="33">
        <f t="shared" si="73"/>
        <v>2116.4155038939398</v>
      </c>
      <c r="DN37" s="33">
        <f t="shared" si="73"/>
        <v>2125.2339018268312</v>
      </c>
      <c r="DO37" s="33">
        <f t="shared" si="73"/>
        <v>2134.0890430844429</v>
      </c>
      <c r="DP37" s="33">
        <f t="shared" si="73"/>
        <v>2142.9810807639615</v>
      </c>
      <c r="DQ37" s="33">
        <f t="shared" si="73"/>
        <v>2151.9101686004778</v>
      </c>
      <c r="DR37" s="33">
        <f t="shared" si="73"/>
        <v>2160.8764609696464</v>
      </c>
      <c r="DS37" s="33">
        <f t="shared" si="73"/>
        <v>2169.8801128903533</v>
      </c>
      <c r="DT37" s="33">
        <f t="shared" si="73"/>
        <v>2178.9212800273963</v>
      </c>
      <c r="DU37" s="33">
        <f t="shared" si="73"/>
        <v>2188.0001186941772</v>
      </c>
      <c r="DV37" s="33">
        <f t="shared" si="73"/>
        <v>2197.1167858554031</v>
      </c>
      <c r="DW37" s="33">
        <f t="shared" si="73"/>
        <v>2206.2714391298005</v>
      </c>
      <c r="DX37" s="33">
        <f t="shared" si="73"/>
        <v>2215.4642367928413</v>
      </c>
      <c r="DY37" s="33">
        <f t="shared" si="73"/>
        <v>2224.695337779478</v>
      </c>
      <c r="DZ37" s="33">
        <f t="shared" si="73"/>
        <v>2233.9649016868925</v>
      </c>
      <c r="EA37" s="33">
        <f t="shared" ref="EA37:GL37" si="74">(1+$B$17/12)*DZ37</f>
        <v>2243.2730887772545</v>
      </c>
      <c r="EB37" s="33">
        <f t="shared" si="74"/>
        <v>2252.6200599804929</v>
      </c>
      <c r="EC37" s="33">
        <f t="shared" si="74"/>
        <v>2262.0059768970782</v>
      </c>
      <c r="ED37" s="33">
        <f t="shared" si="74"/>
        <v>2271.4310018008159</v>
      </c>
      <c r="EE37" s="33">
        <f t="shared" si="74"/>
        <v>2280.8952976416526</v>
      </c>
      <c r="EF37" s="33">
        <f t="shared" si="74"/>
        <v>2290.3990280484927</v>
      </c>
      <c r="EG37" s="33">
        <f t="shared" si="74"/>
        <v>2299.9423573320282</v>
      </c>
      <c r="EH37" s="33">
        <f t="shared" si="74"/>
        <v>2309.5254504875784</v>
      </c>
      <c r="EI37" s="33">
        <f t="shared" si="74"/>
        <v>2319.1484731979431</v>
      </c>
      <c r="EJ37" s="33">
        <f t="shared" si="74"/>
        <v>2328.8115918362678</v>
      </c>
      <c r="EK37" s="33">
        <f t="shared" si="74"/>
        <v>2338.5149734689189</v>
      </c>
      <c r="EL37" s="33">
        <f t="shared" si="74"/>
        <v>2348.2587858583729</v>
      </c>
      <c r="EM37" s="33">
        <f t="shared" si="74"/>
        <v>2358.043197466116</v>
      </c>
      <c r="EN37" s="33">
        <f t="shared" si="74"/>
        <v>2367.8683774555579</v>
      </c>
      <c r="EO37" s="33">
        <f t="shared" si="74"/>
        <v>2377.734495694956</v>
      </c>
      <c r="EP37" s="33">
        <f t="shared" si="74"/>
        <v>2387.6417227603515</v>
      </c>
      <c r="EQ37" s="33">
        <f t="shared" si="74"/>
        <v>2397.5902299385198</v>
      </c>
      <c r="ER37" s="33">
        <f t="shared" si="74"/>
        <v>2407.5801892299301</v>
      </c>
      <c r="ES37" s="33">
        <f t="shared" si="74"/>
        <v>2417.6117733517212</v>
      </c>
      <c r="ET37" s="33">
        <f t="shared" si="74"/>
        <v>2427.6851557406867</v>
      </c>
      <c r="EU37" s="33">
        <f t="shared" si="74"/>
        <v>2437.8005105562729</v>
      </c>
      <c r="EV37" s="33">
        <f t="shared" si="74"/>
        <v>2447.9580126835908</v>
      </c>
      <c r="EW37" s="33">
        <f t="shared" si="74"/>
        <v>2458.157837736439</v>
      </c>
      <c r="EX37" s="33">
        <f t="shared" si="74"/>
        <v>2468.4001620603408</v>
      </c>
      <c r="EY37" s="33">
        <f t="shared" si="74"/>
        <v>2478.6851627355923</v>
      </c>
      <c r="EZ37" s="33">
        <f t="shared" si="74"/>
        <v>2489.0130175803238</v>
      </c>
      <c r="FA37" s="33">
        <f t="shared" si="74"/>
        <v>2499.3839051535751</v>
      </c>
      <c r="FB37" s="33">
        <f t="shared" si="74"/>
        <v>2509.7980047583815</v>
      </c>
      <c r="FC37" s="33">
        <f t="shared" si="74"/>
        <v>2520.2554964448746</v>
      </c>
      <c r="FD37" s="33">
        <f t="shared" si="74"/>
        <v>2530.7565610133947</v>
      </c>
      <c r="FE37" s="33">
        <f t="shared" si="74"/>
        <v>2541.3013800176172</v>
      </c>
      <c r="FF37" s="33">
        <f t="shared" si="74"/>
        <v>2551.8901357676905</v>
      </c>
      <c r="FG37" s="33">
        <f t="shared" si="74"/>
        <v>2562.5230113333891</v>
      </c>
      <c r="FH37" s="33">
        <f t="shared" si="74"/>
        <v>2573.2001905472785</v>
      </c>
      <c r="FI37" s="33">
        <f t="shared" si="74"/>
        <v>2583.9218580078923</v>
      </c>
      <c r="FJ37" s="33">
        <f t="shared" si="74"/>
        <v>2594.6881990829252</v>
      </c>
      <c r="FK37" s="33">
        <f t="shared" si="74"/>
        <v>2605.4993999124372</v>
      </c>
      <c r="FL37" s="33">
        <f t="shared" si="74"/>
        <v>2616.3556474120724</v>
      </c>
      <c r="FM37" s="33">
        <f t="shared" si="74"/>
        <v>2627.2571292762891</v>
      </c>
      <c r="FN37" s="33">
        <f t="shared" si="74"/>
        <v>2638.2040339816072</v>
      </c>
      <c r="FO37" s="33">
        <f t="shared" si="74"/>
        <v>2649.196550789864</v>
      </c>
      <c r="FP37" s="33">
        <f t="shared" si="74"/>
        <v>2660.2348697514885</v>
      </c>
      <c r="FQ37" s="33">
        <f t="shared" si="74"/>
        <v>2671.3191817087863</v>
      </c>
      <c r="FR37" s="33">
        <f t="shared" si="74"/>
        <v>2682.4496782992396</v>
      </c>
      <c r="FS37" s="33">
        <f t="shared" si="74"/>
        <v>2693.6265519588196</v>
      </c>
      <c r="FT37" s="33">
        <f t="shared" si="74"/>
        <v>2704.8499959253145</v>
      </c>
      <c r="FU37" s="33">
        <f t="shared" si="74"/>
        <v>2716.1202042416699</v>
      </c>
      <c r="FV37" s="33">
        <f t="shared" si="74"/>
        <v>2727.4373717593435</v>
      </c>
      <c r="FW37" s="33">
        <f t="shared" si="74"/>
        <v>2738.801694141674</v>
      </c>
      <c r="FX37" s="33">
        <f t="shared" si="74"/>
        <v>2750.2133678672644</v>
      </c>
      <c r="FY37" s="33">
        <f t="shared" si="74"/>
        <v>2761.6725902333778</v>
      </c>
      <c r="FZ37" s="33">
        <f t="shared" si="74"/>
        <v>2773.1795593593502</v>
      </c>
      <c r="GA37" s="33">
        <f t="shared" si="74"/>
        <v>2784.7344741900142</v>
      </c>
      <c r="GB37" s="33">
        <f t="shared" si="74"/>
        <v>2796.3375344991391</v>
      </c>
      <c r="GC37" s="33">
        <f t="shared" si="74"/>
        <v>2807.9889408928857</v>
      </c>
      <c r="GD37" s="33">
        <f t="shared" si="74"/>
        <v>2819.6888948132728</v>
      </c>
      <c r="GE37" s="33">
        <f t="shared" si="74"/>
        <v>2831.4375985416614</v>
      </c>
      <c r="GF37" s="33">
        <f t="shared" si="74"/>
        <v>2843.2352552022517</v>
      </c>
      <c r="GG37" s="33">
        <f t="shared" si="74"/>
        <v>2855.0820687655942</v>
      </c>
      <c r="GH37" s="33">
        <f t="shared" si="74"/>
        <v>2866.9782440521176</v>
      </c>
      <c r="GI37" s="33">
        <f t="shared" si="74"/>
        <v>2878.9239867356682</v>
      </c>
      <c r="GJ37" s="33">
        <f t="shared" si="74"/>
        <v>2890.9195033470669</v>
      </c>
      <c r="GK37" s="33">
        <f t="shared" si="74"/>
        <v>2902.9650012776797</v>
      </c>
      <c r="GL37" s="33">
        <f t="shared" si="74"/>
        <v>2915.0606887830031</v>
      </c>
      <c r="GM37" s="33">
        <f t="shared" ref="GM37:IX37" si="75">(1+$B$17/12)*GL37</f>
        <v>2927.2067749862654</v>
      </c>
      <c r="GN37" s="33">
        <f t="shared" si="75"/>
        <v>2939.4034698820415</v>
      </c>
      <c r="GO37" s="33">
        <f t="shared" si="75"/>
        <v>2951.6509843398831</v>
      </c>
      <c r="GP37" s="33">
        <f t="shared" si="75"/>
        <v>2963.949530107966</v>
      </c>
      <c r="GQ37" s="33">
        <f t="shared" si="75"/>
        <v>2976.2993198167492</v>
      </c>
      <c r="GR37" s="33">
        <f t="shared" si="75"/>
        <v>2988.7005669826522</v>
      </c>
      <c r="GS37" s="33">
        <f t="shared" si="75"/>
        <v>3001.1534860117463</v>
      </c>
      <c r="GT37" s="33">
        <f t="shared" si="75"/>
        <v>3013.6582922034618</v>
      </c>
      <c r="GU37" s="33">
        <f t="shared" si="75"/>
        <v>3026.2152017543094</v>
      </c>
      <c r="GV37" s="33">
        <f t="shared" si="75"/>
        <v>3038.8244317616191</v>
      </c>
      <c r="GW37" s="33">
        <f t="shared" si="75"/>
        <v>3051.4862002272926</v>
      </c>
      <c r="GX37" s="33">
        <f t="shared" si="75"/>
        <v>3064.2007260615728</v>
      </c>
      <c r="GY37" s="33">
        <f t="shared" si="75"/>
        <v>3076.9682290868295</v>
      </c>
      <c r="GZ37" s="33">
        <f t="shared" si="75"/>
        <v>3089.7889300413581</v>
      </c>
      <c r="HA37" s="33">
        <f t="shared" si="75"/>
        <v>3102.6630505831972</v>
      </c>
      <c r="HB37" s="33">
        <f t="shared" si="75"/>
        <v>3115.5908132939603</v>
      </c>
      <c r="HC37" s="33">
        <f t="shared" si="75"/>
        <v>3128.5724416826852</v>
      </c>
      <c r="HD37" s="33">
        <f t="shared" si="75"/>
        <v>3141.6081601896963</v>
      </c>
      <c r="HE37" s="33">
        <f t="shared" si="75"/>
        <v>3154.6981941904864</v>
      </c>
      <c r="HF37" s="33">
        <f t="shared" si="75"/>
        <v>3167.8427699996132</v>
      </c>
      <c r="HG37" s="33">
        <f t="shared" si="75"/>
        <v>3181.0421148746113</v>
      </c>
      <c r="HH37" s="33">
        <f t="shared" si="75"/>
        <v>3194.2964570199224</v>
      </c>
      <c r="HI37" s="33">
        <f t="shared" si="75"/>
        <v>3207.6060255908387</v>
      </c>
      <c r="HJ37" s="33">
        <f t="shared" si="75"/>
        <v>3220.971050697467</v>
      </c>
      <c r="HK37" s="33">
        <f t="shared" si="75"/>
        <v>3234.3917634087065</v>
      </c>
      <c r="HL37" s="33">
        <f t="shared" si="75"/>
        <v>3247.868395756243</v>
      </c>
      <c r="HM37" s="33">
        <f t="shared" si="75"/>
        <v>3261.4011807385605</v>
      </c>
      <c r="HN37" s="33">
        <f t="shared" si="75"/>
        <v>3274.9903523249709</v>
      </c>
      <c r="HO37" s="33">
        <f t="shared" si="75"/>
        <v>3288.6361454596581</v>
      </c>
      <c r="HP37" s="33">
        <f t="shared" si="75"/>
        <v>3302.3387960657401</v>
      </c>
      <c r="HQ37" s="33">
        <f t="shared" si="75"/>
        <v>3316.0985410493472</v>
      </c>
      <c r="HR37" s="33">
        <f t="shared" si="75"/>
        <v>3329.9156183037194</v>
      </c>
      <c r="HS37" s="33">
        <f t="shared" si="75"/>
        <v>3343.790266713318</v>
      </c>
      <c r="HT37" s="33">
        <f t="shared" si="75"/>
        <v>3357.7227261579569</v>
      </c>
      <c r="HU37" s="33">
        <f t="shared" si="75"/>
        <v>3371.7132375169485</v>
      </c>
      <c r="HV37" s="33">
        <f t="shared" si="75"/>
        <v>3385.7620426732692</v>
      </c>
      <c r="HW37" s="33">
        <f t="shared" si="75"/>
        <v>3399.8693845177413</v>
      </c>
      <c r="HX37" s="33">
        <f t="shared" si="75"/>
        <v>3414.035506953232</v>
      </c>
      <c r="HY37" s="33">
        <f t="shared" si="75"/>
        <v>3428.2606548988706</v>
      </c>
      <c r="HZ37" s="33">
        <f t="shared" si="75"/>
        <v>3442.5450742942826</v>
      </c>
      <c r="IA37" s="33">
        <f t="shared" si="75"/>
        <v>3456.8890121038421</v>
      </c>
      <c r="IB37" s="33">
        <f t="shared" si="75"/>
        <v>3471.2927163209415</v>
      </c>
      <c r="IC37" s="33">
        <f t="shared" si="75"/>
        <v>3485.7564359722787</v>
      </c>
      <c r="ID37" s="33">
        <f t="shared" si="75"/>
        <v>3500.2804211221633</v>
      </c>
      <c r="IE37" s="33">
        <f t="shared" si="75"/>
        <v>3514.864922876839</v>
      </c>
      <c r="IF37" s="33">
        <f t="shared" si="75"/>
        <v>3529.5101933888259</v>
      </c>
      <c r="IG37" s="33">
        <f t="shared" si="75"/>
        <v>3544.2164858612791</v>
      </c>
      <c r="IH37" s="33">
        <f t="shared" si="75"/>
        <v>3558.9840545523675</v>
      </c>
      <c r="II37" s="33">
        <f t="shared" si="75"/>
        <v>3573.8131547796688</v>
      </c>
      <c r="IJ37" s="33">
        <f t="shared" si="75"/>
        <v>3588.704042924584</v>
      </c>
      <c r="IK37" s="33">
        <f t="shared" si="75"/>
        <v>3603.6569764367696</v>
      </c>
      <c r="IL37" s="33">
        <f t="shared" si="75"/>
        <v>3618.6722138385894</v>
      </c>
      <c r="IM37" s="33">
        <f t="shared" si="75"/>
        <v>3633.7500147295837</v>
      </c>
      <c r="IN37" s="33">
        <f t="shared" si="75"/>
        <v>3648.8906397909568</v>
      </c>
      <c r="IO37" s="33">
        <f t="shared" si="75"/>
        <v>3664.0943507900856</v>
      </c>
      <c r="IP37" s="33">
        <f t="shared" si="75"/>
        <v>3679.3614105850443</v>
      </c>
      <c r="IQ37" s="33">
        <f t="shared" si="75"/>
        <v>3694.6920831291486</v>
      </c>
      <c r="IR37" s="33">
        <f t="shared" si="75"/>
        <v>3710.0866334755201</v>
      </c>
      <c r="IS37" s="33">
        <f t="shared" si="75"/>
        <v>3725.5453277816682</v>
      </c>
      <c r="IT37" s="33">
        <f t="shared" si="75"/>
        <v>3741.0684333140916</v>
      </c>
      <c r="IU37" s="33">
        <f t="shared" si="75"/>
        <v>3756.6562184529002</v>
      </c>
      <c r="IV37" s="33">
        <f t="shared" si="75"/>
        <v>3772.3089526964541</v>
      </c>
      <c r="IW37" s="33">
        <f t="shared" si="75"/>
        <v>3788.0269066660226</v>
      </c>
      <c r="IX37" s="33">
        <f t="shared" si="75"/>
        <v>3803.8103521104645</v>
      </c>
      <c r="IY37" s="33">
        <f t="shared" ref="IY37:LJ37" si="76">(1+$B$17/12)*IX37</f>
        <v>3819.6595619109248</v>
      </c>
      <c r="IZ37" s="33">
        <f t="shared" si="76"/>
        <v>3835.5748100855535</v>
      </c>
      <c r="JA37" s="33">
        <f t="shared" si="76"/>
        <v>3851.5563717942432</v>
      </c>
      <c r="JB37" s="33">
        <f t="shared" si="76"/>
        <v>3867.6045233433856</v>
      </c>
      <c r="JC37" s="33">
        <f t="shared" si="76"/>
        <v>3883.7195421906495</v>
      </c>
      <c r="JD37" s="33">
        <f t="shared" si="76"/>
        <v>3899.9017069497772</v>
      </c>
      <c r="JE37" s="33">
        <f t="shared" si="76"/>
        <v>3916.1512973954013</v>
      </c>
      <c r="JF37" s="33">
        <f t="shared" si="76"/>
        <v>3932.4685944678822</v>
      </c>
      <c r="JG37" s="33">
        <f t="shared" si="76"/>
        <v>3948.853880278165</v>
      </c>
      <c r="JH37" s="33">
        <f t="shared" si="76"/>
        <v>3965.3074381126571</v>
      </c>
      <c r="JI37" s="33">
        <f t="shared" si="76"/>
        <v>3981.8295524381265</v>
      </c>
      <c r="JJ37" s="33">
        <f t="shared" si="76"/>
        <v>3998.4205089066186</v>
      </c>
      <c r="JK37" s="33">
        <f t="shared" si="76"/>
        <v>4015.0805943603959</v>
      </c>
      <c r="JL37" s="33">
        <f t="shared" si="76"/>
        <v>4031.8100968368976</v>
      </c>
      <c r="JM37" s="33">
        <f t="shared" si="76"/>
        <v>4048.6093055737178</v>
      </c>
      <c r="JN37" s="33">
        <f t="shared" si="76"/>
        <v>4065.4785110136081</v>
      </c>
      <c r="JO37" s="33">
        <f t="shared" si="76"/>
        <v>4082.4180048094981</v>
      </c>
      <c r="JP37" s="33">
        <f t="shared" si="76"/>
        <v>4099.4280798295376</v>
      </c>
      <c r="JQ37" s="33">
        <f t="shared" si="76"/>
        <v>4116.5090301621603</v>
      </c>
      <c r="JR37" s="33">
        <f t="shared" si="76"/>
        <v>4133.6611511211695</v>
      </c>
      <c r="JS37" s="33">
        <f t="shared" si="76"/>
        <v>4150.8847392508405</v>
      </c>
      <c r="JT37" s="33">
        <f t="shared" si="76"/>
        <v>4168.180092331052</v>
      </c>
      <c r="JU37" s="33">
        <f t="shared" si="76"/>
        <v>4185.5475093824316</v>
      </c>
      <c r="JV37" s="33">
        <f t="shared" si="76"/>
        <v>4202.9872906715254</v>
      </c>
      <c r="JW37" s="33">
        <f t="shared" si="76"/>
        <v>4220.4997377159898</v>
      </c>
      <c r="JX37" s="33">
        <f t="shared" si="76"/>
        <v>4238.0851532898059</v>
      </c>
      <c r="JY37" s="33">
        <f t="shared" si="76"/>
        <v>4255.7438414285134</v>
      </c>
      <c r="JZ37" s="33">
        <f t="shared" si="76"/>
        <v>4273.4761074344651</v>
      </c>
      <c r="KA37" s="33">
        <f t="shared" si="76"/>
        <v>4291.2822578821088</v>
      </c>
      <c r="KB37" s="33">
        <f t="shared" si="76"/>
        <v>4309.1626006232846</v>
      </c>
      <c r="KC37" s="33">
        <f t="shared" si="76"/>
        <v>4327.1174447925478</v>
      </c>
      <c r="KD37" s="33">
        <f t="shared" si="76"/>
        <v>4345.1471008125163</v>
      </c>
      <c r="KE37" s="33">
        <f t="shared" si="76"/>
        <v>4363.2518803992352</v>
      </c>
      <c r="KF37" s="33">
        <f t="shared" si="76"/>
        <v>4381.4320965675652</v>
      </c>
      <c r="KG37" s="33">
        <f t="shared" si="76"/>
        <v>4399.6880636365968</v>
      </c>
      <c r="KH37" s="33">
        <f t="shared" si="76"/>
        <v>4418.0200972350822</v>
      </c>
      <c r="KI37" s="33">
        <f t="shared" si="76"/>
        <v>4436.4285143068946</v>
      </c>
      <c r="KJ37" s="33">
        <f t="shared" si="76"/>
        <v>4454.9136331165064</v>
      </c>
      <c r="KK37" s="33">
        <f t="shared" si="76"/>
        <v>4473.4757732544922</v>
      </c>
      <c r="KL37" s="33">
        <f t="shared" si="76"/>
        <v>4492.1152556430525</v>
      </c>
      <c r="KM37" s="33">
        <f t="shared" si="76"/>
        <v>4510.832402541565</v>
      </c>
      <c r="KN37" s="33">
        <f t="shared" si="76"/>
        <v>4529.6275375521545</v>
      </c>
      <c r="KO37" s="33">
        <f t="shared" si="76"/>
        <v>4548.5009856252882</v>
      </c>
      <c r="KP37" s="33">
        <f t="shared" si="76"/>
        <v>4567.4530730653933</v>
      </c>
      <c r="KQ37" s="33">
        <f t="shared" si="76"/>
        <v>4586.4841275364988</v>
      </c>
      <c r="KR37" s="33">
        <f t="shared" si="76"/>
        <v>4605.594478067901</v>
      </c>
      <c r="KS37" s="33">
        <f t="shared" si="76"/>
        <v>4624.7844550598502</v>
      </c>
      <c r="KT37" s="33">
        <f t="shared" si="76"/>
        <v>4644.0543902892659</v>
      </c>
      <c r="KU37" s="33">
        <f t="shared" si="76"/>
        <v>4663.4046169154708</v>
      </c>
      <c r="KV37" s="33">
        <f t="shared" si="76"/>
        <v>4682.8354694859518</v>
      </c>
      <c r="KW37" s="33">
        <f t="shared" si="76"/>
        <v>4702.3472839421429</v>
      </c>
      <c r="KX37" s="33">
        <f t="shared" si="76"/>
        <v>4721.9403976252352</v>
      </c>
      <c r="KY37" s="33">
        <f t="shared" si="76"/>
        <v>4741.6151492820072</v>
      </c>
      <c r="KZ37" s="33">
        <f t="shared" si="76"/>
        <v>4761.3718790706826</v>
      </c>
      <c r="LA37" s="33">
        <f t="shared" si="76"/>
        <v>4781.2109285668103</v>
      </c>
      <c r="LB37" s="33">
        <f t="shared" si="76"/>
        <v>4801.1326407691722</v>
      </c>
      <c r="LC37" s="33">
        <f t="shared" si="76"/>
        <v>4821.1373601057103</v>
      </c>
      <c r="LD37" s="33">
        <f t="shared" si="76"/>
        <v>4841.2254324394844</v>
      </c>
      <c r="LE37" s="33">
        <f t="shared" si="76"/>
        <v>4861.3972050746488</v>
      </c>
      <c r="LF37" s="33">
        <f t="shared" si="76"/>
        <v>4881.6530267624594</v>
      </c>
      <c r="LG37" s="33">
        <f t="shared" si="76"/>
        <v>4901.9932477073025</v>
      </c>
      <c r="LH37" s="33">
        <f t="shared" si="76"/>
        <v>4922.4182195727499</v>
      </c>
      <c r="LI37" s="33">
        <f t="shared" si="76"/>
        <v>4942.9282954876362</v>
      </c>
      <c r="LJ37" s="33">
        <f t="shared" si="76"/>
        <v>4963.5238300521678</v>
      </c>
      <c r="LK37" s="33">
        <f t="shared" ref="LK37:MX37" si="77">(1+$B$17/12)*LJ37</f>
        <v>4984.2051793440514</v>
      </c>
      <c r="LL37" s="33">
        <f t="shared" si="77"/>
        <v>5004.9727009246517</v>
      </c>
      <c r="LM37" s="33">
        <f t="shared" si="77"/>
        <v>5025.826753845171</v>
      </c>
      <c r="LN37" s="33">
        <f t="shared" si="77"/>
        <v>5046.7676986528595</v>
      </c>
      <c r="LO37" s="33">
        <f t="shared" si="77"/>
        <v>5067.7958973972463</v>
      </c>
      <c r="LP37" s="33">
        <f t="shared" si="77"/>
        <v>5088.9117136364011</v>
      </c>
      <c r="LQ37" s="33">
        <f t="shared" si="77"/>
        <v>5110.1155124432198</v>
      </c>
      <c r="LR37" s="33">
        <f t="shared" si="77"/>
        <v>5131.4076604117336</v>
      </c>
      <c r="LS37" s="33">
        <f t="shared" si="77"/>
        <v>5152.788525663449</v>
      </c>
      <c r="LT37" s="33">
        <f t="shared" si="77"/>
        <v>5174.258477853713</v>
      </c>
      <c r="LU37" s="33">
        <f t="shared" si="77"/>
        <v>5195.8178881781032</v>
      </c>
      <c r="LV37" s="33">
        <f t="shared" si="77"/>
        <v>5217.4671293788451</v>
      </c>
      <c r="LW37" s="33">
        <f t="shared" si="77"/>
        <v>5239.2065757512573</v>
      </c>
      <c r="LX37" s="33">
        <f t="shared" si="77"/>
        <v>5261.0366031502208</v>
      </c>
      <c r="LY37" s="33">
        <f t="shared" si="77"/>
        <v>5282.95758899668</v>
      </c>
      <c r="LZ37" s="33">
        <f t="shared" si="77"/>
        <v>5304.9699122841657</v>
      </c>
      <c r="MA37" s="33">
        <f t="shared" si="77"/>
        <v>5327.07395358535</v>
      </c>
      <c r="MB37" s="33">
        <f t="shared" si="77"/>
        <v>5349.2700950586222</v>
      </c>
      <c r="MC37" s="33">
        <f t="shared" si="77"/>
        <v>5371.5587204547001</v>
      </c>
      <c r="MD37" s="33">
        <f t="shared" si="77"/>
        <v>5393.9402151232616</v>
      </c>
      <c r="ME37" s="33">
        <f t="shared" si="77"/>
        <v>5416.4149660196081</v>
      </c>
      <c r="MF37" s="33">
        <f t="shared" si="77"/>
        <v>5438.9833617113563</v>
      </c>
      <c r="MG37" s="33">
        <f t="shared" si="77"/>
        <v>5461.645792385154</v>
      </c>
      <c r="MH37" s="33">
        <f t="shared" si="77"/>
        <v>5484.4026498534258</v>
      </c>
      <c r="MI37" s="33">
        <f t="shared" si="77"/>
        <v>5507.2543275611488</v>
      </c>
      <c r="MJ37" s="33">
        <f t="shared" si="77"/>
        <v>5530.201220592653</v>
      </c>
      <c r="MK37" s="33">
        <f t="shared" si="77"/>
        <v>5553.243725678456</v>
      </c>
      <c r="ML37" s="33">
        <f t="shared" si="77"/>
        <v>5576.3822412021163</v>
      </c>
      <c r="MM37" s="33">
        <f t="shared" si="77"/>
        <v>5599.617167207125</v>
      </c>
      <c r="MN37" s="33">
        <f t="shared" si="77"/>
        <v>5622.9489054038213</v>
      </c>
      <c r="MO37" s="33">
        <f t="shared" si="77"/>
        <v>5646.3778591763376</v>
      </c>
      <c r="MP37" s="33">
        <f t="shared" si="77"/>
        <v>5669.9044335895724</v>
      </c>
      <c r="MQ37" s="33">
        <f t="shared" si="77"/>
        <v>5693.5290353961955</v>
      </c>
      <c r="MR37" s="33">
        <f t="shared" si="77"/>
        <v>5717.25207304368</v>
      </c>
      <c r="MS37" s="33">
        <f t="shared" si="77"/>
        <v>5741.0739566813618</v>
      </c>
      <c r="MT37" s="33">
        <f t="shared" si="77"/>
        <v>5764.9950981675338</v>
      </c>
      <c r="MU37" s="33">
        <f t="shared" si="77"/>
        <v>5789.0159110765653</v>
      </c>
      <c r="MV37" s="33">
        <f t="shared" si="77"/>
        <v>5813.1368107060507</v>
      </c>
      <c r="MW37" s="33">
        <f t="shared" si="77"/>
        <v>5837.3582140839926</v>
      </c>
      <c r="MX37" s="55">
        <f t="shared" si="77"/>
        <v>5861.6805399760087</v>
      </c>
      <c r="MY37" s="1"/>
      <c r="MZ37" s="1"/>
      <c r="NA37" s="1"/>
      <c r="NB37" s="1"/>
      <c r="NC37" s="1"/>
      <c r="ND37" s="1"/>
      <c r="NE37" s="1"/>
      <c r="NF37" s="13">
        <v>0.18</v>
      </c>
      <c r="NG37" s="1">
        <f>Combine!A39</f>
        <v>48212</v>
      </c>
      <c r="NH37" s="14">
        <f>Combine!F39</f>
        <v>94542.440729063193</v>
      </c>
    </row>
    <row r="38" spans="1:372" ht="12.75" customHeight="1" x14ac:dyDescent="0.3">
      <c r="A38" s="42" t="s">
        <v>876</v>
      </c>
      <c r="B38" s="43">
        <f>B24</f>
        <v>51047.200000000004</v>
      </c>
      <c r="C38" s="44">
        <f t="shared" ref="C38:BN38" si="78">B38*(1+$B$18/12)+C36-C37</f>
        <v>51936.720225369769</v>
      </c>
      <c r="D38" s="44">
        <f t="shared" si="78"/>
        <v>52828.125826910938</v>
      </c>
      <c r="E38" s="44">
        <f t="shared" si="78"/>
        <v>53721.412537576136</v>
      </c>
      <c r="F38" s="44">
        <f t="shared" si="78"/>
        <v>54616.575991804777</v>
      </c>
      <c r="G38" s="44">
        <f t="shared" si="78"/>
        <v>55513.611724574796</v>
      </c>
      <c r="H38" s="44">
        <f t="shared" si="78"/>
        <v>56412.515170446823</v>
      </c>
      <c r="I38" s="44">
        <f t="shared" si="78"/>
        <v>57313.281662600813</v>
      </c>
      <c r="J38" s="44">
        <f t="shared" si="78"/>
        <v>58215.906431864976</v>
      </c>
      <c r="K38" s="44">
        <f t="shared" si="78"/>
        <v>59120.384605737054</v>
      </c>
      <c r="L38" s="44">
        <f t="shared" si="78"/>
        <v>60026.711207397799</v>
      </c>
      <c r="M38" s="44">
        <f t="shared" si="78"/>
        <v>60934.881154716662</v>
      </c>
      <c r="N38" s="44">
        <f t="shared" si="78"/>
        <v>61844.889259249619</v>
      </c>
      <c r="O38" s="44">
        <f t="shared" si="78"/>
        <v>62756.730225229039</v>
      </c>
      <c r="P38" s="44">
        <f t="shared" si="78"/>
        <v>63670.398648545575</v>
      </c>
      <c r="Q38" s="44">
        <f t="shared" si="78"/>
        <v>64585.889015722016</v>
      </c>
      <c r="R38" s="44">
        <f t="shared" si="78"/>
        <v>65503.195702879028</v>
      </c>
      <c r="S38" s="44">
        <f t="shared" si="78"/>
        <v>66422.312974692759</v>
      </c>
      <c r="T38" s="44">
        <f t="shared" si="78"/>
        <v>67343.234983344155</v>
      </c>
      <c r="U38" s="44">
        <f t="shared" si="78"/>
        <v>68265.955767460007</v>
      </c>
      <c r="V38" s="44">
        <f t="shared" si="78"/>
        <v>69190.469251045797</v>
      </c>
      <c r="W38" s="44">
        <f t="shared" si="78"/>
        <v>70116.769242409864</v>
      </c>
      <c r="X38" s="44">
        <f t="shared" si="78"/>
        <v>71044.849433079362</v>
      </c>
      <c r="Y38" s="44">
        <f t="shared" si="78"/>
        <v>71974.703396707584</v>
      </c>
      <c r="Z38" s="44">
        <f t="shared" si="78"/>
        <v>72906.324587972631</v>
      </c>
      <c r="AA38" s="44">
        <f t="shared" si="78"/>
        <v>73839.706341467521</v>
      </c>
      <c r="AB38" s="44">
        <f t="shared" si="78"/>
        <v>74774.841870581571</v>
      </c>
      <c r="AC38" s="44">
        <f t="shared" si="78"/>
        <v>75711.724266372985</v>
      </c>
      <c r="AD38" s="44">
        <f t="shared" si="78"/>
        <v>76650.346496432525</v>
      </c>
      <c r="AE38" s="44">
        <f t="shared" si="78"/>
        <v>77590.701403738465</v>
      </c>
      <c r="AF38" s="44">
        <f t="shared" si="78"/>
        <v>78532.78170550229</v>
      </c>
      <c r="AG38" s="44">
        <f t="shared" si="78"/>
        <v>79476.579992005645</v>
      </c>
      <c r="AH38" s="44">
        <f t="shared" si="78"/>
        <v>80422.088725427951</v>
      </c>
      <c r="AI38" s="44">
        <f t="shared" si="78"/>
        <v>81369.300238665033</v>
      </c>
      <c r="AJ38" s="44">
        <f t="shared" si="78"/>
        <v>82318.206734138352</v>
      </c>
      <c r="AK38" s="44">
        <f t="shared" si="78"/>
        <v>83268.800282595024</v>
      </c>
      <c r="AL38" s="44">
        <f t="shared" si="78"/>
        <v>84221.072821898415</v>
      </c>
      <c r="AM38" s="44">
        <f t="shared" si="78"/>
        <v>85175.016155809368</v>
      </c>
      <c r="AN38" s="44">
        <f t="shared" si="78"/>
        <v>86130.621952757821</v>
      </c>
      <c r="AO38" s="44">
        <f t="shared" si="78"/>
        <v>87087.881744604951</v>
      </c>
      <c r="AP38" s="44">
        <f t="shared" si="78"/>
        <v>88046.786925395616</v>
      </c>
      <c r="AQ38" s="44">
        <f t="shared" si="78"/>
        <v>89007.328750100976</v>
      </c>
      <c r="AR38" s="44">
        <f t="shared" si="78"/>
        <v>89969.498333351556</v>
      </c>
      <c r="AS38" s="44">
        <f t="shared" si="78"/>
        <v>90933.286648160269</v>
      </c>
      <c r="AT38" s="44">
        <f t="shared" si="78"/>
        <v>91898.684524635522</v>
      </c>
      <c r="AU38" s="44">
        <f t="shared" si="78"/>
        <v>92865.682648684393</v>
      </c>
      <c r="AV38" s="44">
        <f t="shared" si="78"/>
        <v>93834.271560705645</v>
      </c>
      <c r="AW38" s="44">
        <f t="shared" si="78"/>
        <v>94804.441654272698</v>
      </c>
      <c r="AX38" s="44">
        <f t="shared" si="78"/>
        <v>95776.183174806254</v>
      </c>
      <c r="AY38" s="44">
        <f t="shared" si="78"/>
        <v>96749.486218236721</v>
      </c>
      <c r="AZ38" s="44">
        <f t="shared" si="78"/>
        <v>97724.340729656207</v>
      </c>
      <c r="BA38" s="44">
        <f t="shared" si="78"/>
        <v>98700.736501960069</v>
      </c>
      <c r="BB38" s="44">
        <f t="shared" si="78"/>
        <v>99678.663174477973</v>
      </c>
      <c r="BC38" s="44">
        <f t="shared" si="78"/>
        <v>100658.11023159434</v>
      </c>
      <c r="BD38" s="44">
        <f t="shared" si="78"/>
        <v>101639.06700135811</v>
      </c>
      <c r="BE38" s="44">
        <f t="shared" si="78"/>
        <v>102621.52265408172</v>
      </c>
      <c r="BF38" s="44">
        <f t="shared" si="78"/>
        <v>103605.46620092932</v>
      </c>
      <c r="BG38" s="44">
        <f t="shared" si="78"/>
        <v>104590.886492494</v>
      </c>
      <c r="BH38" s="44">
        <f t="shared" si="78"/>
        <v>105577.77221736412</v>
      </c>
      <c r="BI38" s="44">
        <f t="shared" si="78"/>
        <v>106566.11190067849</v>
      </c>
      <c r="BJ38" s="44">
        <f t="shared" si="78"/>
        <v>107555.89390267039</v>
      </c>
      <c r="BK38" s="44">
        <f t="shared" si="78"/>
        <v>108547.10641720047</v>
      </c>
      <c r="BL38" s="44">
        <f t="shared" si="78"/>
        <v>109539.73747027824</v>
      </c>
      <c r="BM38" s="44">
        <f t="shared" si="78"/>
        <v>110533.77491857218</v>
      </c>
      <c r="BN38" s="44">
        <f t="shared" si="78"/>
        <v>111529.20644790839</v>
      </c>
      <c r="BO38" s="44">
        <f t="shared" ref="BO38:DZ38" si="79">BN38*(1+$B$18/12)+BO36-BO37</f>
        <v>112526.01957175776</v>
      </c>
      <c r="BP38" s="44">
        <f t="shared" si="79"/>
        <v>113524.20162971132</v>
      </c>
      <c r="BQ38" s="44">
        <f t="shared" si="79"/>
        <v>114523.739785944</v>
      </c>
      <c r="BR38" s="44">
        <f t="shared" si="79"/>
        <v>115524.62102766657</v>
      </c>
      <c r="BS38" s="44">
        <f t="shared" si="79"/>
        <v>116526.83216356565</v>
      </c>
      <c r="BT38" s="44">
        <f t="shared" si="79"/>
        <v>117530.35982223175</v>
      </c>
      <c r="BU38" s="44">
        <f t="shared" si="79"/>
        <v>118535.19045057523</v>
      </c>
      <c r="BV38" s="44">
        <f t="shared" si="79"/>
        <v>119541.31031223014</v>
      </c>
      <c r="BW38" s="44">
        <f t="shared" si="79"/>
        <v>120548.70548594576</v>
      </c>
      <c r="BX38" s="44">
        <f t="shared" si="79"/>
        <v>121557.3618639659</v>
      </c>
      <c r="BY38" s="44">
        <f t="shared" si="79"/>
        <v>122567.26515039567</v>
      </c>
      <c r="BZ38" s="44">
        <f t="shared" si="79"/>
        <v>123578.40085955584</v>
      </c>
      <c r="CA38" s="44">
        <f t="shared" si="79"/>
        <v>124590.75431432454</v>
      </c>
      <c r="CB38" s="44">
        <f t="shared" si="79"/>
        <v>125604.31064446627</v>
      </c>
      <c r="CC38" s="44">
        <f t="shared" si="79"/>
        <v>126619.05478494815</v>
      </c>
      <c r="CD38" s="44">
        <f t="shared" si="79"/>
        <v>127634.97147424334</v>
      </c>
      <c r="CE38" s="44">
        <f t="shared" si="79"/>
        <v>128652.04525262141</v>
      </c>
      <c r="CF38" s="44">
        <f t="shared" si="79"/>
        <v>129670.26046042566</v>
      </c>
      <c r="CG38" s="44">
        <f t="shared" si="79"/>
        <v>130689.60123633736</v>
      </c>
      <c r="CH38" s="44">
        <f t="shared" si="79"/>
        <v>131710.05151562669</v>
      </c>
      <c r="CI38" s="44">
        <f t="shared" si="79"/>
        <v>132731.59502839035</v>
      </c>
      <c r="CJ38" s="44">
        <f t="shared" si="79"/>
        <v>133754.21529777566</v>
      </c>
      <c r="CK38" s="44">
        <f t="shared" si="79"/>
        <v>134777.89563819126</v>
      </c>
      <c r="CL38" s="44">
        <f t="shared" si="79"/>
        <v>135802.61915350403</v>
      </c>
      <c r="CM38" s="44">
        <f t="shared" si="79"/>
        <v>136828.36873522252</v>
      </c>
      <c r="CN38" s="44">
        <f t="shared" si="79"/>
        <v>137855.12706066621</v>
      </c>
      <c r="CO38" s="44">
        <f t="shared" si="79"/>
        <v>138882.87659112102</v>
      </c>
      <c r="CP38" s="44">
        <f t="shared" si="79"/>
        <v>139911.5995699809</v>
      </c>
      <c r="CQ38" s="44">
        <f t="shared" si="79"/>
        <v>140941.27802087506</v>
      </c>
      <c r="CR38" s="44">
        <f t="shared" si="79"/>
        <v>141971.89374578124</v>
      </c>
      <c r="CS38" s="44">
        <f t="shared" si="79"/>
        <v>143003.4283231243</v>
      </c>
      <c r="CT38" s="44">
        <f t="shared" si="79"/>
        <v>144035.86310586071</v>
      </c>
      <c r="CU38" s="44">
        <f t="shared" si="79"/>
        <v>145069.17921954833</v>
      </c>
      <c r="CV38" s="44">
        <f t="shared" si="79"/>
        <v>146103.3575604014</v>
      </c>
      <c r="CW38" s="44">
        <f t="shared" si="79"/>
        <v>147138.3787933313</v>
      </c>
      <c r="CX38" s="44">
        <f t="shared" si="79"/>
        <v>148174.22334997175</v>
      </c>
      <c r="CY38" s="44">
        <f t="shared" si="79"/>
        <v>149210.87142668967</v>
      </c>
      <c r="CZ38" s="44">
        <f t="shared" si="79"/>
        <v>150248.30298258053</v>
      </c>
      <c r="DA38" s="44">
        <f t="shared" si="79"/>
        <v>151286.49773744875</v>
      </c>
      <c r="DB38" s="44">
        <f t="shared" si="79"/>
        <v>152325.43516977291</v>
      </c>
      <c r="DC38" s="44">
        <f t="shared" si="79"/>
        <v>153365.09451465515</v>
      </c>
      <c r="DD38" s="44">
        <f t="shared" si="79"/>
        <v>154405.45476175559</v>
      </c>
      <c r="DE38" s="44">
        <f t="shared" si="79"/>
        <v>155446.49465321077</v>
      </c>
      <c r="DF38" s="44">
        <f t="shared" si="79"/>
        <v>156488.19268153646</v>
      </c>
      <c r="DG38" s="44">
        <f t="shared" si="79"/>
        <v>157530.52708751458</v>
      </c>
      <c r="DH38" s="44">
        <f t="shared" si="79"/>
        <v>158573.47585806446</v>
      </c>
      <c r="DI38" s="44">
        <f t="shared" si="79"/>
        <v>159617.01672409754</v>
      </c>
      <c r="DJ38" s="44">
        <f t="shared" si="79"/>
        <v>160661.12715835631</v>
      </c>
      <c r="DK38" s="44">
        <f t="shared" si="79"/>
        <v>161705.78437323676</v>
      </c>
      <c r="DL38" s="44">
        <f t="shared" si="79"/>
        <v>162750.96531859439</v>
      </c>
      <c r="DM38" s="44">
        <f t="shared" si="79"/>
        <v>163796.64667953382</v>
      </c>
      <c r="DN38" s="44">
        <f t="shared" si="79"/>
        <v>164842.80487418157</v>
      </c>
      <c r="DO38" s="44">
        <f t="shared" si="79"/>
        <v>165889.41605144233</v>
      </c>
      <c r="DP38" s="44">
        <f t="shared" si="79"/>
        <v>166936.45608873802</v>
      </c>
      <c r="DQ38" s="44">
        <f t="shared" si="79"/>
        <v>167983.90058973015</v>
      </c>
      <c r="DR38" s="44">
        <f t="shared" si="79"/>
        <v>169031.72488202478</v>
      </c>
      <c r="DS38" s="44">
        <f t="shared" si="79"/>
        <v>170079.90401486043</v>
      </c>
      <c r="DT38" s="44">
        <f t="shared" si="79"/>
        <v>171128.4127567785</v>
      </c>
      <c r="DU38" s="44">
        <f t="shared" si="79"/>
        <v>172177.22559327626</v>
      </c>
      <c r="DV38" s="44">
        <f t="shared" si="79"/>
        <v>173226.31672444215</v>
      </c>
      <c r="DW38" s="44">
        <f t="shared" si="79"/>
        <v>174275.6600625733</v>
      </c>
      <c r="DX38" s="44">
        <f t="shared" si="79"/>
        <v>175325.2292297754</v>
      </c>
      <c r="DY38" s="44">
        <f t="shared" si="79"/>
        <v>176374.99755554425</v>
      </c>
      <c r="DZ38" s="44">
        <f t="shared" si="79"/>
        <v>177424.93807432931</v>
      </c>
      <c r="EA38" s="44">
        <f t="shared" ref="EA38:GL38" si="80">DZ38*(1+$B$18/12)+EA36-EA37</f>
        <v>178475.02352307906</v>
      </c>
      <c r="EB38" s="44">
        <f t="shared" si="80"/>
        <v>179525.22633876797</v>
      </c>
      <c r="EC38" s="44">
        <f t="shared" si="80"/>
        <v>180575.51865590471</v>
      </c>
      <c r="ED38" s="44">
        <f t="shared" si="80"/>
        <v>181625.87230402205</v>
      </c>
      <c r="EE38" s="44">
        <f t="shared" si="80"/>
        <v>182676.25880514761</v>
      </c>
      <c r="EF38" s="44">
        <f t="shared" si="80"/>
        <v>183726.64937125609</v>
      </c>
      <c r="EG38" s="44">
        <f t="shared" si="80"/>
        <v>184777.01490170209</v>
      </c>
      <c r="EH38" s="44">
        <f t="shared" si="80"/>
        <v>185827.32598063385</v>
      </c>
      <c r="EI38" s="44">
        <f t="shared" si="80"/>
        <v>186877.55287438782</v>
      </c>
      <c r="EJ38" s="44">
        <f t="shared" si="80"/>
        <v>187927.66552886349</v>
      </c>
      <c r="EK38" s="44">
        <f t="shared" si="80"/>
        <v>188977.63356687879</v>
      </c>
      <c r="EL38" s="44">
        <f t="shared" si="80"/>
        <v>190027.42628550579</v>
      </c>
      <c r="EM38" s="44">
        <f t="shared" si="80"/>
        <v>191077.01265338628</v>
      </c>
      <c r="EN38" s="44">
        <f t="shared" si="80"/>
        <v>192126.36130802758</v>
      </c>
      <c r="EO38" s="44">
        <f t="shared" si="80"/>
        <v>193175.44055307814</v>
      </c>
      <c r="EP38" s="44">
        <f t="shared" si="80"/>
        <v>194224.21835558256</v>
      </c>
      <c r="EQ38" s="44">
        <f t="shared" si="80"/>
        <v>195272.66234321648</v>
      </c>
      <c r="ER38" s="44">
        <f t="shared" si="80"/>
        <v>196320.73980150078</v>
      </c>
      <c r="ES38" s="44">
        <f t="shared" si="80"/>
        <v>197368.41767099491</v>
      </c>
      <c r="ET38" s="44">
        <f t="shared" si="80"/>
        <v>198415.66254446949</v>
      </c>
      <c r="EU38" s="44">
        <f t="shared" si="80"/>
        <v>199462.44066405768</v>
      </c>
      <c r="EV38" s="44">
        <f t="shared" si="80"/>
        <v>200508.71791838555</v>
      </c>
      <c r="EW38" s="44">
        <f t="shared" si="80"/>
        <v>201554.45983968093</v>
      </c>
      <c r="EX38" s="44">
        <f t="shared" si="80"/>
        <v>202599.63160086097</v>
      </c>
      <c r="EY38" s="44">
        <f t="shared" si="80"/>
        <v>203644.19801259783</v>
      </c>
      <c r="EZ38" s="44">
        <f t="shared" si="80"/>
        <v>204688.12352036269</v>
      </c>
      <c r="FA38" s="44">
        <f t="shared" si="80"/>
        <v>205731.37220144778</v>
      </c>
      <c r="FB38" s="44">
        <f t="shared" si="80"/>
        <v>206773.90776196634</v>
      </c>
      <c r="FC38" s="44">
        <f t="shared" si="80"/>
        <v>207815.69353383026</v>
      </c>
      <c r="FD38" s="44">
        <f t="shared" si="80"/>
        <v>208856.69247170523</v>
      </c>
      <c r="FE38" s="44">
        <f t="shared" si="80"/>
        <v>209896.86714994349</v>
      </c>
      <c r="FF38" s="44">
        <f t="shared" si="80"/>
        <v>210936.17975949365</v>
      </c>
      <c r="FG38" s="44">
        <f t="shared" si="80"/>
        <v>211974.59210478765</v>
      </c>
      <c r="FH38" s="44">
        <f t="shared" si="80"/>
        <v>213012.06560060481</v>
      </c>
      <c r="FI38" s="44">
        <f t="shared" si="80"/>
        <v>214048.56126891228</v>
      </c>
      <c r="FJ38" s="44">
        <f t="shared" si="80"/>
        <v>215084.03973568257</v>
      </c>
      <c r="FK38" s="44">
        <f t="shared" si="80"/>
        <v>216118.46122768713</v>
      </c>
      <c r="FL38" s="44">
        <f t="shared" si="80"/>
        <v>217151.78556926636</v>
      </c>
      <c r="FM38" s="44">
        <f t="shared" si="80"/>
        <v>218183.9721790757</v>
      </c>
      <c r="FN38" s="44">
        <f t="shared" si="80"/>
        <v>219214.98006680774</v>
      </c>
      <c r="FO38" s="44">
        <f t="shared" si="80"/>
        <v>220244.76782988981</v>
      </c>
      <c r="FP38" s="44">
        <f t="shared" si="80"/>
        <v>221273.2936501576</v>
      </c>
      <c r="FQ38" s="44">
        <f t="shared" si="80"/>
        <v>222300.51529050377</v>
      </c>
      <c r="FR38" s="44">
        <f t="shared" si="80"/>
        <v>223326.39009150214</v>
      </c>
      <c r="FS38" s="44">
        <f t="shared" si="80"/>
        <v>224350.87496800662</v>
      </c>
      <c r="FT38" s="44">
        <f t="shared" si="80"/>
        <v>225373.92640572539</v>
      </c>
      <c r="FU38" s="44">
        <f t="shared" si="80"/>
        <v>226395.50045776955</v>
      </c>
      <c r="FV38" s="44">
        <f t="shared" si="80"/>
        <v>227415.5527411763</v>
      </c>
      <c r="FW38" s="44">
        <f t="shared" si="80"/>
        <v>228434.03843340671</v>
      </c>
      <c r="FX38" s="44">
        <f t="shared" si="80"/>
        <v>229450.91226881734</v>
      </c>
      <c r="FY38" s="44">
        <f t="shared" si="80"/>
        <v>230466.12853510611</v>
      </c>
      <c r="FZ38" s="44">
        <f t="shared" si="80"/>
        <v>231479.64106973194</v>
      </c>
      <c r="GA38" s="44">
        <f t="shared" si="80"/>
        <v>232491.40325630788</v>
      </c>
      <c r="GB38" s="44">
        <f t="shared" si="80"/>
        <v>233501.36802096776</v>
      </c>
      <c r="GC38" s="44">
        <f t="shared" si="80"/>
        <v>234509.48782870619</v>
      </c>
      <c r="GD38" s="44">
        <f t="shared" si="80"/>
        <v>235515.71467969139</v>
      </c>
      <c r="GE38" s="44">
        <f t="shared" si="80"/>
        <v>236520.00010555112</v>
      </c>
      <c r="GF38" s="44">
        <f t="shared" si="80"/>
        <v>237522.29516563122</v>
      </c>
      <c r="GG38" s="44">
        <f t="shared" si="80"/>
        <v>238522.5504432265</v>
      </c>
      <c r="GH38" s="44">
        <f t="shared" si="80"/>
        <v>239520.71604178412</v>
      </c>
      <c r="GI38" s="44">
        <f t="shared" si="80"/>
        <v>240516.74158107908</v>
      </c>
      <c r="GJ38" s="44">
        <f t="shared" si="80"/>
        <v>241510.57619336128</v>
      </c>
      <c r="GK38" s="44">
        <f t="shared" si="80"/>
        <v>242502.16851947474</v>
      </c>
      <c r="GL38" s="44">
        <f t="shared" si="80"/>
        <v>243491.46670494796</v>
      </c>
      <c r="GM38" s="44">
        <f t="shared" ref="GM38:IX38" si="81">GL38*(1+$B$18/12)+GM36-GM37</f>
        <v>244478.41839605584</v>
      </c>
      <c r="GN38" s="44">
        <f t="shared" si="81"/>
        <v>245462.97073585255</v>
      </c>
      <c r="GO38" s="44">
        <f t="shared" si="81"/>
        <v>246445.07036017519</v>
      </c>
      <c r="GP38" s="44">
        <f t="shared" si="81"/>
        <v>247424.6633936186</v>
      </c>
      <c r="GQ38" s="44">
        <f t="shared" si="81"/>
        <v>248401.69544548003</v>
      </c>
      <c r="GR38" s="44">
        <f t="shared" si="81"/>
        <v>249376.11160567458</v>
      </c>
      <c r="GS38" s="44">
        <f t="shared" si="81"/>
        <v>250347.85644062044</v>
      </c>
      <c r="GT38" s="44">
        <f t="shared" si="81"/>
        <v>251316.87398909414</v>
      </c>
      <c r="GU38" s="44">
        <f t="shared" si="81"/>
        <v>252283.10775805535</v>
      </c>
      <c r="GV38" s="44">
        <f t="shared" si="81"/>
        <v>253246.50071844109</v>
      </c>
      <c r="GW38" s="44">
        <f t="shared" si="81"/>
        <v>254206.99530092932</v>
      </c>
      <c r="GX38" s="44">
        <f t="shared" si="81"/>
        <v>255164.53339167131</v>
      </c>
      <c r="GY38" s="44">
        <f t="shared" si="81"/>
        <v>256119.0563279929</v>
      </c>
      <c r="GZ38" s="44">
        <f t="shared" si="81"/>
        <v>257070.50489406439</v>
      </c>
      <c r="HA38" s="44">
        <f t="shared" si="81"/>
        <v>258018.81931653872</v>
      </c>
      <c r="HB38" s="44">
        <f t="shared" si="81"/>
        <v>258963.93926015758</v>
      </c>
      <c r="HC38" s="44">
        <f t="shared" si="81"/>
        <v>259905.80382332578</v>
      </c>
      <c r="HD38" s="44">
        <f t="shared" si="81"/>
        <v>260844.35153365298</v>
      </c>
      <c r="HE38" s="44">
        <f t="shared" si="81"/>
        <v>261779.52034346302</v>
      </c>
      <c r="HF38" s="44">
        <f t="shared" si="81"/>
        <v>262711.24762527028</v>
      </c>
      <c r="HG38" s="44">
        <f t="shared" si="81"/>
        <v>263639.47016722336</v>
      </c>
      <c r="HH38" s="44">
        <f t="shared" si="81"/>
        <v>264564.12416851526</v>
      </c>
      <c r="HI38" s="44">
        <f t="shared" si="81"/>
        <v>265485.1452347599</v>
      </c>
      <c r="HJ38" s="44">
        <f t="shared" si="81"/>
        <v>266402.46837333543</v>
      </c>
      <c r="HK38" s="44">
        <f t="shared" si="81"/>
        <v>267316.02798869309</v>
      </c>
      <c r="HL38" s="44">
        <f t="shared" si="81"/>
        <v>268225.75787763228</v>
      </c>
      <c r="HM38" s="44">
        <f t="shared" si="81"/>
        <v>269131.59122454067</v>
      </c>
      <c r="HN38" s="44">
        <f t="shared" si="81"/>
        <v>270033.46059660026</v>
      </c>
      <c r="HO38" s="44">
        <f t="shared" si="81"/>
        <v>270931.2979389581</v>
      </c>
      <c r="HP38" s="44">
        <f t="shared" si="81"/>
        <v>271825.03456986207</v>
      </c>
      <c r="HQ38" s="44">
        <f t="shared" si="81"/>
        <v>272714.60117576085</v>
      </c>
      <c r="HR38" s="44">
        <f t="shared" si="81"/>
        <v>273599.9278063688</v>
      </c>
      <c r="HS38" s="44">
        <f t="shared" si="81"/>
        <v>274480.9438696946</v>
      </c>
      <c r="HT38" s="44">
        <f t="shared" si="81"/>
        <v>275357.57812703366</v>
      </c>
      <c r="HU38" s="44">
        <f t="shared" si="81"/>
        <v>276229.75868792448</v>
      </c>
      <c r="HV38" s="44">
        <f t="shared" si="81"/>
        <v>277097.41300506768</v>
      </c>
      <c r="HW38" s="44">
        <f t="shared" si="81"/>
        <v>277960.46786920889</v>
      </c>
      <c r="HX38" s="44">
        <f t="shared" si="81"/>
        <v>278818.84940398386</v>
      </c>
      <c r="HY38" s="44">
        <f t="shared" si="81"/>
        <v>279672.48306072649</v>
      </c>
      <c r="HZ38" s="44">
        <f t="shared" si="81"/>
        <v>280521.2936132389</v>
      </c>
      <c r="IA38" s="44">
        <f t="shared" si="81"/>
        <v>281365.20515252353</v>
      </c>
      <c r="IB38" s="44">
        <f t="shared" si="81"/>
        <v>282204.14108147722</v>
      </c>
      <c r="IC38" s="44">
        <f t="shared" si="81"/>
        <v>283038.02410954674</v>
      </c>
      <c r="ID38" s="44">
        <f t="shared" si="81"/>
        <v>283866.7762473452</v>
      </c>
      <c r="IE38" s="44">
        <f t="shared" si="81"/>
        <v>284690.31880122982</v>
      </c>
      <c r="IF38" s="44">
        <f t="shared" si="81"/>
        <v>285508.5723678401</v>
      </c>
      <c r="IG38" s="44">
        <f t="shared" si="81"/>
        <v>286321.45682859671</v>
      </c>
      <c r="IH38" s="44">
        <f t="shared" si="81"/>
        <v>287128.89134416019</v>
      </c>
      <c r="II38" s="44">
        <f t="shared" si="81"/>
        <v>287930.79434884945</v>
      </c>
      <c r="IJ38" s="44">
        <f t="shared" si="81"/>
        <v>288727.08354502037</v>
      </c>
      <c r="IK38" s="44">
        <f t="shared" si="81"/>
        <v>289517.67589740275</v>
      </c>
      <c r="IL38" s="44">
        <f t="shared" si="81"/>
        <v>290302.48762739747</v>
      </c>
      <c r="IM38" s="44">
        <f t="shared" si="81"/>
        <v>291081.43420733104</v>
      </c>
      <c r="IN38" s="44">
        <f t="shared" si="81"/>
        <v>291854.43035466969</v>
      </c>
      <c r="IO38" s="44">
        <f t="shared" si="81"/>
        <v>292621.39002619096</v>
      </c>
      <c r="IP38" s="44">
        <f t="shared" si="81"/>
        <v>293382.22641211317</v>
      </c>
      <c r="IQ38" s="44">
        <f t="shared" si="81"/>
        <v>294136.85193018278</v>
      </c>
      <c r="IR38" s="44">
        <f t="shared" si="81"/>
        <v>294885.17821971857</v>
      </c>
      <c r="IS38" s="44">
        <f t="shared" si="81"/>
        <v>295627.11613561312</v>
      </c>
      <c r="IT38" s="44">
        <f t="shared" si="81"/>
        <v>296362.57574229059</v>
      </c>
      <c r="IU38" s="44">
        <f t="shared" si="81"/>
        <v>297091.46630762127</v>
      </c>
      <c r="IV38" s="44">
        <f t="shared" si="81"/>
        <v>297813.6962967916</v>
      </c>
      <c r="IW38" s="44">
        <f t="shared" si="81"/>
        <v>298529.17336613056</v>
      </c>
      <c r="IX38" s="44">
        <f t="shared" si="81"/>
        <v>299237.80435689091</v>
      </c>
      <c r="IY38" s="44">
        <f t="shared" ref="IY38:LJ38" si="82">IX38*(1+$B$18/12)+IY36-IY37</f>
        <v>299939.49528898596</v>
      </c>
      <c r="IZ38" s="44">
        <f t="shared" si="82"/>
        <v>300634.15135468089</v>
      </c>
      <c r="JA38" s="44">
        <f t="shared" si="82"/>
        <v>301321.67691223865</v>
      </c>
      <c r="JB38" s="44">
        <f t="shared" si="82"/>
        <v>302001.97547951998</v>
      </c>
      <c r="JC38" s="44">
        <f t="shared" si="82"/>
        <v>302674.94972753729</v>
      </c>
      <c r="JD38" s="44">
        <f t="shared" si="82"/>
        <v>303340.50147396198</v>
      </c>
      <c r="JE38" s="44">
        <f t="shared" si="82"/>
        <v>303998.5316765852</v>
      </c>
      <c r="JF38" s="44">
        <f t="shared" si="82"/>
        <v>304648.94042673113</v>
      </c>
      <c r="JG38" s="44">
        <f t="shared" si="82"/>
        <v>305291.62694262306</v>
      </c>
      <c r="JH38" s="44">
        <f t="shared" si="82"/>
        <v>305926.48956270167</v>
      </c>
      <c r="JI38" s="44">
        <f t="shared" si="82"/>
        <v>306553.42573889496</v>
      </c>
      <c r="JJ38" s="44">
        <f t="shared" si="82"/>
        <v>307172.33202983986</v>
      </c>
      <c r="JK38" s="44">
        <f t="shared" si="82"/>
        <v>307783.10409405525</v>
      </c>
      <c r="JL38" s="44">
        <f t="shared" si="82"/>
        <v>308385.63668306556</v>
      </c>
      <c r="JM38" s="44">
        <f t="shared" si="82"/>
        <v>308979.82363447471</v>
      </c>
      <c r="JN38" s="44">
        <f t="shared" si="82"/>
        <v>309565.5578649909</v>
      </c>
      <c r="JO38" s="44">
        <f t="shared" si="82"/>
        <v>310142.73136340047</v>
      </c>
      <c r="JP38" s="44">
        <f t="shared" si="82"/>
        <v>310711.23518349172</v>
      </c>
      <c r="JQ38" s="44">
        <f t="shared" si="82"/>
        <v>311270.95943692769</v>
      </c>
      <c r="JR38" s="44">
        <f t="shared" si="82"/>
        <v>311821.79328606767</v>
      </c>
      <c r="JS38" s="44">
        <f t="shared" si="82"/>
        <v>312363.62493673735</v>
      </c>
      <c r="JT38" s="44">
        <f t="shared" si="82"/>
        <v>312896.3416309465</v>
      </c>
      <c r="JU38" s="44">
        <f t="shared" si="82"/>
        <v>313419.82963955507</v>
      </c>
      <c r="JV38" s="44">
        <f t="shared" si="82"/>
        <v>313933.97425488598</v>
      </c>
      <c r="JW38" s="44">
        <f t="shared" si="82"/>
        <v>314438.65978328529</v>
      </c>
      <c r="JX38" s="44">
        <f t="shared" si="82"/>
        <v>314933.76953762863</v>
      </c>
      <c r="JY38" s="44">
        <f t="shared" si="82"/>
        <v>315419.18582977413</v>
      </c>
      <c r="JZ38" s="44">
        <f t="shared" si="82"/>
        <v>315894.78996296093</v>
      </c>
      <c r="KA38" s="44">
        <f t="shared" si="82"/>
        <v>316360.46222415357</v>
      </c>
      <c r="KB38" s="44">
        <f t="shared" si="82"/>
        <v>316816.08187633107</v>
      </c>
      <c r="KC38" s="44">
        <f t="shared" si="82"/>
        <v>317261.52715072065</v>
      </c>
      <c r="KD38" s="44">
        <f t="shared" si="82"/>
        <v>317696.67523897614</v>
      </c>
      <c r="KE38" s="44">
        <f t="shared" si="82"/>
        <v>318121.40228530025</v>
      </c>
      <c r="KF38" s="44">
        <f t="shared" si="82"/>
        <v>318535.58337851003</v>
      </c>
      <c r="KG38" s="44">
        <f t="shared" si="82"/>
        <v>318939.09254404594</v>
      </c>
      <c r="KH38" s="44">
        <f t="shared" si="82"/>
        <v>319331.80273592338</v>
      </c>
      <c r="KI38" s="44">
        <f t="shared" si="82"/>
        <v>319713.5858286267</v>
      </c>
      <c r="KJ38" s="44">
        <f t="shared" si="82"/>
        <v>320084.31260894495</v>
      </c>
      <c r="KK38" s="44">
        <f t="shared" si="82"/>
        <v>320443.85276774975</v>
      </c>
      <c r="KL38" s="44">
        <f t="shared" si="82"/>
        <v>320792.07489171339</v>
      </c>
      <c r="KM38" s="44">
        <f t="shared" si="82"/>
        <v>321128.8464549685</v>
      </c>
      <c r="KN38" s="44">
        <f t="shared" si="82"/>
        <v>321454.0338107078</v>
      </c>
      <c r="KO38" s="44">
        <f t="shared" si="82"/>
        <v>321767.50218272349</v>
      </c>
      <c r="KP38" s="44">
        <f t="shared" si="82"/>
        <v>322069.1156568866</v>
      </c>
      <c r="KQ38" s="44">
        <f t="shared" si="82"/>
        <v>322358.73717256472</v>
      </c>
      <c r="KR38" s="44">
        <f t="shared" si="82"/>
        <v>322636.22851397918</v>
      </c>
      <c r="KS38" s="44">
        <f t="shared" si="82"/>
        <v>322901.45030149992</v>
      </c>
      <c r="KT38" s="44">
        <f t="shared" si="82"/>
        <v>323154.26198287844</v>
      </c>
      <c r="KU38" s="44">
        <f t="shared" si="82"/>
        <v>323394.52182441769</v>
      </c>
      <c r="KV38" s="44">
        <f t="shared" si="82"/>
        <v>323622.08690207946</v>
      </c>
      <c r="KW38" s="44">
        <f t="shared" si="82"/>
        <v>323836.81309252791</v>
      </c>
      <c r="KX38" s="44">
        <f t="shared" si="82"/>
        <v>324038.55506410921</v>
      </c>
      <c r="KY38" s="44">
        <f t="shared" si="82"/>
        <v>324227.16626776662</v>
      </c>
      <c r="KZ38" s="44">
        <f t="shared" si="82"/>
        <v>324402.4989278912</v>
      </c>
      <c r="LA38" s="44">
        <f t="shared" si="82"/>
        <v>324564.40403310652</v>
      </c>
      <c r="LB38" s="44">
        <f t="shared" si="82"/>
        <v>324712.73132698843</v>
      </c>
      <c r="LC38" s="44">
        <f t="shared" si="82"/>
        <v>324847.3292987179</v>
      </c>
      <c r="LD38" s="44">
        <f t="shared" si="82"/>
        <v>324968.0451736676</v>
      </c>
      <c r="LE38" s="44">
        <f t="shared" si="82"/>
        <v>325074.72490392136</v>
      </c>
      <c r="LF38" s="44">
        <f t="shared" si="82"/>
        <v>325167.21315872588</v>
      </c>
      <c r="LG38" s="44">
        <f t="shared" si="82"/>
        <v>325245.35331487446</v>
      </c>
      <c r="LH38" s="44">
        <f t="shared" si="82"/>
        <v>325308.98744702205</v>
      </c>
      <c r="LI38" s="44">
        <f t="shared" si="82"/>
        <v>325357.95631793165</v>
      </c>
      <c r="LJ38" s="44">
        <f t="shared" si="82"/>
        <v>325392.09936865082</v>
      </c>
      <c r="LK38" s="44">
        <f t="shared" ref="LK38:MX38" si="83">LJ38*(1+$B$18/12)+LK36-LK37</f>
        <v>325411.25470861845</v>
      </c>
      <c r="LL38" s="44">
        <f t="shared" si="83"/>
        <v>325415.25910570106</v>
      </c>
      <c r="LM38" s="44">
        <f t="shared" si="83"/>
        <v>325403.94797615823</v>
      </c>
      <c r="LN38" s="44">
        <f t="shared" si="83"/>
        <v>325377.15537453617</v>
      </c>
      <c r="LO38" s="44">
        <f t="shared" si="83"/>
        <v>325334.71398349007</v>
      </c>
      <c r="LP38" s="44">
        <f t="shared" si="83"/>
        <v>325276.45510353328</v>
      </c>
      <c r="LQ38" s="44">
        <f t="shared" si="83"/>
        <v>325202.20864271437</v>
      </c>
      <c r="LR38" s="44">
        <f t="shared" si="83"/>
        <v>325111.80310621986</v>
      </c>
      <c r="LS38" s="44">
        <f t="shared" si="83"/>
        <v>325005.06558590359</v>
      </c>
      <c r="LT38" s="44">
        <f t="shared" si="83"/>
        <v>324881.82174974168</v>
      </c>
      <c r="LU38" s="44">
        <f t="shared" si="83"/>
        <v>324741.89583121228</v>
      </c>
      <c r="LV38" s="44">
        <f t="shared" si="83"/>
        <v>324585.11061859963</v>
      </c>
      <c r="LW38" s="44">
        <f t="shared" si="83"/>
        <v>324411.28744422283</v>
      </c>
      <c r="LX38" s="44">
        <f t="shared" si="83"/>
        <v>324220.24617358705</v>
      </c>
      <c r="LY38" s="44">
        <f t="shared" si="83"/>
        <v>324011.80519445881</v>
      </c>
      <c r="LZ38" s="44">
        <f t="shared" si="83"/>
        <v>323785.78140586277</v>
      </c>
      <c r="MA38" s="44">
        <f t="shared" si="83"/>
        <v>323541.99020700075</v>
      </c>
      <c r="MB38" s="44">
        <f t="shared" si="83"/>
        <v>323280.24548609194</v>
      </c>
      <c r="MC38" s="44">
        <f t="shared" si="83"/>
        <v>323000.35960913403</v>
      </c>
      <c r="MD38" s="44">
        <f t="shared" si="83"/>
        <v>322702.14340858458</v>
      </c>
      <c r="ME38" s="44">
        <f t="shared" si="83"/>
        <v>322385.40617196186</v>
      </c>
      <c r="MF38" s="44">
        <f t="shared" si="83"/>
        <v>322049.95563036506</v>
      </c>
      <c r="MG38" s="44">
        <f t="shared" si="83"/>
        <v>321695.59794691287</v>
      </c>
      <c r="MH38" s="44">
        <f t="shared" si="83"/>
        <v>321322.13770510006</v>
      </c>
      <c r="MI38" s="44">
        <f t="shared" si="83"/>
        <v>320929.37789707171</v>
      </c>
      <c r="MJ38" s="44">
        <f t="shared" si="83"/>
        <v>320517.11991181382</v>
      </c>
      <c r="MK38" s="44">
        <f t="shared" si="83"/>
        <v>320085.16352326103</v>
      </c>
      <c r="ML38" s="44">
        <f t="shared" si="83"/>
        <v>319633.30687831918</v>
      </c>
      <c r="MM38" s="44">
        <f t="shared" si="83"/>
        <v>319161.34648480342</v>
      </c>
      <c r="MN38" s="44">
        <f t="shared" si="83"/>
        <v>318669.07719929074</v>
      </c>
      <c r="MO38" s="44">
        <f t="shared" si="83"/>
        <v>318156.29221488681</v>
      </c>
      <c r="MP38" s="44">
        <f t="shared" si="83"/>
        <v>317622.78304890537</v>
      </c>
      <c r="MQ38" s="44">
        <f t="shared" si="83"/>
        <v>317068.33953046123</v>
      </c>
      <c r="MR38" s="44">
        <f t="shared" si="83"/>
        <v>316492.74978797493</v>
      </c>
      <c r="MS38" s="44">
        <f t="shared" si="83"/>
        <v>315895.80023658898</v>
      </c>
      <c r="MT38" s="44">
        <f t="shared" si="83"/>
        <v>315277.27556549531</v>
      </c>
      <c r="MU38" s="44">
        <f t="shared" si="83"/>
        <v>314636.95872517256</v>
      </c>
      <c r="MV38" s="44">
        <f t="shared" si="83"/>
        <v>313974.63091453363</v>
      </c>
      <c r="MW38" s="44">
        <f t="shared" si="83"/>
        <v>313290.07156798168</v>
      </c>
      <c r="MX38" s="58">
        <f t="shared" si="83"/>
        <v>312583.05834237539</v>
      </c>
      <c r="MY38" s="1"/>
      <c r="MZ38" s="1"/>
      <c r="NA38" s="1"/>
      <c r="NB38" s="1"/>
      <c r="NC38" s="1"/>
      <c r="ND38" s="1"/>
      <c r="NE38" s="1"/>
      <c r="NF38" s="13">
        <v>0.185</v>
      </c>
      <c r="NG38" s="1">
        <f>Combine!A40</f>
        <v>49503</v>
      </c>
      <c r="NH38" s="14">
        <f>Combine!F40</f>
        <v>227043.28216727401</v>
      </c>
    </row>
    <row r="39" spans="1:372" ht="12.75" customHeight="1" x14ac:dyDescent="0.3">
      <c r="A39" s="45" t="s">
        <v>877</v>
      </c>
      <c r="B39" s="46">
        <f>DR22</f>
        <v>420376.11615247623</v>
      </c>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c r="NA39" s="1"/>
      <c r="NB39" s="1"/>
      <c r="NC39" s="1"/>
      <c r="ND39" s="1"/>
      <c r="NE39" s="1"/>
      <c r="NF39" s="13">
        <v>0.19</v>
      </c>
      <c r="NG39" s="1">
        <f>Combine!A41</f>
        <v>48146</v>
      </c>
      <c r="NH39" s="14">
        <f>Combine!F41</f>
        <v>122430.00108183001</v>
      </c>
    </row>
    <row r="40" spans="1:372" ht="12.75" customHeight="1" x14ac:dyDescent="0.3">
      <c r="A40" s="48" t="s">
        <v>878</v>
      </c>
      <c r="B40" s="32">
        <f>DR23</f>
        <v>170876.87757473375</v>
      </c>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c r="NA40" s="1"/>
      <c r="NB40" s="1"/>
      <c r="NC40" s="1"/>
      <c r="ND40" s="1"/>
      <c r="NE40" s="1"/>
      <c r="NF40" s="13">
        <v>0.19500000000000001</v>
      </c>
      <c r="NG40" s="1">
        <f>Combine!A42</f>
        <v>48127</v>
      </c>
      <c r="NH40" s="14">
        <f>Combine!F42</f>
        <v>216145.61316256499</v>
      </c>
    </row>
    <row r="41" spans="1:372" ht="12.75" customHeight="1" x14ac:dyDescent="0.3">
      <c r="A41" s="49" t="s">
        <v>879</v>
      </c>
      <c r="B41" s="50">
        <f>DR24</f>
        <v>249499.23857774248</v>
      </c>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c r="NA41" s="1"/>
      <c r="NB41" s="1"/>
      <c r="NC41" s="1"/>
      <c r="ND41" s="1"/>
      <c r="NE41" s="1"/>
      <c r="NF41" s="13">
        <v>0.2</v>
      </c>
      <c r="NG41" s="1">
        <f>Combine!A43</f>
        <v>48035</v>
      </c>
      <c r="NH41" s="14">
        <f>Combine!F43</f>
        <v>189359.57600907501</v>
      </c>
    </row>
    <row r="42" spans="1:372" ht="12.75" customHeight="1" x14ac:dyDescent="0.3">
      <c r="A42" s="49" t="s">
        <v>880</v>
      </c>
      <c r="B42" s="50">
        <f>0.06*DR22</f>
        <v>25222.566969148575</v>
      </c>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c r="BK42" s="41"/>
      <c r="BL42" s="41"/>
      <c r="BM42" s="41"/>
      <c r="BN42" s="41"/>
      <c r="BO42" s="41"/>
      <c r="BP42" s="41"/>
      <c r="BQ42" s="41"/>
      <c r="BR42" s="41"/>
      <c r="BS42" s="41"/>
      <c r="BT42" s="41"/>
      <c r="BU42" s="41"/>
      <c r="BV42" s="41"/>
      <c r="BW42" s="41"/>
      <c r="BX42" s="41"/>
      <c r="BY42" s="41"/>
      <c r="BZ42" s="41"/>
      <c r="CA42" s="41"/>
      <c r="CB42" s="41"/>
      <c r="CC42" s="41"/>
      <c r="CD42" s="41"/>
      <c r="CE42" s="41"/>
      <c r="CF42" s="41"/>
      <c r="CG42" s="41"/>
      <c r="CH42" s="41"/>
      <c r="CI42" s="41"/>
      <c r="CJ42" s="41"/>
      <c r="CK42" s="41"/>
      <c r="CL42" s="41"/>
      <c r="CM42" s="41"/>
      <c r="CN42" s="41"/>
      <c r="CO42" s="41"/>
      <c r="CP42" s="41"/>
      <c r="CQ42" s="41"/>
      <c r="CR42" s="41"/>
      <c r="CS42" s="41"/>
      <c r="CT42" s="41"/>
      <c r="CU42" s="41"/>
      <c r="CV42" s="41"/>
      <c r="CW42" s="41"/>
      <c r="CX42" s="41"/>
      <c r="CY42" s="41"/>
      <c r="CZ42" s="41"/>
      <c r="DA42" s="41"/>
      <c r="DB42" s="41"/>
      <c r="DC42" s="41"/>
      <c r="DD42" s="41"/>
      <c r="DE42" s="41"/>
      <c r="DF42" s="41"/>
      <c r="DG42" s="41"/>
      <c r="DH42" s="41"/>
      <c r="DI42" s="41"/>
      <c r="DJ42" s="41"/>
      <c r="DK42" s="41"/>
      <c r="DL42" s="41"/>
      <c r="DM42" s="41"/>
      <c r="DN42" s="41"/>
      <c r="DO42" s="41"/>
      <c r="DP42" s="41"/>
      <c r="DQ42" s="41"/>
      <c r="DR42" s="41"/>
      <c r="DS42" s="41"/>
      <c r="DT42" s="41"/>
      <c r="DU42" s="41"/>
      <c r="DV42" s="41"/>
      <c r="DW42" s="41"/>
      <c r="DX42" s="41"/>
      <c r="DY42" s="41"/>
      <c r="DZ42" s="41"/>
      <c r="EA42" s="41"/>
      <c r="EB42" s="41"/>
      <c r="EC42" s="41"/>
      <c r="ED42" s="41"/>
      <c r="EE42" s="41"/>
      <c r="EF42" s="41"/>
      <c r="EG42" s="41"/>
      <c r="EH42" s="41"/>
      <c r="EI42" s="41"/>
      <c r="EJ42" s="41"/>
      <c r="EK42" s="41"/>
      <c r="EL42" s="41"/>
      <c r="EM42" s="41"/>
      <c r="EN42" s="41"/>
      <c r="EO42" s="41"/>
      <c r="EP42" s="41"/>
      <c r="EQ42" s="41"/>
      <c r="ER42" s="41"/>
      <c r="ES42" s="41"/>
      <c r="ET42" s="41"/>
      <c r="EU42" s="41"/>
      <c r="EV42" s="41"/>
      <c r="EW42" s="41"/>
      <c r="EX42" s="41"/>
      <c r="EY42" s="41"/>
      <c r="EZ42" s="41"/>
      <c r="FA42" s="41"/>
      <c r="FB42" s="41"/>
      <c r="FC42" s="41"/>
      <c r="FD42" s="41"/>
      <c r="FE42" s="41"/>
      <c r="FF42" s="41"/>
      <c r="FG42" s="41"/>
      <c r="FH42" s="41"/>
      <c r="FI42" s="41"/>
      <c r="FJ42" s="41"/>
      <c r="FK42" s="41"/>
      <c r="FL42" s="41"/>
      <c r="FM42" s="41"/>
      <c r="FN42" s="41"/>
      <c r="FO42" s="41"/>
      <c r="FP42" s="41"/>
      <c r="FQ42" s="41"/>
      <c r="FR42" s="41"/>
      <c r="FS42" s="41"/>
      <c r="FT42" s="41"/>
      <c r="FU42" s="41"/>
      <c r="FV42" s="41"/>
      <c r="FW42" s="41"/>
      <c r="FX42" s="41"/>
      <c r="FY42" s="41"/>
      <c r="FZ42" s="41"/>
      <c r="GA42" s="41"/>
      <c r="GB42" s="41"/>
      <c r="GC42" s="41"/>
      <c r="GD42" s="41"/>
      <c r="GE42" s="41"/>
      <c r="GF42" s="41"/>
      <c r="GG42" s="41"/>
      <c r="GH42" s="41"/>
      <c r="GI42" s="41"/>
      <c r="GJ42" s="41"/>
      <c r="GK42" s="41"/>
      <c r="GL42" s="41"/>
      <c r="GM42" s="41"/>
      <c r="GN42" s="41"/>
      <c r="GO42" s="41"/>
      <c r="GP42" s="41"/>
      <c r="GQ42" s="41"/>
      <c r="GR42" s="41"/>
      <c r="GS42" s="41"/>
      <c r="GT42" s="41"/>
      <c r="GU42" s="41"/>
      <c r="GV42" s="41"/>
      <c r="GW42" s="41"/>
      <c r="GX42" s="41"/>
      <c r="GY42" s="41"/>
      <c r="GZ42" s="41"/>
      <c r="HA42" s="41"/>
      <c r="HB42" s="41"/>
      <c r="HC42" s="41"/>
      <c r="HD42" s="41"/>
      <c r="HE42" s="41"/>
      <c r="HF42" s="41"/>
      <c r="HG42" s="41"/>
      <c r="HH42" s="41"/>
      <c r="HI42" s="41"/>
      <c r="HJ42" s="41"/>
      <c r="HK42" s="41"/>
      <c r="HL42" s="41"/>
      <c r="HM42" s="41"/>
      <c r="HN42" s="41"/>
      <c r="HO42" s="41"/>
      <c r="HP42" s="41"/>
      <c r="HQ42" s="41"/>
      <c r="HR42" s="41"/>
      <c r="HS42" s="41"/>
      <c r="HT42" s="41"/>
      <c r="HU42" s="41"/>
      <c r="HV42" s="41"/>
      <c r="HW42" s="41"/>
      <c r="HX42" s="41"/>
      <c r="HY42" s="41"/>
      <c r="HZ42" s="41"/>
      <c r="IA42" s="41"/>
      <c r="IB42" s="41"/>
      <c r="IC42" s="41"/>
      <c r="ID42" s="41"/>
      <c r="IE42" s="41"/>
      <c r="IF42" s="41"/>
      <c r="IG42" s="41"/>
      <c r="IH42" s="41"/>
      <c r="II42" s="41"/>
      <c r="IJ42" s="41"/>
      <c r="IK42" s="41"/>
      <c r="IL42" s="41"/>
      <c r="IM42" s="41"/>
      <c r="IN42" s="41"/>
      <c r="IO42" s="41"/>
      <c r="IP42" s="41"/>
      <c r="IQ42" s="41"/>
      <c r="IR42" s="41"/>
      <c r="IS42" s="41"/>
      <c r="IT42" s="41"/>
      <c r="IU42" s="41"/>
      <c r="IV42" s="4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3">
        <v>0.20499999999999999</v>
      </c>
      <c r="NG42" s="1">
        <f>Combine!A44</f>
        <v>48910</v>
      </c>
      <c r="NH42" s="14">
        <f>Combine!F44</f>
        <v>107061.243148557</v>
      </c>
    </row>
    <row r="43" spans="1:372" ht="12.75" customHeight="1" x14ac:dyDescent="0.3">
      <c r="A43" s="49" t="s">
        <v>881</v>
      </c>
      <c r="B43" s="50">
        <f>+B41-B42</f>
        <v>224276.6716085939</v>
      </c>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c r="BK43" s="41"/>
      <c r="BL43" s="41"/>
      <c r="BM43" s="41"/>
      <c r="BN43" s="41"/>
      <c r="BO43" s="41"/>
      <c r="BP43" s="41"/>
      <c r="BQ43" s="41"/>
      <c r="BR43" s="41"/>
      <c r="BS43" s="41"/>
      <c r="BT43" s="41"/>
      <c r="BU43" s="41"/>
      <c r="BV43" s="41"/>
      <c r="BW43" s="41"/>
      <c r="BX43" s="41"/>
      <c r="BY43" s="41"/>
      <c r="BZ43" s="41"/>
      <c r="CA43" s="41"/>
      <c r="CB43" s="41"/>
      <c r="CC43" s="41"/>
      <c r="CD43" s="41"/>
      <c r="CE43" s="41"/>
      <c r="CF43" s="41"/>
      <c r="CG43" s="41"/>
      <c r="CH43" s="41"/>
      <c r="CI43" s="41"/>
      <c r="CJ43" s="41"/>
      <c r="CK43" s="41"/>
      <c r="CL43" s="41"/>
      <c r="CM43" s="41"/>
      <c r="CN43" s="41"/>
      <c r="CO43" s="41"/>
      <c r="CP43" s="41"/>
      <c r="CQ43" s="41"/>
      <c r="CR43" s="41"/>
      <c r="CS43" s="41"/>
      <c r="CT43" s="41"/>
      <c r="CU43" s="41"/>
      <c r="CV43" s="41"/>
      <c r="CW43" s="41"/>
      <c r="CX43" s="41"/>
      <c r="CY43" s="41"/>
      <c r="CZ43" s="41"/>
      <c r="DA43" s="41"/>
      <c r="DB43" s="41"/>
      <c r="DC43" s="41"/>
      <c r="DD43" s="41"/>
      <c r="DE43" s="41"/>
      <c r="DF43" s="41"/>
      <c r="DG43" s="41"/>
      <c r="DH43" s="41"/>
      <c r="DI43" s="41"/>
      <c r="DJ43" s="41"/>
      <c r="DK43" s="41"/>
      <c r="DL43" s="41"/>
      <c r="DM43" s="41"/>
      <c r="DN43" s="41"/>
      <c r="DO43" s="41"/>
      <c r="DP43" s="41"/>
      <c r="DQ43" s="41"/>
      <c r="DR43" s="41"/>
      <c r="DS43" s="41"/>
      <c r="DT43" s="41"/>
      <c r="DU43" s="41"/>
      <c r="DV43" s="41"/>
      <c r="DW43" s="41"/>
      <c r="DX43" s="41"/>
      <c r="DY43" s="41"/>
      <c r="DZ43" s="41"/>
      <c r="EA43" s="41"/>
      <c r="EB43" s="41"/>
      <c r="EC43" s="41"/>
      <c r="ED43" s="41"/>
      <c r="EE43" s="41"/>
      <c r="EF43" s="41"/>
      <c r="EG43" s="41"/>
      <c r="EH43" s="41"/>
      <c r="EI43" s="41"/>
      <c r="EJ43" s="41"/>
      <c r="EK43" s="41"/>
      <c r="EL43" s="41"/>
      <c r="EM43" s="41"/>
      <c r="EN43" s="41"/>
      <c r="EO43" s="41"/>
      <c r="EP43" s="41"/>
      <c r="EQ43" s="41"/>
      <c r="ER43" s="41"/>
      <c r="ES43" s="41"/>
      <c r="ET43" s="41"/>
      <c r="EU43" s="41"/>
      <c r="EV43" s="41"/>
      <c r="EW43" s="41"/>
      <c r="EX43" s="41"/>
      <c r="EY43" s="41"/>
      <c r="EZ43" s="41"/>
      <c r="FA43" s="41"/>
      <c r="FB43" s="41"/>
      <c r="FC43" s="41"/>
      <c r="FD43" s="41"/>
      <c r="FE43" s="41"/>
      <c r="FF43" s="41"/>
      <c r="FG43" s="41"/>
      <c r="FH43" s="41"/>
      <c r="FI43" s="41"/>
      <c r="FJ43" s="41"/>
      <c r="FK43" s="41"/>
      <c r="FL43" s="41"/>
      <c r="FM43" s="41"/>
      <c r="FN43" s="41"/>
      <c r="FO43" s="41"/>
      <c r="FP43" s="41"/>
      <c r="FQ43" s="41"/>
      <c r="FR43" s="41"/>
      <c r="FS43" s="41"/>
      <c r="FT43" s="41"/>
      <c r="FU43" s="41"/>
      <c r="FV43" s="41"/>
      <c r="FW43" s="41"/>
      <c r="FX43" s="41"/>
      <c r="FY43" s="41"/>
      <c r="FZ43" s="41"/>
      <c r="GA43" s="41"/>
      <c r="GB43" s="41"/>
      <c r="GC43" s="41"/>
      <c r="GD43" s="41"/>
      <c r="GE43" s="41"/>
      <c r="GF43" s="41"/>
      <c r="GG43" s="41"/>
      <c r="GH43" s="41"/>
      <c r="GI43" s="41"/>
      <c r="GJ43" s="41"/>
      <c r="GK43" s="41"/>
      <c r="GL43" s="41"/>
      <c r="GM43" s="41"/>
      <c r="GN43" s="41"/>
      <c r="GO43" s="41"/>
      <c r="GP43" s="41"/>
      <c r="GQ43" s="41"/>
      <c r="GR43" s="41"/>
      <c r="GS43" s="41"/>
      <c r="GT43" s="41"/>
      <c r="GU43" s="41"/>
      <c r="GV43" s="41"/>
      <c r="GW43" s="41"/>
      <c r="GX43" s="41"/>
      <c r="GY43" s="41"/>
      <c r="GZ43" s="41"/>
      <c r="HA43" s="41"/>
      <c r="HB43" s="41"/>
      <c r="HC43" s="41"/>
      <c r="HD43" s="41"/>
      <c r="HE43" s="41"/>
      <c r="HF43" s="41"/>
      <c r="HG43" s="41"/>
      <c r="HH43" s="41"/>
      <c r="HI43" s="41"/>
      <c r="HJ43" s="41"/>
      <c r="HK43" s="41"/>
      <c r="HL43" s="41"/>
      <c r="HM43" s="41"/>
      <c r="HN43" s="41"/>
      <c r="HO43" s="41"/>
      <c r="HP43" s="41"/>
      <c r="HQ43" s="41"/>
      <c r="HR43" s="41"/>
      <c r="HS43" s="41"/>
      <c r="HT43" s="41"/>
      <c r="HU43" s="41"/>
      <c r="HV43" s="41"/>
      <c r="HW43" s="41"/>
      <c r="HX43" s="41"/>
      <c r="HY43" s="41"/>
      <c r="HZ43" s="41"/>
      <c r="IA43" s="41"/>
      <c r="IB43" s="41"/>
      <c r="IC43" s="41"/>
      <c r="ID43" s="41"/>
      <c r="IE43" s="41"/>
      <c r="IF43" s="41"/>
      <c r="IG43" s="41"/>
      <c r="IH43" s="41"/>
      <c r="II43" s="41"/>
      <c r="IJ43" s="41"/>
      <c r="IK43" s="41"/>
      <c r="IL43" s="41"/>
      <c r="IM43" s="41"/>
      <c r="IN43" s="41"/>
      <c r="IO43" s="41"/>
      <c r="IP43" s="41"/>
      <c r="IQ43" s="41"/>
      <c r="IR43" s="41"/>
      <c r="IS43" s="41"/>
      <c r="IT43" s="41"/>
      <c r="IU43" s="41"/>
      <c r="IV43" s="4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3">
        <v>0.21</v>
      </c>
      <c r="NG43" s="1">
        <f>Combine!A45</f>
        <v>49203</v>
      </c>
      <c r="NH43" s="14">
        <f>Combine!F45</f>
        <v>134232.99317909699</v>
      </c>
    </row>
    <row r="44" spans="1:372" ht="12" customHeight="1" thickBot="1" x14ac:dyDescent="0.35">
      <c r="A44" s="49" t="s">
        <v>882</v>
      </c>
      <c r="B44" s="50">
        <f>+DR38</f>
        <v>169031.72488202478</v>
      </c>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c r="BK44" s="41"/>
      <c r="BL44" s="41"/>
      <c r="BM44" s="41"/>
      <c r="BN44" s="41"/>
      <c r="BO44" s="41"/>
      <c r="BP44" s="41"/>
      <c r="BQ44" s="41"/>
      <c r="BR44" s="41"/>
      <c r="BS44" s="41"/>
      <c r="BT44" s="41"/>
      <c r="BU44" s="41"/>
      <c r="BV44" s="41"/>
      <c r="BW44" s="41"/>
      <c r="BX44" s="41"/>
      <c r="BY44" s="41"/>
      <c r="BZ44" s="41"/>
      <c r="CA44" s="41"/>
      <c r="CB44" s="41"/>
      <c r="CC44" s="41"/>
      <c r="CD44" s="41"/>
      <c r="CE44" s="41"/>
      <c r="CF44" s="41"/>
      <c r="CG44" s="41"/>
      <c r="CH44" s="41"/>
      <c r="CI44" s="41"/>
      <c r="CJ44" s="41"/>
      <c r="CK44" s="41"/>
      <c r="CL44" s="41"/>
      <c r="CM44" s="41"/>
      <c r="CN44" s="41"/>
      <c r="CO44" s="41"/>
      <c r="CP44" s="41"/>
      <c r="CQ44" s="41"/>
      <c r="CR44" s="41"/>
      <c r="CS44" s="41"/>
      <c r="CT44" s="41"/>
      <c r="CU44" s="41"/>
      <c r="CV44" s="41"/>
      <c r="CW44" s="41"/>
      <c r="CX44" s="41"/>
      <c r="CY44" s="41"/>
      <c r="CZ44" s="41"/>
      <c r="DA44" s="41"/>
      <c r="DB44" s="41"/>
      <c r="DC44" s="41"/>
      <c r="DD44" s="41"/>
      <c r="DE44" s="41"/>
      <c r="DF44" s="41"/>
      <c r="DG44" s="41"/>
      <c r="DH44" s="41"/>
      <c r="DI44" s="41"/>
      <c r="DJ44" s="41"/>
      <c r="DK44" s="41"/>
      <c r="DL44" s="41"/>
      <c r="DM44" s="41"/>
      <c r="DN44" s="41"/>
      <c r="DO44" s="41"/>
      <c r="DP44" s="41"/>
      <c r="DQ44" s="41"/>
      <c r="DR44" s="41"/>
      <c r="DS44" s="41"/>
      <c r="DT44" s="41"/>
      <c r="DU44" s="41"/>
      <c r="DV44" s="41"/>
      <c r="DW44" s="41"/>
      <c r="DX44" s="41"/>
      <c r="DY44" s="41"/>
      <c r="DZ44" s="41"/>
      <c r="EA44" s="41"/>
      <c r="EB44" s="41"/>
      <c r="EC44" s="41"/>
      <c r="ED44" s="41"/>
      <c r="EE44" s="41"/>
      <c r="EF44" s="41"/>
      <c r="EG44" s="41"/>
      <c r="EH44" s="41"/>
      <c r="EI44" s="41"/>
      <c r="EJ44" s="41"/>
      <c r="EK44" s="41"/>
      <c r="EL44" s="41"/>
      <c r="EM44" s="41"/>
      <c r="EN44" s="41"/>
      <c r="EO44" s="41"/>
      <c r="EP44" s="41"/>
      <c r="EQ44" s="41"/>
      <c r="ER44" s="41"/>
      <c r="ES44" s="41"/>
      <c r="ET44" s="41"/>
      <c r="EU44" s="41"/>
      <c r="EV44" s="41"/>
      <c r="EW44" s="41"/>
      <c r="EX44" s="41"/>
      <c r="EY44" s="41"/>
      <c r="EZ44" s="41"/>
      <c r="FA44" s="41"/>
      <c r="FB44" s="41"/>
      <c r="FC44" s="41"/>
      <c r="FD44" s="41"/>
      <c r="FE44" s="41"/>
      <c r="FF44" s="41"/>
      <c r="FG44" s="41"/>
      <c r="FH44" s="41"/>
      <c r="FI44" s="41"/>
      <c r="FJ44" s="41"/>
      <c r="FK44" s="41"/>
      <c r="FL44" s="41"/>
      <c r="FM44" s="41"/>
      <c r="FN44" s="41"/>
      <c r="FO44" s="41"/>
      <c r="FP44" s="41"/>
      <c r="FQ44" s="41"/>
      <c r="FR44" s="41"/>
      <c r="FS44" s="41"/>
      <c r="FT44" s="41"/>
      <c r="FU44" s="41"/>
      <c r="FV44" s="41"/>
      <c r="FW44" s="41"/>
      <c r="FX44" s="41"/>
      <c r="FY44" s="41"/>
      <c r="FZ44" s="41"/>
      <c r="GA44" s="41"/>
      <c r="GB44" s="41"/>
      <c r="GC44" s="41"/>
      <c r="GD44" s="41"/>
      <c r="GE44" s="41"/>
      <c r="GF44" s="41"/>
      <c r="GG44" s="41"/>
      <c r="GH44" s="41"/>
      <c r="GI44" s="41"/>
      <c r="GJ44" s="41"/>
      <c r="GK44" s="41"/>
      <c r="GL44" s="41"/>
      <c r="GM44" s="41"/>
      <c r="GN44" s="41"/>
      <c r="GO44" s="41"/>
      <c r="GP44" s="41"/>
      <c r="GQ44" s="41"/>
      <c r="GR44" s="41"/>
      <c r="GS44" s="41"/>
      <c r="GT44" s="41"/>
      <c r="GU44" s="41"/>
      <c r="GV44" s="41"/>
      <c r="GW44" s="41"/>
      <c r="GX44" s="41"/>
      <c r="GY44" s="41"/>
      <c r="GZ44" s="41"/>
      <c r="HA44" s="41"/>
      <c r="HB44" s="41"/>
      <c r="HC44" s="41"/>
      <c r="HD44" s="41"/>
      <c r="HE44" s="41"/>
      <c r="HF44" s="41"/>
      <c r="HG44" s="41"/>
      <c r="HH44" s="41"/>
      <c r="HI44" s="41"/>
      <c r="HJ44" s="41"/>
      <c r="HK44" s="41"/>
      <c r="HL44" s="41"/>
      <c r="HM44" s="41"/>
      <c r="HN44" s="41"/>
      <c r="HO44" s="41"/>
      <c r="HP44" s="41"/>
      <c r="HQ44" s="41"/>
      <c r="HR44" s="41"/>
      <c r="HS44" s="41"/>
      <c r="HT44" s="41"/>
      <c r="HU44" s="41"/>
      <c r="HV44" s="41"/>
      <c r="HW44" s="41"/>
      <c r="HX44" s="41"/>
      <c r="HY44" s="41"/>
      <c r="HZ44" s="41"/>
      <c r="IA44" s="41"/>
      <c r="IB44" s="41"/>
      <c r="IC44" s="41"/>
      <c r="ID44" s="41"/>
      <c r="IE44" s="41"/>
      <c r="IF44" s="41"/>
      <c r="IG44" s="41"/>
      <c r="IH44" s="41"/>
      <c r="II44" s="41"/>
      <c r="IJ44" s="41"/>
      <c r="IK44" s="41"/>
      <c r="IL44" s="41"/>
      <c r="IM44" s="41"/>
      <c r="IN44" s="41"/>
      <c r="IO44" s="41"/>
      <c r="IP44" s="41"/>
      <c r="IQ44" s="41"/>
      <c r="IR44" s="41"/>
      <c r="IS44" s="41"/>
      <c r="IT44" s="41"/>
      <c r="IU44" s="41"/>
      <c r="IV44" s="4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3">
        <v>0.215</v>
      </c>
      <c r="NG44" s="1">
        <f>Combine!A46</f>
        <v>49441</v>
      </c>
      <c r="NH44" s="14">
        <f>Combine!F46</f>
        <v>203647.607783908</v>
      </c>
    </row>
    <row r="45" spans="1:372" ht="21" customHeight="1" x14ac:dyDescent="0.3">
      <c r="A45" s="51" t="s">
        <v>883</v>
      </c>
      <c r="B45" s="52">
        <f>+(B43-B44)/(1+B14)^10</f>
        <v>41107.42868803384</v>
      </c>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c r="BK45" s="41"/>
      <c r="BL45" s="41"/>
      <c r="BM45" s="41"/>
      <c r="BN45" s="41"/>
      <c r="BO45" s="41"/>
      <c r="BP45" s="41"/>
      <c r="BQ45" s="41"/>
      <c r="BR45" s="41"/>
      <c r="BS45" s="41"/>
      <c r="BT45" s="41"/>
      <c r="BU45" s="41"/>
      <c r="BV45" s="41"/>
      <c r="BW45" s="41"/>
      <c r="BX45" s="41"/>
      <c r="BY45" s="41"/>
      <c r="BZ45" s="41"/>
      <c r="CA45" s="41"/>
      <c r="CB45" s="41"/>
      <c r="CC45" s="41"/>
      <c r="CD45" s="41"/>
      <c r="CE45" s="41"/>
      <c r="CF45" s="41"/>
      <c r="CG45" s="41"/>
      <c r="CH45" s="41"/>
      <c r="CI45" s="41"/>
      <c r="CJ45" s="41"/>
      <c r="CK45" s="41"/>
      <c r="CL45" s="41"/>
      <c r="CM45" s="41"/>
      <c r="CN45" s="41"/>
      <c r="CO45" s="41"/>
      <c r="CP45" s="41"/>
      <c r="CQ45" s="41"/>
      <c r="CR45" s="41"/>
      <c r="CS45" s="41"/>
      <c r="CT45" s="41"/>
      <c r="CU45" s="41"/>
      <c r="CV45" s="41"/>
      <c r="CW45" s="41"/>
      <c r="CX45" s="41"/>
      <c r="CY45" s="41"/>
      <c r="CZ45" s="41"/>
      <c r="DA45" s="41"/>
      <c r="DB45" s="41"/>
      <c r="DC45" s="41"/>
      <c r="DD45" s="41"/>
      <c r="DE45" s="41"/>
      <c r="DF45" s="41"/>
      <c r="DG45" s="41"/>
      <c r="DH45" s="41"/>
      <c r="DI45" s="41"/>
      <c r="DJ45" s="41"/>
      <c r="DK45" s="41"/>
      <c r="DL45" s="41"/>
      <c r="DM45" s="41"/>
      <c r="DN45" s="41"/>
      <c r="DO45" s="41"/>
      <c r="DP45" s="41"/>
      <c r="DQ45" s="41"/>
      <c r="DR45" s="41"/>
      <c r="DS45" s="41"/>
      <c r="DT45" s="41"/>
      <c r="DU45" s="41"/>
      <c r="DV45" s="41"/>
      <c r="DW45" s="41"/>
      <c r="DX45" s="41"/>
      <c r="DY45" s="41"/>
      <c r="DZ45" s="41"/>
      <c r="EA45" s="41"/>
      <c r="EB45" s="41"/>
      <c r="EC45" s="41"/>
      <c r="ED45" s="41"/>
      <c r="EE45" s="41"/>
      <c r="EF45" s="41"/>
      <c r="EG45" s="41"/>
      <c r="EH45" s="41"/>
      <c r="EI45" s="41"/>
      <c r="EJ45" s="41"/>
      <c r="EK45" s="41"/>
      <c r="EL45" s="41"/>
      <c r="EM45" s="41"/>
      <c r="EN45" s="41"/>
      <c r="EO45" s="41"/>
      <c r="EP45" s="41"/>
      <c r="EQ45" s="41"/>
      <c r="ER45" s="41"/>
      <c r="ES45" s="41"/>
      <c r="ET45" s="41"/>
      <c r="EU45" s="41"/>
      <c r="EV45" s="41"/>
      <c r="EW45" s="41"/>
      <c r="EX45" s="41"/>
      <c r="EY45" s="41"/>
      <c r="EZ45" s="41"/>
      <c r="FA45" s="41"/>
      <c r="FB45" s="41"/>
      <c r="FC45" s="41"/>
      <c r="FD45" s="41"/>
      <c r="FE45" s="41"/>
      <c r="FF45" s="41"/>
      <c r="FG45" s="41"/>
      <c r="FH45" s="41"/>
      <c r="FI45" s="41"/>
      <c r="FJ45" s="41"/>
      <c r="FK45" s="41"/>
      <c r="FL45" s="41"/>
      <c r="FM45" s="41"/>
      <c r="FN45" s="41"/>
      <c r="FO45" s="41"/>
      <c r="FP45" s="41"/>
      <c r="FQ45" s="41"/>
      <c r="FR45" s="41"/>
      <c r="FS45" s="41"/>
      <c r="FT45" s="41"/>
      <c r="FU45" s="41"/>
      <c r="FV45" s="41"/>
      <c r="FW45" s="41"/>
      <c r="FX45" s="41"/>
      <c r="FY45" s="41"/>
      <c r="FZ45" s="41"/>
      <c r="GA45" s="41"/>
      <c r="GB45" s="41"/>
      <c r="GC45" s="41"/>
      <c r="GD45" s="41"/>
      <c r="GE45" s="41"/>
      <c r="GF45" s="41"/>
      <c r="GG45" s="41"/>
      <c r="GH45" s="41"/>
      <c r="GI45" s="41"/>
      <c r="GJ45" s="41"/>
      <c r="GK45" s="41"/>
      <c r="GL45" s="41"/>
      <c r="GM45" s="41"/>
      <c r="GN45" s="41"/>
      <c r="GO45" s="41"/>
      <c r="GP45" s="41"/>
      <c r="GQ45" s="41"/>
      <c r="GR45" s="41"/>
      <c r="GS45" s="41"/>
      <c r="GT45" s="41"/>
      <c r="GU45" s="41"/>
      <c r="GV45" s="41"/>
      <c r="GW45" s="41"/>
      <c r="GX45" s="41"/>
      <c r="GY45" s="41"/>
      <c r="GZ45" s="41"/>
      <c r="HA45" s="41"/>
      <c r="HB45" s="41"/>
      <c r="HC45" s="41"/>
      <c r="HD45" s="41"/>
      <c r="HE45" s="41"/>
      <c r="HF45" s="41"/>
      <c r="HG45" s="41"/>
      <c r="HH45" s="41"/>
      <c r="HI45" s="41"/>
      <c r="HJ45" s="41"/>
      <c r="HK45" s="41"/>
      <c r="HL45" s="41"/>
      <c r="HM45" s="41"/>
      <c r="HN45" s="41"/>
      <c r="HO45" s="41"/>
      <c r="HP45" s="41"/>
      <c r="HQ45" s="41"/>
      <c r="HR45" s="41"/>
      <c r="HS45" s="41"/>
      <c r="HT45" s="41"/>
      <c r="HU45" s="41"/>
      <c r="HV45" s="41"/>
      <c r="HW45" s="41"/>
      <c r="HX45" s="41"/>
      <c r="HY45" s="41"/>
      <c r="HZ45" s="41"/>
      <c r="IA45" s="41"/>
      <c r="IB45" s="41"/>
      <c r="IC45" s="41"/>
      <c r="ID45" s="41"/>
      <c r="IE45" s="41"/>
      <c r="IF45" s="41"/>
      <c r="IG45" s="41"/>
      <c r="IH45" s="41"/>
      <c r="II45" s="41"/>
      <c r="IJ45" s="41"/>
      <c r="IK45" s="41"/>
      <c r="IL45" s="41"/>
      <c r="IM45" s="41"/>
      <c r="IN45" s="41"/>
      <c r="IO45" s="41"/>
      <c r="IP45" s="41"/>
      <c r="IQ45" s="41"/>
      <c r="IR45" s="41"/>
      <c r="IS45" s="41"/>
      <c r="IT45" s="41"/>
      <c r="IU45" s="41"/>
      <c r="IV45" s="4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D45" s="1"/>
      <c r="NE45" s="1"/>
      <c r="NF45" s="13">
        <v>0.22</v>
      </c>
      <c r="NG45" s="1">
        <f>Combine!A47</f>
        <v>48239</v>
      </c>
      <c r="NH45" s="14">
        <f>Combine!F47</f>
        <v>153148.44685108101</v>
      </c>
    </row>
    <row r="46" spans="1:372" ht="12.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D46" s="1"/>
      <c r="NE46" s="1"/>
      <c r="NF46" s="13">
        <v>0.22500000000000001</v>
      </c>
      <c r="NG46" s="1">
        <f>Combine!A48</f>
        <v>48312</v>
      </c>
      <c r="NH46" s="14">
        <f>Combine!F48</f>
        <v>263749.64520379301</v>
      </c>
    </row>
    <row r="47" spans="1:372" ht="19.2" customHeight="1" x14ac:dyDescent="0.3">
      <c r="A47" s="59"/>
      <c r="B47" s="59"/>
      <c r="C47" s="59"/>
      <c r="D47" s="59"/>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D47" s="1"/>
      <c r="NE47" s="1"/>
      <c r="NF47" s="13">
        <v>0.23</v>
      </c>
      <c r="NG47" s="1">
        <f>Combine!A49</f>
        <v>49506</v>
      </c>
      <c r="NH47" s="14">
        <f>Combine!F49</f>
        <v>359010.64433356002</v>
      </c>
    </row>
    <row r="48" spans="1:372" ht="12.75" customHeight="1" x14ac:dyDescent="0.3">
      <c r="A48" s="59"/>
      <c r="D48" s="61"/>
      <c r="E48" s="47"/>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c r="AW48" s="47"/>
      <c r="AX48" s="47"/>
      <c r="AY48" s="47"/>
      <c r="AZ48" s="47"/>
      <c r="BA48" s="47"/>
      <c r="BB48" s="47"/>
      <c r="BC48" s="47"/>
      <c r="BD48" s="47"/>
      <c r="BE48" s="47"/>
      <c r="BF48" s="47"/>
      <c r="BG48" s="47"/>
      <c r="BH48" s="47"/>
      <c r="BI48" s="47"/>
      <c r="BJ48" s="47"/>
      <c r="BK48" s="47"/>
      <c r="BL48" s="47"/>
      <c r="BM48" s="47"/>
      <c r="BN48" s="47"/>
      <c r="BO48" s="47"/>
      <c r="BP48" s="47"/>
      <c r="BQ48" s="47"/>
      <c r="BR48" s="47"/>
      <c r="BS48" s="47"/>
      <c r="BT48" s="47"/>
      <c r="BU48" s="47"/>
      <c r="BV48" s="47"/>
      <c r="BW48" s="47"/>
      <c r="BX48" s="47"/>
      <c r="BY48" s="47"/>
      <c r="BZ48" s="47"/>
      <c r="CA48" s="47"/>
      <c r="CB48" s="47"/>
      <c r="CC48" s="47"/>
      <c r="CD48" s="47"/>
      <c r="CE48" s="47"/>
      <c r="CF48" s="47"/>
      <c r="CG48" s="47"/>
      <c r="CH48" s="47"/>
      <c r="CI48" s="47"/>
      <c r="CJ48" s="47"/>
      <c r="CK48" s="47"/>
      <c r="CL48" s="47"/>
      <c r="CM48" s="47"/>
      <c r="CN48" s="47"/>
      <c r="CO48" s="47"/>
      <c r="CP48" s="47"/>
      <c r="CQ48" s="47"/>
      <c r="CR48" s="47"/>
      <c r="CS48" s="47"/>
      <c r="CT48" s="47"/>
      <c r="CU48" s="47"/>
      <c r="CV48" s="47"/>
      <c r="CW48" s="47"/>
      <c r="CX48" s="47"/>
      <c r="CY48" s="47"/>
      <c r="CZ48" s="47"/>
      <c r="DA48" s="47"/>
      <c r="DB48" s="47"/>
      <c r="DC48" s="47"/>
      <c r="DD48" s="47"/>
      <c r="DE48" s="47"/>
      <c r="DF48" s="47"/>
      <c r="DG48" s="47"/>
      <c r="DH48" s="47"/>
      <c r="DI48" s="47"/>
      <c r="DJ48" s="47"/>
      <c r="DK48" s="47"/>
      <c r="DL48" s="47"/>
      <c r="DM48" s="47"/>
      <c r="DN48" s="47"/>
      <c r="DO48" s="47"/>
      <c r="DP48" s="47"/>
      <c r="DQ48" s="47"/>
      <c r="DR48" s="47"/>
      <c r="DS48" s="47"/>
      <c r="DT48" s="47"/>
      <c r="DU48" s="47"/>
      <c r="DV48" s="47"/>
      <c r="DW48" s="47"/>
      <c r="DX48" s="47"/>
      <c r="DY48" s="47"/>
      <c r="DZ48" s="47"/>
      <c r="EA48" s="47"/>
      <c r="EB48" s="47"/>
      <c r="EC48" s="47"/>
      <c r="ED48" s="47"/>
      <c r="EE48" s="47"/>
      <c r="EF48" s="47"/>
      <c r="EG48" s="47"/>
      <c r="EH48" s="47"/>
      <c r="EI48" s="47"/>
      <c r="EJ48" s="47"/>
      <c r="EK48" s="47"/>
      <c r="EL48" s="47"/>
      <c r="EM48" s="47"/>
      <c r="EN48" s="47"/>
      <c r="EO48" s="47"/>
      <c r="EP48" s="47"/>
      <c r="EQ48" s="47"/>
      <c r="ER48" s="47"/>
      <c r="ES48" s="47"/>
      <c r="ET48" s="47"/>
      <c r="EU48" s="47"/>
      <c r="EV48" s="47"/>
      <c r="EW48" s="47"/>
      <c r="EX48" s="47"/>
      <c r="EY48" s="47"/>
      <c r="EZ48" s="47"/>
      <c r="FA48" s="47"/>
      <c r="FB48" s="47"/>
      <c r="FC48" s="47"/>
      <c r="FD48" s="47"/>
      <c r="FE48" s="47"/>
      <c r="FF48" s="47"/>
      <c r="FG48" s="47"/>
      <c r="FH48" s="47"/>
      <c r="FI48" s="47"/>
      <c r="FJ48" s="47"/>
      <c r="FK48" s="47"/>
      <c r="FL48" s="47"/>
      <c r="FM48" s="47"/>
      <c r="FN48" s="47"/>
      <c r="FO48" s="47"/>
      <c r="FP48" s="47"/>
      <c r="FQ48" s="47"/>
      <c r="FR48" s="47"/>
      <c r="FS48" s="47"/>
      <c r="FT48" s="47"/>
      <c r="FU48" s="47"/>
      <c r="FV48" s="47"/>
      <c r="FW48" s="47"/>
      <c r="FX48" s="47"/>
      <c r="FY48" s="47"/>
      <c r="FZ48" s="47"/>
      <c r="GA48" s="47"/>
      <c r="GB48" s="47"/>
      <c r="GC48" s="47"/>
      <c r="GD48" s="47"/>
      <c r="GE48" s="47"/>
      <c r="GF48" s="47"/>
      <c r="GG48" s="47"/>
      <c r="GH48" s="47"/>
      <c r="GI48" s="47"/>
      <c r="GJ48" s="47"/>
      <c r="GK48" s="47"/>
      <c r="GL48" s="47"/>
      <c r="GM48" s="47"/>
      <c r="GN48" s="47"/>
      <c r="GO48" s="47"/>
      <c r="GP48" s="47"/>
      <c r="GQ48" s="47"/>
      <c r="GR48" s="47"/>
      <c r="GS48" s="47"/>
      <c r="GT48" s="47"/>
      <c r="GU48" s="47"/>
      <c r="GV48" s="47"/>
      <c r="GW48" s="47"/>
      <c r="GX48" s="47"/>
      <c r="GY48" s="47"/>
      <c r="GZ48" s="47"/>
      <c r="HA48" s="47"/>
      <c r="HB48" s="47"/>
      <c r="HC48" s="47"/>
      <c r="HD48" s="47"/>
      <c r="HE48" s="47"/>
      <c r="HF48" s="47"/>
      <c r="HG48" s="47"/>
      <c r="HH48" s="47"/>
      <c r="HI48" s="47"/>
      <c r="HJ48" s="47"/>
      <c r="HK48" s="47"/>
      <c r="HL48" s="47"/>
      <c r="HM48" s="47"/>
      <c r="HN48" s="47"/>
      <c r="HO48" s="47"/>
      <c r="HP48" s="47"/>
      <c r="HQ48" s="47"/>
      <c r="HR48" s="47"/>
      <c r="HS48" s="47"/>
      <c r="HT48" s="47"/>
      <c r="HU48" s="47"/>
      <c r="HV48" s="47"/>
      <c r="HW48" s="47"/>
      <c r="HX48" s="47"/>
      <c r="HY48" s="47"/>
      <c r="HZ48" s="47"/>
      <c r="IA48" s="47"/>
      <c r="IB48" s="47"/>
      <c r="IC48" s="47"/>
      <c r="ID48" s="47"/>
      <c r="IE48" s="47"/>
      <c r="IF48" s="47"/>
      <c r="IG48" s="47"/>
      <c r="IH48" s="47"/>
      <c r="II48" s="47"/>
      <c r="IJ48" s="47"/>
      <c r="IK48" s="47"/>
      <c r="IL48" s="47"/>
      <c r="IM48" s="47"/>
      <c r="IN48" s="47"/>
      <c r="IO48" s="47"/>
      <c r="IP48" s="47"/>
      <c r="IQ48" s="47"/>
      <c r="IR48" s="47"/>
      <c r="IS48" s="47"/>
      <c r="IT48" s="47"/>
      <c r="IU48" s="47"/>
      <c r="IV48" s="47"/>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D48" s="53"/>
      <c r="NE48" s="47">
        <f>B45</f>
        <v>41107.42868803384</v>
      </c>
      <c r="NF48" s="13">
        <v>0.23499999999999999</v>
      </c>
      <c r="NG48" s="1">
        <f>Combine!A50</f>
        <v>48205</v>
      </c>
      <c r="NH48" s="14">
        <f>Combine!F50</f>
        <v>45779.440971240903</v>
      </c>
    </row>
    <row r="49" spans="1:372" ht="12.75" customHeight="1" x14ac:dyDescent="0.3">
      <c r="A49" s="59"/>
      <c r="D49" s="61"/>
      <c r="E49" s="47"/>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c r="AW49" s="47"/>
      <c r="AX49" s="47"/>
      <c r="AY49" s="47"/>
      <c r="AZ49" s="47"/>
      <c r="BA49" s="47"/>
      <c r="BB49" s="47"/>
      <c r="BC49" s="47"/>
      <c r="BD49" s="47"/>
      <c r="BE49" s="47"/>
      <c r="BF49" s="47"/>
      <c r="BG49" s="47"/>
      <c r="BH49" s="47"/>
      <c r="BI49" s="47"/>
      <c r="BJ49" s="47"/>
      <c r="BK49" s="47"/>
      <c r="BL49" s="47"/>
      <c r="BM49" s="47"/>
      <c r="BN49" s="47"/>
      <c r="BO49" s="47"/>
      <c r="BP49" s="47"/>
      <c r="BQ49" s="47"/>
      <c r="BR49" s="47"/>
      <c r="BS49" s="47"/>
      <c r="BT49" s="47"/>
      <c r="BU49" s="47"/>
      <c r="BV49" s="47"/>
      <c r="BW49" s="47"/>
      <c r="BX49" s="47"/>
      <c r="BY49" s="47"/>
      <c r="BZ49" s="47"/>
      <c r="CA49" s="47"/>
      <c r="CB49" s="47"/>
      <c r="CC49" s="47"/>
      <c r="CD49" s="47"/>
      <c r="CE49" s="47"/>
      <c r="CF49" s="47"/>
      <c r="CG49" s="47"/>
      <c r="CH49" s="47"/>
      <c r="CI49" s="47"/>
      <c r="CJ49" s="47"/>
      <c r="CK49" s="47"/>
      <c r="CL49" s="47"/>
      <c r="CM49" s="47"/>
      <c r="CN49" s="47"/>
      <c r="CO49" s="47"/>
      <c r="CP49" s="47"/>
      <c r="CQ49" s="47"/>
      <c r="CR49" s="47"/>
      <c r="CS49" s="47"/>
      <c r="CT49" s="47"/>
      <c r="CU49" s="47"/>
      <c r="CV49" s="47"/>
      <c r="CW49" s="47"/>
      <c r="CX49" s="47"/>
      <c r="CY49" s="47"/>
      <c r="CZ49" s="47"/>
      <c r="DA49" s="47"/>
      <c r="DB49" s="47"/>
      <c r="DC49" s="47"/>
      <c r="DD49" s="47"/>
      <c r="DE49" s="47"/>
      <c r="DF49" s="47"/>
      <c r="DG49" s="47"/>
      <c r="DH49" s="47"/>
      <c r="DI49" s="47"/>
      <c r="DJ49" s="47"/>
      <c r="DK49" s="47"/>
      <c r="DL49" s="47"/>
      <c r="DM49" s="47"/>
      <c r="DN49" s="47"/>
      <c r="DO49" s="47"/>
      <c r="DP49" s="47"/>
      <c r="DQ49" s="47"/>
      <c r="DR49" s="47"/>
      <c r="DS49" s="47"/>
      <c r="DT49" s="47"/>
      <c r="DU49" s="47"/>
      <c r="DV49" s="47"/>
      <c r="DW49" s="47"/>
      <c r="DX49" s="47"/>
      <c r="DY49" s="47"/>
      <c r="DZ49" s="47"/>
      <c r="EA49" s="47"/>
      <c r="EB49" s="47"/>
      <c r="EC49" s="47"/>
      <c r="ED49" s="47"/>
      <c r="EE49" s="47"/>
      <c r="EF49" s="47"/>
      <c r="EG49" s="47"/>
      <c r="EH49" s="47"/>
      <c r="EI49" s="47"/>
      <c r="EJ49" s="47"/>
      <c r="EK49" s="47"/>
      <c r="EL49" s="47"/>
      <c r="EM49" s="47"/>
      <c r="EN49" s="47"/>
      <c r="EO49" s="47"/>
      <c r="EP49" s="47"/>
      <c r="EQ49" s="47"/>
      <c r="ER49" s="47"/>
      <c r="ES49" s="47"/>
      <c r="ET49" s="47"/>
      <c r="EU49" s="47"/>
      <c r="EV49" s="47"/>
      <c r="EW49" s="47"/>
      <c r="EX49" s="47"/>
      <c r="EY49" s="47"/>
      <c r="EZ49" s="47"/>
      <c r="FA49" s="47"/>
      <c r="FB49" s="47"/>
      <c r="FC49" s="47"/>
      <c r="FD49" s="47"/>
      <c r="FE49" s="47"/>
      <c r="FF49" s="47"/>
      <c r="FG49" s="47"/>
      <c r="FH49" s="47"/>
      <c r="FI49" s="47"/>
      <c r="FJ49" s="47"/>
      <c r="FK49" s="47"/>
      <c r="FL49" s="47"/>
      <c r="FM49" s="47"/>
      <c r="FN49" s="47"/>
      <c r="FO49" s="47"/>
      <c r="FP49" s="47"/>
      <c r="FQ49" s="47"/>
      <c r="FR49" s="47"/>
      <c r="FS49" s="47"/>
      <c r="FT49" s="47"/>
      <c r="FU49" s="47"/>
      <c r="FV49" s="47"/>
      <c r="FW49" s="47"/>
      <c r="FX49" s="47"/>
      <c r="FY49" s="47"/>
      <c r="FZ49" s="47"/>
      <c r="GA49" s="47"/>
      <c r="GB49" s="47"/>
      <c r="GC49" s="47"/>
      <c r="GD49" s="47"/>
      <c r="GE49" s="47"/>
      <c r="GF49" s="47"/>
      <c r="GG49" s="47"/>
      <c r="GH49" s="47"/>
      <c r="GI49" s="47"/>
      <c r="GJ49" s="47"/>
      <c r="GK49" s="47"/>
      <c r="GL49" s="47"/>
      <c r="GM49" s="47"/>
      <c r="GN49" s="47"/>
      <c r="GO49" s="47"/>
      <c r="GP49" s="47"/>
      <c r="GQ49" s="47"/>
      <c r="GR49" s="47"/>
      <c r="GS49" s="47"/>
      <c r="GT49" s="47"/>
      <c r="GU49" s="47"/>
      <c r="GV49" s="47"/>
      <c r="GW49" s="47"/>
      <c r="GX49" s="47"/>
      <c r="GY49" s="47"/>
      <c r="GZ49" s="47"/>
      <c r="HA49" s="47"/>
      <c r="HB49" s="47"/>
      <c r="HC49" s="47"/>
      <c r="HD49" s="47"/>
      <c r="HE49" s="47"/>
      <c r="HF49" s="47"/>
      <c r="HG49" s="47"/>
      <c r="HH49" s="47"/>
      <c r="HI49" s="47"/>
      <c r="HJ49" s="47"/>
      <c r="HK49" s="47"/>
      <c r="HL49" s="47"/>
      <c r="HM49" s="47"/>
      <c r="HN49" s="47"/>
      <c r="HO49" s="47"/>
      <c r="HP49" s="47"/>
      <c r="HQ49" s="47"/>
      <c r="HR49" s="47"/>
      <c r="HS49" s="47"/>
      <c r="HT49" s="47"/>
      <c r="HU49" s="47"/>
      <c r="HV49" s="47"/>
      <c r="HW49" s="47"/>
      <c r="HX49" s="47"/>
      <c r="HY49" s="47"/>
      <c r="HZ49" s="47"/>
      <c r="IA49" s="47"/>
      <c r="IB49" s="47"/>
      <c r="IC49" s="47"/>
      <c r="ID49" s="47"/>
      <c r="IE49" s="47"/>
      <c r="IF49" s="47"/>
      <c r="IG49" s="47"/>
      <c r="IH49" s="47"/>
      <c r="II49" s="47"/>
      <c r="IJ49" s="47"/>
      <c r="IK49" s="47"/>
      <c r="IL49" s="47"/>
      <c r="IM49" s="47"/>
      <c r="IN49" s="47"/>
      <c r="IO49" s="47"/>
      <c r="IP49" s="47"/>
      <c r="IQ49" s="47"/>
      <c r="IR49" s="47"/>
      <c r="IS49" s="47"/>
      <c r="IT49" s="47"/>
      <c r="IU49" s="47"/>
      <c r="IV49" s="47"/>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D49" s="53">
        <v>1.4999999999999999E-2</v>
      </c>
      <c r="NE49" s="47">
        <f t="dataTable" ref="NE49:NE134" dt2D="0" dtr="0" r1="B7"/>
        <v>128317.4847241962</v>
      </c>
      <c r="NF49" s="13">
        <v>0.24</v>
      </c>
      <c r="NG49" s="1">
        <f>Combine!A51</f>
        <v>48073</v>
      </c>
      <c r="NH49" s="14">
        <f>Combine!F51</f>
        <v>296987.24229826598</v>
      </c>
    </row>
    <row r="50" spans="1:372" ht="12.75" customHeight="1" x14ac:dyDescent="0.3">
      <c r="A50" s="59"/>
      <c r="D50" s="61"/>
      <c r="E50" s="47"/>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c r="AW50" s="47"/>
      <c r="AX50" s="47"/>
      <c r="AY50" s="47"/>
      <c r="AZ50" s="47"/>
      <c r="BA50" s="47"/>
      <c r="BB50" s="47"/>
      <c r="BC50" s="47"/>
      <c r="BD50" s="47"/>
      <c r="BE50" s="47"/>
      <c r="BF50" s="47"/>
      <c r="BG50" s="47"/>
      <c r="BH50" s="47"/>
      <c r="BI50" s="47"/>
      <c r="BJ50" s="47"/>
      <c r="BK50" s="47"/>
      <c r="BL50" s="47"/>
      <c r="BM50" s="47"/>
      <c r="BN50" s="47"/>
      <c r="BO50" s="47"/>
      <c r="BP50" s="47"/>
      <c r="BQ50" s="47"/>
      <c r="BR50" s="47"/>
      <c r="BS50" s="47"/>
      <c r="BT50" s="47"/>
      <c r="BU50" s="47"/>
      <c r="BV50" s="47"/>
      <c r="BW50" s="47"/>
      <c r="BX50" s="47"/>
      <c r="BY50" s="47"/>
      <c r="BZ50" s="47"/>
      <c r="CA50" s="47"/>
      <c r="CB50" s="47"/>
      <c r="CC50" s="47"/>
      <c r="CD50" s="47"/>
      <c r="CE50" s="47"/>
      <c r="CF50" s="47"/>
      <c r="CG50" s="47"/>
      <c r="CH50" s="47"/>
      <c r="CI50" s="47"/>
      <c r="CJ50" s="47"/>
      <c r="CK50" s="47"/>
      <c r="CL50" s="47"/>
      <c r="CM50" s="47"/>
      <c r="CN50" s="47"/>
      <c r="CO50" s="47"/>
      <c r="CP50" s="47"/>
      <c r="CQ50" s="47"/>
      <c r="CR50" s="47"/>
      <c r="CS50" s="47"/>
      <c r="CT50" s="47"/>
      <c r="CU50" s="47"/>
      <c r="CV50" s="47"/>
      <c r="CW50" s="47"/>
      <c r="CX50" s="47"/>
      <c r="CY50" s="47"/>
      <c r="CZ50" s="47"/>
      <c r="DA50" s="47"/>
      <c r="DB50" s="47"/>
      <c r="DC50" s="47"/>
      <c r="DD50" s="47"/>
      <c r="DE50" s="47"/>
      <c r="DF50" s="47"/>
      <c r="DG50" s="47"/>
      <c r="DH50" s="47"/>
      <c r="DI50" s="47"/>
      <c r="DJ50" s="47"/>
      <c r="DK50" s="47"/>
      <c r="DL50" s="47"/>
      <c r="DM50" s="47"/>
      <c r="DN50" s="47"/>
      <c r="DO50" s="47"/>
      <c r="DP50" s="47"/>
      <c r="DQ50" s="47"/>
      <c r="DR50" s="47"/>
      <c r="DS50" s="47"/>
      <c r="DT50" s="47"/>
      <c r="DU50" s="47"/>
      <c r="DV50" s="47"/>
      <c r="DW50" s="47"/>
      <c r="DX50" s="47"/>
      <c r="DY50" s="47"/>
      <c r="DZ50" s="47"/>
      <c r="EA50" s="47"/>
      <c r="EB50" s="47"/>
      <c r="EC50" s="47"/>
      <c r="ED50" s="47"/>
      <c r="EE50" s="47"/>
      <c r="EF50" s="47"/>
      <c r="EG50" s="47"/>
      <c r="EH50" s="47"/>
      <c r="EI50" s="47"/>
      <c r="EJ50" s="47"/>
      <c r="EK50" s="47"/>
      <c r="EL50" s="47"/>
      <c r="EM50" s="47"/>
      <c r="EN50" s="47"/>
      <c r="EO50" s="47"/>
      <c r="EP50" s="47"/>
      <c r="EQ50" s="47"/>
      <c r="ER50" s="47"/>
      <c r="ES50" s="47"/>
      <c r="ET50" s="47"/>
      <c r="EU50" s="47"/>
      <c r="EV50" s="47"/>
      <c r="EW50" s="47"/>
      <c r="EX50" s="47"/>
      <c r="EY50" s="47"/>
      <c r="EZ50" s="47"/>
      <c r="FA50" s="47"/>
      <c r="FB50" s="47"/>
      <c r="FC50" s="47"/>
      <c r="FD50" s="47"/>
      <c r="FE50" s="47"/>
      <c r="FF50" s="47"/>
      <c r="FG50" s="47"/>
      <c r="FH50" s="47"/>
      <c r="FI50" s="47"/>
      <c r="FJ50" s="47"/>
      <c r="FK50" s="47"/>
      <c r="FL50" s="47"/>
      <c r="FM50" s="47"/>
      <c r="FN50" s="47"/>
      <c r="FO50" s="47"/>
      <c r="FP50" s="47"/>
      <c r="FQ50" s="47"/>
      <c r="FR50" s="47"/>
      <c r="FS50" s="47"/>
      <c r="FT50" s="47"/>
      <c r="FU50" s="47"/>
      <c r="FV50" s="47"/>
      <c r="FW50" s="47"/>
      <c r="FX50" s="47"/>
      <c r="FY50" s="47"/>
      <c r="FZ50" s="47"/>
      <c r="GA50" s="47"/>
      <c r="GB50" s="47"/>
      <c r="GC50" s="47"/>
      <c r="GD50" s="47"/>
      <c r="GE50" s="47"/>
      <c r="GF50" s="47"/>
      <c r="GG50" s="47"/>
      <c r="GH50" s="47"/>
      <c r="GI50" s="47"/>
      <c r="GJ50" s="47"/>
      <c r="GK50" s="47"/>
      <c r="GL50" s="47"/>
      <c r="GM50" s="47"/>
      <c r="GN50" s="47"/>
      <c r="GO50" s="47"/>
      <c r="GP50" s="47"/>
      <c r="GQ50" s="47"/>
      <c r="GR50" s="47"/>
      <c r="GS50" s="47"/>
      <c r="GT50" s="47"/>
      <c r="GU50" s="47"/>
      <c r="GV50" s="47"/>
      <c r="GW50" s="47"/>
      <c r="GX50" s="47"/>
      <c r="GY50" s="47"/>
      <c r="GZ50" s="47"/>
      <c r="HA50" s="47"/>
      <c r="HB50" s="47"/>
      <c r="HC50" s="47"/>
      <c r="HD50" s="47"/>
      <c r="HE50" s="47"/>
      <c r="HF50" s="47"/>
      <c r="HG50" s="47"/>
      <c r="HH50" s="47"/>
      <c r="HI50" s="47"/>
      <c r="HJ50" s="47"/>
      <c r="HK50" s="47"/>
      <c r="HL50" s="47"/>
      <c r="HM50" s="47"/>
      <c r="HN50" s="47"/>
      <c r="HO50" s="47"/>
      <c r="HP50" s="47"/>
      <c r="HQ50" s="47"/>
      <c r="HR50" s="47"/>
      <c r="HS50" s="47"/>
      <c r="HT50" s="47"/>
      <c r="HU50" s="47"/>
      <c r="HV50" s="47"/>
      <c r="HW50" s="47"/>
      <c r="HX50" s="47"/>
      <c r="HY50" s="47"/>
      <c r="HZ50" s="47"/>
      <c r="IA50" s="47"/>
      <c r="IB50" s="47"/>
      <c r="IC50" s="47"/>
      <c r="ID50" s="47"/>
      <c r="IE50" s="47"/>
      <c r="IF50" s="47"/>
      <c r="IG50" s="47"/>
      <c r="IH50" s="47"/>
      <c r="II50" s="47"/>
      <c r="IJ50" s="47"/>
      <c r="IK50" s="47"/>
      <c r="IL50" s="47"/>
      <c r="IM50" s="47"/>
      <c r="IN50" s="47"/>
      <c r="IO50" s="47"/>
      <c r="IP50" s="47"/>
      <c r="IQ50" s="47"/>
      <c r="IR50" s="47"/>
      <c r="IS50" s="47"/>
      <c r="IT50" s="47"/>
      <c r="IU50" s="47"/>
      <c r="IV50" s="47"/>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D50" s="53">
        <v>1.6E-2</v>
      </c>
      <c r="NE50" s="47">
        <v>126546.01642259277</v>
      </c>
      <c r="NF50" s="13">
        <v>0.245</v>
      </c>
      <c r="NG50" s="1">
        <f>Combine!A52</f>
        <v>48186</v>
      </c>
      <c r="NH50" s="14">
        <f>Combine!F52</f>
        <v>162634.440022328</v>
      </c>
    </row>
    <row r="51" spans="1:372" ht="12.75" customHeight="1" x14ac:dyDescent="0.3">
      <c r="A51" s="59"/>
      <c r="D51" s="61"/>
      <c r="E51" s="47"/>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c r="AW51" s="47"/>
      <c r="AX51" s="47"/>
      <c r="AY51" s="47"/>
      <c r="AZ51" s="47"/>
      <c r="BA51" s="47"/>
      <c r="BB51" s="47"/>
      <c r="BC51" s="47"/>
      <c r="BD51" s="47"/>
      <c r="BE51" s="47"/>
      <c r="BF51" s="47"/>
      <c r="BG51" s="47"/>
      <c r="BH51" s="47"/>
      <c r="BI51" s="47"/>
      <c r="BJ51" s="47"/>
      <c r="BK51" s="47"/>
      <c r="BL51" s="47"/>
      <c r="BM51" s="47"/>
      <c r="BN51" s="47"/>
      <c r="BO51" s="47"/>
      <c r="BP51" s="47"/>
      <c r="BQ51" s="47"/>
      <c r="BR51" s="47"/>
      <c r="BS51" s="47"/>
      <c r="BT51" s="47"/>
      <c r="BU51" s="47"/>
      <c r="BV51" s="47"/>
      <c r="BW51" s="47"/>
      <c r="BX51" s="47"/>
      <c r="BY51" s="47"/>
      <c r="BZ51" s="47"/>
      <c r="CA51" s="47"/>
      <c r="CB51" s="47"/>
      <c r="CC51" s="47"/>
      <c r="CD51" s="47"/>
      <c r="CE51" s="47"/>
      <c r="CF51" s="47"/>
      <c r="CG51" s="47"/>
      <c r="CH51" s="47"/>
      <c r="CI51" s="47"/>
      <c r="CJ51" s="47"/>
      <c r="CK51" s="47"/>
      <c r="CL51" s="47"/>
      <c r="CM51" s="47"/>
      <c r="CN51" s="47"/>
      <c r="CO51" s="47"/>
      <c r="CP51" s="47"/>
      <c r="CQ51" s="47"/>
      <c r="CR51" s="47"/>
      <c r="CS51" s="47"/>
      <c r="CT51" s="47"/>
      <c r="CU51" s="47"/>
      <c r="CV51" s="47"/>
      <c r="CW51" s="47"/>
      <c r="CX51" s="47"/>
      <c r="CY51" s="47"/>
      <c r="CZ51" s="47"/>
      <c r="DA51" s="47"/>
      <c r="DB51" s="47"/>
      <c r="DC51" s="47"/>
      <c r="DD51" s="47"/>
      <c r="DE51" s="47"/>
      <c r="DF51" s="47"/>
      <c r="DG51" s="47"/>
      <c r="DH51" s="47"/>
      <c r="DI51" s="47"/>
      <c r="DJ51" s="47"/>
      <c r="DK51" s="47"/>
      <c r="DL51" s="47"/>
      <c r="DM51" s="47"/>
      <c r="DN51" s="47"/>
      <c r="DO51" s="47"/>
      <c r="DP51" s="47"/>
      <c r="DQ51" s="47"/>
      <c r="DR51" s="47"/>
      <c r="DS51" s="47"/>
      <c r="DT51" s="47"/>
      <c r="DU51" s="47"/>
      <c r="DV51" s="47"/>
      <c r="DW51" s="47"/>
      <c r="DX51" s="47"/>
      <c r="DY51" s="47"/>
      <c r="DZ51" s="47"/>
      <c r="EA51" s="47"/>
      <c r="EB51" s="47"/>
      <c r="EC51" s="47"/>
      <c r="ED51" s="47"/>
      <c r="EE51" s="47"/>
      <c r="EF51" s="47"/>
      <c r="EG51" s="47"/>
      <c r="EH51" s="47"/>
      <c r="EI51" s="47"/>
      <c r="EJ51" s="47"/>
      <c r="EK51" s="47"/>
      <c r="EL51" s="47"/>
      <c r="EM51" s="47"/>
      <c r="EN51" s="47"/>
      <c r="EO51" s="47"/>
      <c r="EP51" s="47"/>
      <c r="EQ51" s="47"/>
      <c r="ER51" s="47"/>
      <c r="ES51" s="47"/>
      <c r="ET51" s="47"/>
      <c r="EU51" s="47"/>
      <c r="EV51" s="47"/>
      <c r="EW51" s="47"/>
      <c r="EX51" s="47"/>
      <c r="EY51" s="47"/>
      <c r="EZ51" s="47"/>
      <c r="FA51" s="47"/>
      <c r="FB51" s="47"/>
      <c r="FC51" s="47"/>
      <c r="FD51" s="47"/>
      <c r="FE51" s="47"/>
      <c r="FF51" s="47"/>
      <c r="FG51" s="47"/>
      <c r="FH51" s="47"/>
      <c r="FI51" s="47"/>
      <c r="FJ51" s="47"/>
      <c r="FK51" s="47"/>
      <c r="FL51" s="47"/>
      <c r="FM51" s="47"/>
      <c r="FN51" s="47"/>
      <c r="FO51" s="47"/>
      <c r="FP51" s="47"/>
      <c r="FQ51" s="47"/>
      <c r="FR51" s="47"/>
      <c r="FS51" s="47"/>
      <c r="FT51" s="47"/>
      <c r="FU51" s="47"/>
      <c r="FV51" s="47"/>
      <c r="FW51" s="47"/>
      <c r="FX51" s="47"/>
      <c r="FY51" s="47"/>
      <c r="FZ51" s="47"/>
      <c r="GA51" s="47"/>
      <c r="GB51" s="47"/>
      <c r="GC51" s="47"/>
      <c r="GD51" s="47"/>
      <c r="GE51" s="47"/>
      <c r="GF51" s="47"/>
      <c r="GG51" s="47"/>
      <c r="GH51" s="47"/>
      <c r="GI51" s="47"/>
      <c r="GJ51" s="47"/>
      <c r="GK51" s="47"/>
      <c r="GL51" s="47"/>
      <c r="GM51" s="47"/>
      <c r="GN51" s="47"/>
      <c r="GO51" s="47"/>
      <c r="GP51" s="47"/>
      <c r="GQ51" s="47"/>
      <c r="GR51" s="47"/>
      <c r="GS51" s="47"/>
      <c r="GT51" s="47"/>
      <c r="GU51" s="47"/>
      <c r="GV51" s="47"/>
      <c r="GW51" s="47"/>
      <c r="GX51" s="47"/>
      <c r="GY51" s="47"/>
      <c r="GZ51" s="47"/>
      <c r="HA51" s="47"/>
      <c r="HB51" s="47"/>
      <c r="HC51" s="47"/>
      <c r="HD51" s="47"/>
      <c r="HE51" s="47"/>
      <c r="HF51" s="47"/>
      <c r="HG51" s="47"/>
      <c r="HH51" s="47"/>
      <c r="HI51" s="47"/>
      <c r="HJ51" s="47"/>
      <c r="HK51" s="47"/>
      <c r="HL51" s="47"/>
      <c r="HM51" s="47"/>
      <c r="HN51" s="47"/>
      <c r="HO51" s="47"/>
      <c r="HP51" s="47"/>
      <c r="HQ51" s="47"/>
      <c r="HR51" s="47"/>
      <c r="HS51" s="47"/>
      <c r="HT51" s="47"/>
      <c r="HU51" s="47"/>
      <c r="HV51" s="47"/>
      <c r="HW51" s="47"/>
      <c r="HX51" s="47"/>
      <c r="HY51" s="47"/>
      <c r="HZ51" s="47"/>
      <c r="IA51" s="47"/>
      <c r="IB51" s="47"/>
      <c r="IC51" s="47"/>
      <c r="ID51" s="47"/>
      <c r="IE51" s="47"/>
      <c r="IF51" s="47"/>
      <c r="IG51" s="47"/>
      <c r="IH51" s="47"/>
      <c r="II51" s="47"/>
      <c r="IJ51" s="47"/>
      <c r="IK51" s="47"/>
      <c r="IL51" s="47"/>
      <c r="IM51" s="47"/>
      <c r="IN51" s="47"/>
      <c r="IO51" s="47"/>
      <c r="IP51" s="47"/>
      <c r="IQ51" s="47"/>
      <c r="IR51" s="47"/>
      <c r="IS51" s="47"/>
      <c r="IT51" s="47"/>
      <c r="IU51" s="47"/>
      <c r="IV51" s="47"/>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D51" s="53">
        <v>1.7000000000000001E-2</v>
      </c>
      <c r="NE51" s="47">
        <v>124765.83707636296</v>
      </c>
      <c r="NF51" s="13">
        <v>0.25</v>
      </c>
      <c r="NG51" s="1">
        <f>Combine!A53</f>
        <v>48234</v>
      </c>
      <c r="NH51" s="14">
        <f>Combine!F53</f>
        <v>43294.780625625601</v>
      </c>
    </row>
    <row r="52" spans="1:372" ht="12.75" customHeight="1" x14ac:dyDescent="0.3">
      <c r="A52" s="59"/>
      <c r="D52" s="61"/>
      <c r="E52" s="47"/>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c r="AW52" s="47"/>
      <c r="AX52" s="47"/>
      <c r="AY52" s="47"/>
      <c r="AZ52" s="47"/>
      <c r="BA52" s="47"/>
      <c r="BB52" s="47"/>
      <c r="BC52" s="47"/>
      <c r="BD52" s="47"/>
      <c r="BE52" s="47"/>
      <c r="BF52" s="47"/>
      <c r="BG52" s="47"/>
      <c r="BH52" s="47"/>
      <c r="BI52" s="47"/>
      <c r="BJ52" s="47"/>
      <c r="BK52" s="47"/>
      <c r="BL52" s="47"/>
      <c r="BM52" s="47"/>
      <c r="BN52" s="47"/>
      <c r="BO52" s="47"/>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c r="CT52" s="47"/>
      <c r="CU52" s="47"/>
      <c r="CV52" s="47"/>
      <c r="CW52" s="47"/>
      <c r="CX52" s="47"/>
      <c r="CY52" s="47"/>
      <c r="CZ52" s="47"/>
      <c r="DA52" s="47"/>
      <c r="DB52" s="47"/>
      <c r="DC52" s="47"/>
      <c r="DD52" s="47"/>
      <c r="DE52" s="47"/>
      <c r="DF52" s="47"/>
      <c r="DG52" s="47"/>
      <c r="DH52" s="47"/>
      <c r="DI52" s="47"/>
      <c r="DJ52" s="47"/>
      <c r="DK52" s="47"/>
      <c r="DL52" s="47"/>
      <c r="DM52" s="47"/>
      <c r="DN52" s="47"/>
      <c r="DO52" s="47"/>
      <c r="DP52" s="47"/>
      <c r="DQ52" s="47"/>
      <c r="DR52" s="47"/>
      <c r="DS52" s="47"/>
      <c r="DT52" s="47"/>
      <c r="DU52" s="47"/>
      <c r="DV52" s="47"/>
      <c r="DW52" s="47"/>
      <c r="DX52" s="47"/>
      <c r="DY52" s="47"/>
      <c r="DZ52" s="47"/>
      <c r="EA52" s="47"/>
      <c r="EB52" s="47"/>
      <c r="EC52" s="47"/>
      <c r="ED52" s="47"/>
      <c r="EE52" s="47"/>
      <c r="EF52" s="47"/>
      <c r="EG52" s="47"/>
      <c r="EH52" s="47"/>
      <c r="EI52" s="47"/>
      <c r="EJ52" s="47"/>
      <c r="EK52" s="47"/>
      <c r="EL52" s="47"/>
      <c r="EM52" s="47"/>
      <c r="EN52" s="47"/>
      <c r="EO52" s="47"/>
      <c r="EP52" s="47"/>
      <c r="EQ52" s="47"/>
      <c r="ER52" s="47"/>
      <c r="ES52" s="47"/>
      <c r="ET52" s="47"/>
      <c r="EU52" s="47"/>
      <c r="EV52" s="47"/>
      <c r="EW52" s="47"/>
      <c r="EX52" s="47"/>
      <c r="EY52" s="47"/>
      <c r="EZ52" s="47"/>
      <c r="FA52" s="47"/>
      <c r="FB52" s="47"/>
      <c r="FC52" s="47"/>
      <c r="FD52" s="47"/>
      <c r="FE52" s="47"/>
      <c r="FF52" s="47"/>
      <c r="FG52" s="47"/>
      <c r="FH52" s="47"/>
      <c r="FI52" s="47"/>
      <c r="FJ52" s="47"/>
      <c r="FK52" s="47"/>
      <c r="FL52" s="47"/>
      <c r="FM52" s="47"/>
      <c r="FN52" s="47"/>
      <c r="FO52" s="47"/>
      <c r="FP52" s="47"/>
      <c r="FQ52" s="47"/>
      <c r="FR52" s="47"/>
      <c r="FS52" s="47"/>
      <c r="FT52" s="47"/>
      <c r="FU52" s="47"/>
      <c r="FV52" s="47"/>
      <c r="FW52" s="47"/>
      <c r="FX52" s="47"/>
      <c r="FY52" s="47"/>
      <c r="FZ52" s="47"/>
      <c r="GA52" s="47"/>
      <c r="GB52" s="47"/>
      <c r="GC52" s="47"/>
      <c r="GD52" s="47"/>
      <c r="GE52" s="47"/>
      <c r="GF52" s="47"/>
      <c r="GG52" s="47"/>
      <c r="GH52" s="47"/>
      <c r="GI52" s="47"/>
      <c r="GJ52" s="47"/>
      <c r="GK52" s="47"/>
      <c r="GL52" s="47"/>
      <c r="GM52" s="47"/>
      <c r="GN52" s="47"/>
      <c r="GO52" s="47"/>
      <c r="GP52" s="47"/>
      <c r="GQ52" s="47"/>
      <c r="GR52" s="47"/>
      <c r="GS52" s="47"/>
      <c r="GT52" s="47"/>
      <c r="GU52" s="47"/>
      <c r="GV52" s="47"/>
      <c r="GW52" s="47"/>
      <c r="GX52" s="47"/>
      <c r="GY52" s="47"/>
      <c r="GZ52" s="47"/>
      <c r="HA52" s="47"/>
      <c r="HB52" s="47"/>
      <c r="HC52" s="47"/>
      <c r="HD52" s="47"/>
      <c r="HE52" s="47"/>
      <c r="HF52" s="47"/>
      <c r="HG52" s="47"/>
      <c r="HH52" s="47"/>
      <c r="HI52" s="47"/>
      <c r="HJ52" s="47"/>
      <c r="HK52" s="47"/>
      <c r="HL52" s="47"/>
      <c r="HM52" s="47"/>
      <c r="HN52" s="47"/>
      <c r="HO52" s="47"/>
      <c r="HP52" s="47"/>
      <c r="HQ52" s="47"/>
      <c r="HR52" s="47"/>
      <c r="HS52" s="47"/>
      <c r="HT52" s="47"/>
      <c r="HU52" s="47"/>
      <c r="HV52" s="47"/>
      <c r="HW52" s="47"/>
      <c r="HX52" s="47"/>
      <c r="HY52" s="47"/>
      <c r="HZ52" s="47"/>
      <c r="IA52" s="47"/>
      <c r="IB52" s="47"/>
      <c r="IC52" s="47"/>
      <c r="ID52" s="47"/>
      <c r="IE52" s="47"/>
      <c r="IF52" s="47"/>
      <c r="IG52" s="47"/>
      <c r="IH52" s="47"/>
      <c r="II52" s="47"/>
      <c r="IJ52" s="47"/>
      <c r="IK52" s="47"/>
      <c r="IL52" s="47"/>
      <c r="IM52" s="47"/>
      <c r="IN52" s="47"/>
      <c r="IO52" s="47"/>
      <c r="IP52" s="47"/>
      <c r="IQ52" s="47"/>
      <c r="IR52" s="47"/>
      <c r="IS52" s="47"/>
      <c r="IT52" s="47"/>
      <c r="IU52" s="47"/>
      <c r="IV52" s="47"/>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D52" s="53">
        <v>1.7999999999999999E-2</v>
      </c>
      <c r="NE52" s="47">
        <v>122977.0185097268</v>
      </c>
      <c r="NF52" s="13">
        <v>0.255</v>
      </c>
      <c r="NG52" s="1">
        <f>Combine!A54</f>
        <v>49505</v>
      </c>
      <c r="NH52" s="14">
        <f>Combine!F54</f>
        <v>244776.11357790601</v>
      </c>
    </row>
    <row r="53" spans="1:372" ht="12.75" customHeight="1" x14ac:dyDescent="0.3">
      <c r="A53" s="59"/>
      <c r="D53" s="61"/>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c r="AW53" s="47"/>
      <c r="AX53" s="47"/>
      <c r="AY53" s="47"/>
      <c r="AZ53" s="47"/>
      <c r="BA53" s="47"/>
      <c r="BB53" s="47"/>
      <c r="BC53" s="47"/>
      <c r="BD53" s="47"/>
      <c r="BE53" s="47"/>
      <c r="BF53" s="47"/>
      <c r="BG53" s="47"/>
      <c r="BH53" s="47"/>
      <c r="BI53" s="47"/>
      <c r="BJ53" s="47"/>
      <c r="BK53" s="47"/>
      <c r="BL53" s="47"/>
      <c r="BM53" s="47"/>
      <c r="BN53" s="47"/>
      <c r="BO53" s="47"/>
      <c r="BP53" s="47"/>
      <c r="BQ53" s="47"/>
      <c r="BR53" s="47"/>
      <c r="BS53" s="47"/>
      <c r="BT53" s="47"/>
      <c r="BU53" s="47"/>
      <c r="BV53" s="47"/>
      <c r="BW53" s="47"/>
      <c r="BX53" s="47"/>
      <c r="BY53" s="47"/>
      <c r="BZ53" s="47"/>
      <c r="CA53" s="47"/>
      <c r="CB53" s="47"/>
      <c r="CC53" s="47"/>
      <c r="CD53" s="47"/>
      <c r="CE53" s="47"/>
      <c r="CF53" s="47"/>
      <c r="CG53" s="47"/>
      <c r="CH53" s="47"/>
      <c r="CI53" s="47"/>
      <c r="CJ53" s="47"/>
      <c r="CK53" s="47"/>
      <c r="CL53" s="47"/>
      <c r="CM53" s="47"/>
      <c r="CN53" s="47"/>
      <c r="CO53" s="47"/>
      <c r="CP53" s="47"/>
      <c r="CQ53" s="47"/>
      <c r="CR53" s="47"/>
      <c r="CS53" s="47"/>
      <c r="CT53" s="47"/>
      <c r="CU53" s="47"/>
      <c r="CV53" s="47"/>
      <c r="CW53" s="47"/>
      <c r="CX53" s="47"/>
      <c r="CY53" s="47"/>
      <c r="CZ53" s="47"/>
      <c r="DA53" s="47"/>
      <c r="DB53" s="47"/>
      <c r="DC53" s="47"/>
      <c r="DD53" s="47"/>
      <c r="DE53" s="47"/>
      <c r="DF53" s="47"/>
      <c r="DG53" s="47"/>
      <c r="DH53" s="47"/>
      <c r="DI53" s="47"/>
      <c r="DJ53" s="47"/>
      <c r="DK53" s="47"/>
      <c r="DL53" s="47"/>
      <c r="DM53" s="47"/>
      <c r="DN53" s="47"/>
      <c r="DO53" s="47"/>
      <c r="DP53" s="47"/>
      <c r="DQ53" s="47"/>
      <c r="DR53" s="47"/>
      <c r="DS53" s="47"/>
      <c r="DT53" s="47"/>
      <c r="DU53" s="47"/>
      <c r="DV53" s="47"/>
      <c r="DW53" s="47"/>
      <c r="DX53" s="47"/>
      <c r="DY53" s="47"/>
      <c r="DZ53" s="47"/>
      <c r="EA53" s="47"/>
      <c r="EB53" s="47"/>
      <c r="EC53" s="47"/>
      <c r="ED53" s="47"/>
      <c r="EE53" s="47"/>
      <c r="EF53" s="47"/>
      <c r="EG53" s="47"/>
      <c r="EH53" s="47"/>
      <c r="EI53" s="47"/>
      <c r="EJ53" s="47"/>
      <c r="EK53" s="47"/>
      <c r="EL53" s="47"/>
      <c r="EM53" s="47"/>
      <c r="EN53" s="47"/>
      <c r="EO53" s="47"/>
      <c r="EP53" s="47"/>
      <c r="EQ53" s="47"/>
      <c r="ER53" s="47"/>
      <c r="ES53" s="47"/>
      <c r="ET53" s="47"/>
      <c r="EU53" s="47"/>
      <c r="EV53" s="47"/>
      <c r="EW53" s="47"/>
      <c r="EX53" s="47"/>
      <c r="EY53" s="47"/>
      <c r="EZ53" s="47"/>
      <c r="FA53" s="47"/>
      <c r="FB53" s="47"/>
      <c r="FC53" s="47"/>
      <c r="FD53" s="47"/>
      <c r="FE53" s="47"/>
      <c r="FF53" s="47"/>
      <c r="FG53" s="47"/>
      <c r="FH53" s="47"/>
      <c r="FI53" s="47"/>
      <c r="FJ53" s="47"/>
      <c r="FK53" s="47"/>
      <c r="FL53" s="47"/>
      <c r="FM53" s="47"/>
      <c r="FN53" s="47"/>
      <c r="FO53" s="47"/>
      <c r="FP53" s="47"/>
      <c r="FQ53" s="47"/>
      <c r="FR53" s="47"/>
      <c r="FS53" s="47"/>
      <c r="FT53" s="47"/>
      <c r="FU53" s="47"/>
      <c r="FV53" s="47"/>
      <c r="FW53" s="47"/>
      <c r="FX53" s="47"/>
      <c r="FY53" s="47"/>
      <c r="FZ53" s="47"/>
      <c r="GA53" s="47"/>
      <c r="GB53" s="47"/>
      <c r="GC53" s="47"/>
      <c r="GD53" s="47"/>
      <c r="GE53" s="47"/>
      <c r="GF53" s="47"/>
      <c r="GG53" s="47"/>
      <c r="GH53" s="47"/>
      <c r="GI53" s="47"/>
      <c r="GJ53" s="47"/>
      <c r="GK53" s="47"/>
      <c r="GL53" s="47"/>
      <c r="GM53" s="47"/>
      <c r="GN53" s="47"/>
      <c r="GO53" s="47"/>
      <c r="GP53" s="47"/>
      <c r="GQ53" s="47"/>
      <c r="GR53" s="47"/>
      <c r="GS53" s="47"/>
      <c r="GT53" s="47"/>
      <c r="GU53" s="47"/>
      <c r="GV53" s="47"/>
      <c r="GW53" s="47"/>
      <c r="GX53" s="47"/>
      <c r="GY53" s="47"/>
      <c r="GZ53" s="47"/>
      <c r="HA53" s="47"/>
      <c r="HB53" s="47"/>
      <c r="HC53" s="47"/>
      <c r="HD53" s="47"/>
      <c r="HE53" s="47"/>
      <c r="HF53" s="47"/>
      <c r="HG53" s="47"/>
      <c r="HH53" s="47"/>
      <c r="HI53" s="47"/>
      <c r="HJ53" s="47"/>
      <c r="HK53" s="47"/>
      <c r="HL53" s="47"/>
      <c r="HM53" s="47"/>
      <c r="HN53" s="47"/>
      <c r="HO53" s="47"/>
      <c r="HP53" s="47"/>
      <c r="HQ53" s="47"/>
      <c r="HR53" s="47"/>
      <c r="HS53" s="47"/>
      <c r="HT53" s="47"/>
      <c r="HU53" s="47"/>
      <c r="HV53" s="47"/>
      <c r="HW53" s="47"/>
      <c r="HX53" s="47"/>
      <c r="HY53" s="47"/>
      <c r="HZ53" s="47"/>
      <c r="IA53" s="47"/>
      <c r="IB53" s="47"/>
      <c r="IC53" s="47"/>
      <c r="ID53" s="47"/>
      <c r="IE53" s="47"/>
      <c r="IF53" s="47"/>
      <c r="IG53" s="47"/>
      <c r="IH53" s="47"/>
      <c r="II53" s="47"/>
      <c r="IJ53" s="47"/>
      <c r="IK53" s="47"/>
      <c r="IL53" s="47"/>
      <c r="IM53" s="47"/>
      <c r="IN53" s="47"/>
      <c r="IO53" s="47"/>
      <c r="IP53" s="47"/>
      <c r="IQ53" s="47"/>
      <c r="IR53" s="47"/>
      <c r="IS53" s="47"/>
      <c r="IT53" s="47"/>
      <c r="IU53" s="47"/>
      <c r="IV53" s="47"/>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D53" s="53">
        <v>1.9E-2</v>
      </c>
      <c r="NE53" s="47">
        <v>121179.63358572758</v>
      </c>
      <c r="NF53" s="13">
        <v>0.26</v>
      </c>
      <c r="NG53" s="1">
        <f>Combine!A55</f>
        <v>48021</v>
      </c>
      <c r="NH53" s="14">
        <f>Combine!F55</f>
        <v>135179.47792579199</v>
      </c>
    </row>
    <row r="54" spans="1:372" ht="12.75" customHeight="1" x14ac:dyDescent="0.3">
      <c r="A54" s="59"/>
      <c r="D54" s="61"/>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c r="AW54" s="47"/>
      <c r="AX54" s="47"/>
      <c r="AY54" s="47"/>
      <c r="AZ54" s="47"/>
      <c r="BA54" s="47"/>
      <c r="BB54" s="47"/>
      <c r="BC54" s="47"/>
      <c r="BD54" s="47"/>
      <c r="BE54" s="47"/>
      <c r="BF54" s="47"/>
      <c r="BG54" s="47"/>
      <c r="BH54" s="47"/>
      <c r="BI54" s="47"/>
      <c r="BJ54" s="47"/>
      <c r="BK54" s="47"/>
      <c r="BL54" s="47"/>
      <c r="BM54" s="47"/>
      <c r="BN54" s="47"/>
      <c r="BO54" s="47"/>
      <c r="BP54" s="47"/>
      <c r="BQ54" s="47"/>
      <c r="BR54" s="47"/>
      <c r="BS54" s="47"/>
      <c r="BT54" s="47"/>
      <c r="BU54" s="47"/>
      <c r="BV54" s="47"/>
      <c r="BW54" s="47"/>
      <c r="BX54" s="47"/>
      <c r="BY54" s="47"/>
      <c r="BZ54" s="47"/>
      <c r="CA54" s="47"/>
      <c r="CB54" s="47"/>
      <c r="CC54" s="47"/>
      <c r="CD54" s="47"/>
      <c r="CE54" s="47"/>
      <c r="CF54" s="47"/>
      <c r="CG54" s="47"/>
      <c r="CH54" s="47"/>
      <c r="CI54" s="47"/>
      <c r="CJ54" s="47"/>
      <c r="CK54" s="47"/>
      <c r="CL54" s="47"/>
      <c r="CM54" s="47"/>
      <c r="CN54" s="47"/>
      <c r="CO54" s="47"/>
      <c r="CP54" s="47"/>
      <c r="CQ54" s="47"/>
      <c r="CR54" s="47"/>
      <c r="CS54" s="47"/>
      <c r="CT54" s="47"/>
      <c r="CU54" s="47"/>
      <c r="CV54" s="47"/>
      <c r="CW54" s="47"/>
      <c r="CX54" s="47"/>
      <c r="CY54" s="47"/>
      <c r="CZ54" s="47"/>
      <c r="DA54" s="47"/>
      <c r="DB54" s="47"/>
      <c r="DC54" s="47"/>
      <c r="DD54" s="47"/>
      <c r="DE54" s="47"/>
      <c r="DF54" s="47"/>
      <c r="DG54" s="47"/>
      <c r="DH54" s="47"/>
      <c r="DI54" s="47"/>
      <c r="DJ54" s="47"/>
      <c r="DK54" s="47"/>
      <c r="DL54" s="47"/>
      <c r="DM54" s="47"/>
      <c r="DN54" s="47"/>
      <c r="DO54" s="47"/>
      <c r="DP54" s="47"/>
      <c r="DQ54" s="47"/>
      <c r="DR54" s="47"/>
      <c r="DS54" s="47"/>
      <c r="DT54" s="47"/>
      <c r="DU54" s="47"/>
      <c r="DV54" s="47"/>
      <c r="DW54" s="47"/>
      <c r="DX54" s="47"/>
      <c r="DY54" s="47"/>
      <c r="DZ54" s="47"/>
      <c r="EA54" s="47"/>
      <c r="EB54" s="47"/>
      <c r="EC54" s="47"/>
      <c r="ED54" s="47"/>
      <c r="EE54" s="47"/>
      <c r="EF54" s="47"/>
      <c r="EG54" s="47"/>
      <c r="EH54" s="47"/>
      <c r="EI54" s="47"/>
      <c r="EJ54" s="47"/>
      <c r="EK54" s="47"/>
      <c r="EL54" s="47"/>
      <c r="EM54" s="47"/>
      <c r="EN54" s="47"/>
      <c r="EO54" s="47"/>
      <c r="EP54" s="47"/>
      <c r="EQ54" s="47"/>
      <c r="ER54" s="47"/>
      <c r="ES54" s="47"/>
      <c r="ET54" s="47"/>
      <c r="EU54" s="47"/>
      <c r="EV54" s="47"/>
      <c r="EW54" s="47"/>
      <c r="EX54" s="47"/>
      <c r="EY54" s="47"/>
      <c r="EZ54" s="47"/>
      <c r="FA54" s="47"/>
      <c r="FB54" s="47"/>
      <c r="FC54" s="47"/>
      <c r="FD54" s="47"/>
      <c r="FE54" s="47"/>
      <c r="FF54" s="47"/>
      <c r="FG54" s="47"/>
      <c r="FH54" s="47"/>
      <c r="FI54" s="47"/>
      <c r="FJ54" s="47"/>
      <c r="FK54" s="47"/>
      <c r="FL54" s="47"/>
      <c r="FM54" s="47"/>
      <c r="FN54" s="47"/>
      <c r="FO54" s="47"/>
      <c r="FP54" s="47"/>
      <c r="FQ54" s="47"/>
      <c r="FR54" s="47"/>
      <c r="FS54" s="47"/>
      <c r="FT54" s="47"/>
      <c r="FU54" s="47"/>
      <c r="FV54" s="47"/>
      <c r="FW54" s="47"/>
      <c r="FX54" s="47"/>
      <c r="FY54" s="47"/>
      <c r="FZ54" s="47"/>
      <c r="GA54" s="47"/>
      <c r="GB54" s="47"/>
      <c r="GC54" s="47"/>
      <c r="GD54" s="47"/>
      <c r="GE54" s="47"/>
      <c r="GF54" s="47"/>
      <c r="GG54" s="47"/>
      <c r="GH54" s="47"/>
      <c r="GI54" s="47"/>
      <c r="GJ54" s="47"/>
      <c r="GK54" s="47"/>
      <c r="GL54" s="47"/>
      <c r="GM54" s="47"/>
      <c r="GN54" s="47"/>
      <c r="GO54" s="47"/>
      <c r="GP54" s="47"/>
      <c r="GQ54" s="47"/>
      <c r="GR54" s="47"/>
      <c r="GS54" s="47"/>
      <c r="GT54" s="47"/>
      <c r="GU54" s="47"/>
      <c r="GV54" s="47"/>
      <c r="GW54" s="47"/>
      <c r="GX54" s="47"/>
      <c r="GY54" s="47"/>
      <c r="GZ54" s="47"/>
      <c r="HA54" s="47"/>
      <c r="HB54" s="47"/>
      <c r="HC54" s="47"/>
      <c r="HD54" s="47"/>
      <c r="HE54" s="47"/>
      <c r="HF54" s="47"/>
      <c r="HG54" s="47"/>
      <c r="HH54" s="47"/>
      <c r="HI54" s="47"/>
      <c r="HJ54" s="47"/>
      <c r="HK54" s="47"/>
      <c r="HL54" s="47"/>
      <c r="HM54" s="47"/>
      <c r="HN54" s="47"/>
      <c r="HO54" s="47"/>
      <c r="HP54" s="47"/>
      <c r="HQ54" s="47"/>
      <c r="HR54" s="47"/>
      <c r="HS54" s="47"/>
      <c r="HT54" s="47"/>
      <c r="HU54" s="47"/>
      <c r="HV54" s="47"/>
      <c r="HW54" s="47"/>
      <c r="HX54" s="47"/>
      <c r="HY54" s="47"/>
      <c r="HZ54" s="47"/>
      <c r="IA54" s="47"/>
      <c r="IB54" s="47"/>
      <c r="IC54" s="47"/>
      <c r="ID54" s="47"/>
      <c r="IE54" s="47"/>
      <c r="IF54" s="47"/>
      <c r="IG54" s="47"/>
      <c r="IH54" s="47"/>
      <c r="II54" s="47"/>
      <c r="IJ54" s="47"/>
      <c r="IK54" s="47"/>
      <c r="IL54" s="47"/>
      <c r="IM54" s="47"/>
      <c r="IN54" s="47"/>
      <c r="IO54" s="47"/>
      <c r="IP54" s="47"/>
      <c r="IQ54" s="47"/>
      <c r="IR54" s="47"/>
      <c r="IS54" s="47"/>
      <c r="IT54" s="47"/>
      <c r="IU54" s="47"/>
      <c r="IV54" s="47"/>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D54" s="53">
        <v>0.02</v>
      </c>
      <c r="NE54" s="47">
        <v>119373.75617166443</v>
      </c>
      <c r="NF54" s="13">
        <v>0.26500000000000001</v>
      </c>
      <c r="NG54" s="1">
        <f>Combine!A56</f>
        <v>48322</v>
      </c>
      <c r="NH54" s="14">
        <f>Combine!F56</f>
        <v>408090.75359510398</v>
      </c>
    </row>
    <row r="55" spans="1:372" ht="12.75" customHeight="1" x14ac:dyDescent="0.3">
      <c r="A55" s="59"/>
      <c r="D55" s="61"/>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c r="AW55" s="47"/>
      <c r="AX55" s="47"/>
      <c r="AY55" s="47"/>
      <c r="AZ55" s="47"/>
      <c r="BA55" s="47"/>
      <c r="BB55" s="47"/>
      <c r="BC55" s="47"/>
      <c r="BD55" s="47"/>
      <c r="BE55" s="47"/>
      <c r="BF55" s="47"/>
      <c r="BG55" s="47"/>
      <c r="BH55" s="47"/>
      <c r="BI55" s="47"/>
      <c r="BJ55" s="47"/>
      <c r="BK55" s="47"/>
      <c r="BL55" s="47"/>
      <c r="BM55" s="47"/>
      <c r="BN55" s="47"/>
      <c r="BO55" s="47"/>
      <c r="BP55" s="47"/>
      <c r="BQ55" s="47"/>
      <c r="BR55" s="47"/>
      <c r="BS55" s="47"/>
      <c r="BT55" s="47"/>
      <c r="BU55" s="47"/>
      <c r="BV55" s="47"/>
      <c r="BW55" s="47"/>
      <c r="BX55" s="47"/>
      <c r="BY55" s="47"/>
      <c r="BZ55" s="47"/>
      <c r="CA55" s="47"/>
      <c r="CB55" s="47"/>
      <c r="CC55" s="47"/>
      <c r="CD55" s="47"/>
      <c r="CE55" s="47"/>
      <c r="CF55" s="47"/>
      <c r="CG55" s="47"/>
      <c r="CH55" s="47"/>
      <c r="CI55" s="47"/>
      <c r="CJ55" s="47"/>
      <c r="CK55" s="47"/>
      <c r="CL55" s="47"/>
      <c r="CM55" s="47"/>
      <c r="CN55" s="47"/>
      <c r="CO55" s="47"/>
      <c r="CP55" s="47"/>
      <c r="CQ55" s="47"/>
      <c r="CR55" s="47"/>
      <c r="CS55" s="47"/>
      <c r="CT55" s="47"/>
      <c r="CU55" s="47"/>
      <c r="CV55" s="47"/>
      <c r="CW55" s="47"/>
      <c r="CX55" s="47"/>
      <c r="CY55" s="47"/>
      <c r="CZ55" s="47"/>
      <c r="DA55" s="47"/>
      <c r="DB55" s="47"/>
      <c r="DC55" s="47"/>
      <c r="DD55" s="47"/>
      <c r="DE55" s="47"/>
      <c r="DF55" s="47"/>
      <c r="DG55" s="47"/>
      <c r="DH55" s="47"/>
      <c r="DI55" s="47"/>
      <c r="DJ55" s="47"/>
      <c r="DK55" s="47"/>
      <c r="DL55" s="47"/>
      <c r="DM55" s="47"/>
      <c r="DN55" s="47"/>
      <c r="DO55" s="47"/>
      <c r="DP55" s="47"/>
      <c r="DQ55" s="47"/>
      <c r="DR55" s="47"/>
      <c r="DS55" s="47"/>
      <c r="DT55" s="47"/>
      <c r="DU55" s="47"/>
      <c r="DV55" s="47"/>
      <c r="DW55" s="47"/>
      <c r="DX55" s="47"/>
      <c r="DY55" s="47"/>
      <c r="DZ55" s="47"/>
      <c r="EA55" s="47"/>
      <c r="EB55" s="47"/>
      <c r="EC55" s="47"/>
      <c r="ED55" s="47"/>
      <c r="EE55" s="47"/>
      <c r="EF55" s="47"/>
      <c r="EG55" s="47"/>
      <c r="EH55" s="47"/>
      <c r="EI55" s="47"/>
      <c r="EJ55" s="47"/>
      <c r="EK55" s="47"/>
      <c r="EL55" s="47"/>
      <c r="EM55" s="47"/>
      <c r="EN55" s="47"/>
      <c r="EO55" s="47"/>
      <c r="EP55" s="47"/>
      <c r="EQ55" s="47"/>
      <c r="ER55" s="47"/>
      <c r="ES55" s="47"/>
      <c r="ET55" s="47"/>
      <c r="EU55" s="47"/>
      <c r="EV55" s="47"/>
      <c r="EW55" s="47"/>
      <c r="EX55" s="47"/>
      <c r="EY55" s="47"/>
      <c r="EZ55" s="47"/>
      <c r="FA55" s="47"/>
      <c r="FB55" s="47"/>
      <c r="FC55" s="47"/>
      <c r="FD55" s="47"/>
      <c r="FE55" s="47"/>
      <c r="FF55" s="47"/>
      <c r="FG55" s="47"/>
      <c r="FH55" s="47"/>
      <c r="FI55" s="47"/>
      <c r="FJ55" s="47"/>
      <c r="FK55" s="47"/>
      <c r="FL55" s="47"/>
      <c r="FM55" s="47"/>
      <c r="FN55" s="47"/>
      <c r="FO55" s="47"/>
      <c r="FP55" s="47"/>
      <c r="FQ55" s="47"/>
      <c r="FR55" s="47"/>
      <c r="FS55" s="47"/>
      <c r="FT55" s="47"/>
      <c r="FU55" s="47"/>
      <c r="FV55" s="47"/>
      <c r="FW55" s="47"/>
      <c r="FX55" s="47"/>
      <c r="FY55" s="47"/>
      <c r="FZ55" s="47"/>
      <c r="GA55" s="47"/>
      <c r="GB55" s="47"/>
      <c r="GC55" s="47"/>
      <c r="GD55" s="47"/>
      <c r="GE55" s="47"/>
      <c r="GF55" s="47"/>
      <c r="GG55" s="47"/>
      <c r="GH55" s="47"/>
      <c r="GI55" s="47"/>
      <c r="GJ55" s="47"/>
      <c r="GK55" s="47"/>
      <c r="GL55" s="47"/>
      <c r="GM55" s="47"/>
      <c r="GN55" s="47"/>
      <c r="GO55" s="47"/>
      <c r="GP55" s="47"/>
      <c r="GQ55" s="47"/>
      <c r="GR55" s="47"/>
      <c r="GS55" s="47"/>
      <c r="GT55" s="47"/>
      <c r="GU55" s="47"/>
      <c r="GV55" s="47"/>
      <c r="GW55" s="47"/>
      <c r="GX55" s="47"/>
      <c r="GY55" s="47"/>
      <c r="GZ55" s="47"/>
      <c r="HA55" s="47"/>
      <c r="HB55" s="47"/>
      <c r="HC55" s="47"/>
      <c r="HD55" s="47"/>
      <c r="HE55" s="47"/>
      <c r="HF55" s="47"/>
      <c r="HG55" s="47"/>
      <c r="HH55" s="47"/>
      <c r="HI55" s="47"/>
      <c r="HJ55" s="47"/>
      <c r="HK55" s="47"/>
      <c r="HL55" s="47"/>
      <c r="HM55" s="47"/>
      <c r="HN55" s="47"/>
      <c r="HO55" s="47"/>
      <c r="HP55" s="47"/>
      <c r="HQ55" s="47"/>
      <c r="HR55" s="47"/>
      <c r="HS55" s="47"/>
      <c r="HT55" s="47"/>
      <c r="HU55" s="47"/>
      <c r="HV55" s="47"/>
      <c r="HW55" s="47"/>
      <c r="HX55" s="47"/>
      <c r="HY55" s="47"/>
      <c r="HZ55" s="47"/>
      <c r="IA55" s="47"/>
      <c r="IB55" s="47"/>
      <c r="IC55" s="47"/>
      <c r="ID55" s="47"/>
      <c r="IE55" s="47"/>
      <c r="IF55" s="47"/>
      <c r="IG55" s="47"/>
      <c r="IH55" s="47"/>
      <c r="II55" s="47"/>
      <c r="IJ55" s="47"/>
      <c r="IK55" s="47"/>
      <c r="IL55" s="47"/>
      <c r="IM55" s="47"/>
      <c r="IN55" s="47"/>
      <c r="IO55" s="47"/>
      <c r="IP55" s="47"/>
      <c r="IQ55" s="47"/>
      <c r="IR55" s="47"/>
      <c r="IS55" s="47"/>
      <c r="IT55" s="47"/>
      <c r="IU55" s="47"/>
      <c r="IV55" s="47"/>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D55" s="53">
        <v>2.1000000000000001E-2</v>
      </c>
      <c r="NE55" s="47">
        <v>117559.46110411553</v>
      </c>
      <c r="NF55" s="13">
        <v>0.27</v>
      </c>
      <c r="NG55" s="1">
        <f>Combine!A57</f>
        <v>48917</v>
      </c>
      <c r="NH55" s="14">
        <f>Combine!F57</f>
        <v>219360.441567412</v>
      </c>
    </row>
    <row r="56" spans="1:372" ht="12.75" customHeight="1" x14ac:dyDescent="0.3">
      <c r="A56" s="59"/>
      <c r="D56" s="61"/>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c r="AW56" s="47"/>
      <c r="AX56" s="47"/>
      <c r="AY56" s="47"/>
      <c r="AZ56" s="47"/>
      <c r="BA56" s="47"/>
      <c r="BB56" s="47"/>
      <c r="BC56" s="47"/>
      <c r="BD56" s="47"/>
      <c r="BE56" s="47"/>
      <c r="BF56" s="47"/>
      <c r="BG56" s="47"/>
      <c r="BH56" s="47"/>
      <c r="BI56" s="47"/>
      <c r="BJ56" s="47"/>
      <c r="BK56" s="47"/>
      <c r="BL56" s="47"/>
      <c r="BM56" s="47"/>
      <c r="BN56" s="47"/>
      <c r="BO56" s="47"/>
      <c r="BP56" s="47"/>
      <c r="BQ56" s="47"/>
      <c r="BR56" s="47"/>
      <c r="BS56" s="47"/>
      <c r="BT56" s="47"/>
      <c r="BU56" s="47"/>
      <c r="BV56" s="47"/>
      <c r="BW56" s="47"/>
      <c r="BX56" s="47"/>
      <c r="BY56" s="47"/>
      <c r="BZ56" s="47"/>
      <c r="CA56" s="47"/>
      <c r="CB56" s="47"/>
      <c r="CC56" s="47"/>
      <c r="CD56" s="47"/>
      <c r="CE56" s="47"/>
      <c r="CF56" s="47"/>
      <c r="CG56" s="47"/>
      <c r="CH56" s="47"/>
      <c r="CI56" s="47"/>
      <c r="CJ56" s="47"/>
      <c r="CK56" s="47"/>
      <c r="CL56" s="47"/>
      <c r="CM56" s="47"/>
      <c r="CN56" s="47"/>
      <c r="CO56" s="47"/>
      <c r="CP56" s="47"/>
      <c r="CQ56" s="47"/>
      <c r="CR56" s="47"/>
      <c r="CS56" s="47"/>
      <c r="CT56" s="47"/>
      <c r="CU56" s="47"/>
      <c r="CV56" s="47"/>
      <c r="CW56" s="47"/>
      <c r="CX56" s="47"/>
      <c r="CY56" s="47"/>
      <c r="CZ56" s="47"/>
      <c r="DA56" s="47"/>
      <c r="DB56" s="47"/>
      <c r="DC56" s="47"/>
      <c r="DD56" s="47"/>
      <c r="DE56" s="47"/>
      <c r="DF56" s="47"/>
      <c r="DG56" s="47"/>
      <c r="DH56" s="47"/>
      <c r="DI56" s="47"/>
      <c r="DJ56" s="47"/>
      <c r="DK56" s="47"/>
      <c r="DL56" s="47"/>
      <c r="DM56" s="47"/>
      <c r="DN56" s="47"/>
      <c r="DO56" s="47"/>
      <c r="DP56" s="47"/>
      <c r="DQ56" s="47"/>
      <c r="DR56" s="47"/>
      <c r="DS56" s="47"/>
      <c r="DT56" s="47"/>
      <c r="DU56" s="47"/>
      <c r="DV56" s="47"/>
      <c r="DW56" s="47"/>
      <c r="DX56" s="47"/>
      <c r="DY56" s="47"/>
      <c r="DZ56" s="47"/>
      <c r="EA56" s="47"/>
      <c r="EB56" s="47"/>
      <c r="EC56" s="47"/>
      <c r="ED56" s="47"/>
      <c r="EE56" s="47"/>
      <c r="EF56" s="47"/>
      <c r="EG56" s="47"/>
      <c r="EH56" s="47"/>
      <c r="EI56" s="47"/>
      <c r="EJ56" s="47"/>
      <c r="EK56" s="47"/>
      <c r="EL56" s="47"/>
      <c r="EM56" s="47"/>
      <c r="EN56" s="47"/>
      <c r="EO56" s="47"/>
      <c r="EP56" s="47"/>
      <c r="EQ56" s="47"/>
      <c r="ER56" s="47"/>
      <c r="ES56" s="47"/>
      <c r="ET56" s="47"/>
      <c r="EU56" s="47"/>
      <c r="EV56" s="47"/>
      <c r="EW56" s="47"/>
      <c r="EX56" s="47"/>
      <c r="EY56" s="47"/>
      <c r="EZ56" s="47"/>
      <c r="FA56" s="47"/>
      <c r="FB56" s="47"/>
      <c r="FC56" s="47"/>
      <c r="FD56" s="47"/>
      <c r="FE56" s="47"/>
      <c r="FF56" s="47"/>
      <c r="FG56" s="47"/>
      <c r="FH56" s="47"/>
      <c r="FI56" s="47"/>
      <c r="FJ56" s="47"/>
      <c r="FK56" s="47"/>
      <c r="FL56" s="47"/>
      <c r="FM56" s="47"/>
      <c r="FN56" s="47"/>
      <c r="FO56" s="47"/>
      <c r="FP56" s="47"/>
      <c r="FQ56" s="47"/>
      <c r="FR56" s="47"/>
      <c r="FS56" s="47"/>
      <c r="FT56" s="47"/>
      <c r="FU56" s="47"/>
      <c r="FV56" s="47"/>
      <c r="FW56" s="47"/>
      <c r="FX56" s="47"/>
      <c r="FY56" s="47"/>
      <c r="FZ56" s="47"/>
      <c r="GA56" s="47"/>
      <c r="GB56" s="47"/>
      <c r="GC56" s="47"/>
      <c r="GD56" s="47"/>
      <c r="GE56" s="47"/>
      <c r="GF56" s="47"/>
      <c r="GG56" s="47"/>
      <c r="GH56" s="47"/>
      <c r="GI56" s="47"/>
      <c r="GJ56" s="47"/>
      <c r="GK56" s="47"/>
      <c r="GL56" s="47"/>
      <c r="GM56" s="47"/>
      <c r="GN56" s="47"/>
      <c r="GO56" s="47"/>
      <c r="GP56" s="47"/>
      <c r="GQ56" s="47"/>
      <c r="GR56" s="47"/>
      <c r="GS56" s="47"/>
      <c r="GT56" s="47"/>
      <c r="GU56" s="47"/>
      <c r="GV56" s="47"/>
      <c r="GW56" s="47"/>
      <c r="GX56" s="47"/>
      <c r="GY56" s="47"/>
      <c r="GZ56" s="47"/>
      <c r="HA56" s="47"/>
      <c r="HB56" s="47"/>
      <c r="HC56" s="47"/>
      <c r="HD56" s="47"/>
      <c r="HE56" s="47"/>
      <c r="HF56" s="47"/>
      <c r="HG56" s="47"/>
      <c r="HH56" s="47"/>
      <c r="HI56" s="47"/>
      <c r="HJ56" s="47"/>
      <c r="HK56" s="47"/>
      <c r="HL56" s="47"/>
      <c r="HM56" s="47"/>
      <c r="HN56" s="47"/>
      <c r="HO56" s="47"/>
      <c r="HP56" s="47"/>
      <c r="HQ56" s="47"/>
      <c r="HR56" s="47"/>
      <c r="HS56" s="47"/>
      <c r="HT56" s="47"/>
      <c r="HU56" s="47"/>
      <c r="HV56" s="47"/>
      <c r="HW56" s="47"/>
      <c r="HX56" s="47"/>
      <c r="HY56" s="47"/>
      <c r="HZ56" s="47"/>
      <c r="IA56" s="47"/>
      <c r="IB56" s="47"/>
      <c r="IC56" s="47"/>
      <c r="ID56" s="47"/>
      <c r="IE56" s="47"/>
      <c r="IF56" s="47"/>
      <c r="IG56" s="47"/>
      <c r="IH56" s="47"/>
      <c r="II56" s="47"/>
      <c r="IJ56" s="47"/>
      <c r="IK56" s="47"/>
      <c r="IL56" s="47"/>
      <c r="IM56" s="47"/>
      <c r="IN56" s="47"/>
      <c r="IO56" s="47"/>
      <c r="IP56" s="47"/>
      <c r="IQ56" s="47"/>
      <c r="IR56" s="47"/>
      <c r="IS56" s="47"/>
      <c r="IT56" s="47"/>
      <c r="IU56" s="47"/>
      <c r="IV56" s="47"/>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D56" s="53">
        <v>2.1999999999999999E-2</v>
      </c>
      <c r="NE56" s="47">
        <v>115736.82415358022</v>
      </c>
      <c r="NF56" s="13">
        <v>0.27500000000000002</v>
      </c>
      <c r="NG56" s="1">
        <f>Combine!A58</f>
        <v>49417</v>
      </c>
      <c r="NH56" s="14">
        <f>Combine!F58</f>
        <v>336219.11613828299</v>
      </c>
    </row>
    <row r="57" spans="1:372" ht="12.75" customHeight="1" x14ac:dyDescent="0.3">
      <c r="A57" s="59"/>
      <c r="D57" s="61"/>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c r="AW57" s="47"/>
      <c r="AX57" s="47"/>
      <c r="AY57" s="47"/>
      <c r="AZ57" s="47"/>
      <c r="BA57" s="47"/>
      <c r="BB57" s="47"/>
      <c r="BC57" s="47"/>
      <c r="BD57" s="47"/>
      <c r="BE57" s="47"/>
      <c r="BF57" s="47"/>
      <c r="BG57" s="47"/>
      <c r="BH57" s="47"/>
      <c r="BI57" s="47"/>
      <c r="BJ57" s="47"/>
      <c r="BK57" s="47"/>
      <c r="BL57" s="47"/>
      <c r="BM57" s="47"/>
      <c r="BN57" s="47"/>
      <c r="BO57" s="47"/>
      <c r="BP57" s="47"/>
      <c r="BQ57" s="47"/>
      <c r="BR57" s="47"/>
      <c r="BS57" s="47"/>
      <c r="BT57" s="47"/>
      <c r="BU57" s="47"/>
      <c r="BV57" s="47"/>
      <c r="BW57" s="47"/>
      <c r="BX57" s="47"/>
      <c r="BY57" s="47"/>
      <c r="BZ57" s="47"/>
      <c r="CA57" s="47"/>
      <c r="CB57" s="47"/>
      <c r="CC57" s="47"/>
      <c r="CD57" s="47"/>
      <c r="CE57" s="47"/>
      <c r="CF57" s="47"/>
      <c r="CG57" s="47"/>
      <c r="CH57" s="47"/>
      <c r="CI57" s="47"/>
      <c r="CJ57" s="47"/>
      <c r="CK57" s="47"/>
      <c r="CL57" s="47"/>
      <c r="CM57" s="47"/>
      <c r="CN57" s="47"/>
      <c r="CO57" s="47"/>
      <c r="CP57" s="47"/>
      <c r="CQ57" s="47"/>
      <c r="CR57" s="47"/>
      <c r="CS57" s="47"/>
      <c r="CT57" s="47"/>
      <c r="CU57" s="47"/>
      <c r="CV57" s="47"/>
      <c r="CW57" s="47"/>
      <c r="CX57" s="47"/>
      <c r="CY57" s="47"/>
      <c r="CZ57" s="47"/>
      <c r="DA57" s="47"/>
      <c r="DB57" s="47"/>
      <c r="DC57" s="47"/>
      <c r="DD57" s="47"/>
      <c r="DE57" s="47"/>
      <c r="DF57" s="47"/>
      <c r="DG57" s="47"/>
      <c r="DH57" s="47"/>
      <c r="DI57" s="47"/>
      <c r="DJ57" s="47"/>
      <c r="DK57" s="47"/>
      <c r="DL57" s="47"/>
      <c r="DM57" s="47"/>
      <c r="DN57" s="47"/>
      <c r="DO57" s="47"/>
      <c r="DP57" s="47"/>
      <c r="DQ57" s="47"/>
      <c r="DR57" s="47"/>
      <c r="DS57" s="47"/>
      <c r="DT57" s="47"/>
      <c r="DU57" s="47"/>
      <c r="DV57" s="47"/>
      <c r="DW57" s="47"/>
      <c r="DX57" s="47"/>
      <c r="DY57" s="47"/>
      <c r="DZ57" s="47"/>
      <c r="EA57" s="47"/>
      <c r="EB57" s="47"/>
      <c r="EC57" s="47"/>
      <c r="ED57" s="47"/>
      <c r="EE57" s="47"/>
      <c r="EF57" s="47"/>
      <c r="EG57" s="47"/>
      <c r="EH57" s="47"/>
      <c r="EI57" s="47"/>
      <c r="EJ57" s="47"/>
      <c r="EK57" s="47"/>
      <c r="EL57" s="47"/>
      <c r="EM57" s="47"/>
      <c r="EN57" s="47"/>
      <c r="EO57" s="47"/>
      <c r="EP57" s="47"/>
      <c r="EQ57" s="47"/>
      <c r="ER57" s="47"/>
      <c r="ES57" s="47"/>
      <c r="ET57" s="47"/>
      <c r="EU57" s="47"/>
      <c r="EV57" s="47"/>
      <c r="EW57" s="47"/>
      <c r="EX57" s="47"/>
      <c r="EY57" s="47"/>
      <c r="EZ57" s="47"/>
      <c r="FA57" s="47"/>
      <c r="FB57" s="47"/>
      <c r="FC57" s="47"/>
      <c r="FD57" s="47"/>
      <c r="FE57" s="47"/>
      <c r="FF57" s="47"/>
      <c r="FG57" s="47"/>
      <c r="FH57" s="47"/>
      <c r="FI57" s="47"/>
      <c r="FJ57" s="47"/>
      <c r="FK57" s="47"/>
      <c r="FL57" s="47"/>
      <c r="FM57" s="47"/>
      <c r="FN57" s="47"/>
      <c r="FO57" s="47"/>
      <c r="FP57" s="47"/>
      <c r="FQ57" s="47"/>
      <c r="FR57" s="47"/>
      <c r="FS57" s="47"/>
      <c r="FT57" s="47"/>
      <c r="FU57" s="47"/>
      <c r="FV57" s="47"/>
      <c r="FW57" s="47"/>
      <c r="FX57" s="47"/>
      <c r="FY57" s="47"/>
      <c r="FZ57" s="47"/>
      <c r="GA57" s="47"/>
      <c r="GB57" s="47"/>
      <c r="GC57" s="47"/>
      <c r="GD57" s="47"/>
      <c r="GE57" s="47"/>
      <c r="GF57" s="47"/>
      <c r="GG57" s="47"/>
      <c r="GH57" s="47"/>
      <c r="GI57" s="47"/>
      <c r="GJ57" s="47"/>
      <c r="GK57" s="47"/>
      <c r="GL57" s="47"/>
      <c r="GM57" s="47"/>
      <c r="GN57" s="47"/>
      <c r="GO57" s="47"/>
      <c r="GP57" s="47"/>
      <c r="GQ57" s="47"/>
      <c r="GR57" s="47"/>
      <c r="GS57" s="47"/>
      <c r="GT57" s="47"/>
      <c r="GU57" s="47"/>
      <c r="GV57" s="47"/>
      <c r="GW57" s="47"/>
      <c r="GX57" s="47"/>
      <c r="GY57" s="47"/>
      <c r="GZ57" s="47"/>
      <c r="HA57" s="47"/>
      <c r="HB57" s="47"/>
      <c r="HC57" s="47"/>
      <c r="HD57" s="47"/>
      <c r="HE57" s="47"/>
      <c r="HF57" s="47"/>
      <c r="HG57" s="47"/>
      <c r="HH57" s="47"/>
      <c r="HI57" s="47"/>
      <c r="HJ57" s="47"/>
      <c r="HK57" s="47"/>
      <c r="HL57" s="47"/>
      <c r="HM57" s="47"/>
      <c r="HN57" s="47"/>
      <c r="HO57" s="47"/>
      <c r="HP57" s="47"/>
      <c r="HQ57" s="47"/>
      <c r="HR57" s="47"/>
      <c r="HS57" s="47"/>
      <c r="HT57" s="47"/>
      <c r="HU57" s="47"/>
      <c r="HV57" s="47"/>
      <c r="HW57" s="47"/>
      <c r="HX57" s="47"/>
      <c r="HY57" s="47"/>
      <c r="HZ57" s="47"/>
      <c r="IA57" s="47"/>
      <c r="IB57" s="47"/>
      <c r="IC57" s="47"/>
      <c r="ID57" s="47"/>
      <c r="IE57" s="47"/>
      <c r="IF57" s="47"/>
      <c r="IG57" s="47"/>
      <c r="IH57" s="47"/>
      <c r="II57" s="47"/>
      <c r="IJ57" s="47"/>
      <c r="IK57" s="47"/>
      <c r="IL57" s="47"/>
      <c r="IM57" s="47"/>
      <c r="IN57" s="47"/>
      <c r="IO57" s="47"/>
      <c r="IP57" s="47"/>
      <c r="IQ57" s="47"/>
      <c r="IR57" s="47"/>
      <c r="IS57" s="47"/>
      <c r="IT57" s="47"/>
      <c r="IU57" s="47"/>
      <c r="IV57" s="47"/>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D57" s="53">
        <v>2.3E-2</v>
      </c>
      <c r="NE57" s="47">
        <v>113905.92198878239</v>
      </c>
      <c r="NF57" s="13">
        <v>0.28000000000000003</v>
      </c>
      <c r="NG57" s="1">
        <f>Combine!A59</f>
        <v>48089</v>
      </c>
      <c r="NH57" s="14">
        <f>Combine!F59</f>
        <v>106507.706871546</v>
      </c>
    </row>
    <row r="58" spans="1:372" ht="12.75" customHeight="1" x14ac:dyDescent="0.3">
      <c r="A58" s="59"/>
      <c r="D58" s="61"/>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c r="AW58" s="47"/>
      <c r="AX58" s="47"/>
      <c r="AY58" s="47"/>
      <c r="AZ58" s="47"/>
      <c r="BA58" s="47"/>
      <c r="BB58" s="47"/>
      <c r="BC58" s="47"/>
      <c r="BD58" s="47"/>
      <c r="BE58" s="47"/>
      <c r="BF58" s="47"/>
      <c r="BG58" s="47"/>
      <c r="BH58" s="47"/>
      <c r="BI58" s="47"/>
      <c r="BJ58" s="47"/>
      <c r="BK58" s="47"/>
      <c r="BL58" s="47"/>
      <c r="BM58" s="47"/>
      <c r="BN58" s="47"/>
      <c r="BO58" s="47"/>
      <c r="BP58" s="47"/>
      <c r="BQ58" s="47"/>
      <c r="BR58" s="47"/>
      <c r="BS58" s="47"/>
      <c r="BT58" s="47"/>
      <c r="BU58" s="47"/>
      <c r="BV58" s="47"/>
      <c r="BW58" s="47"/>
      <c r="BX58" s="47"/>
      <c r="BY58" s="47"/>
      <c r="BZ58" s="47"/>
      <c r="CA58" s="47"/>
      <c r="CB58" s="47"/>
      <c r="CC58" s="47"/>
      <c r="CD58" s="47"/>
      <c r="CE58" s="47"/>
      <c r="CF58" s="47"/>
      <c r="CG58" s="47"/>
      <c r="CH58" s="47"/>
      <c r="CI58" s="47"/>
      <c r="CJ58" s="47"/>
      <c r="CK58" s="47"/>
      <c r="CL58" s="47"/>
      <c r="CM58" s="47"/>
      <c r="CN58" s="47"/>
      <c r="CO58" s="47"/>
      <c r="CP58" s="47"/>
      <c r="CQ58" s="47"/>
      <c r="CR58" s="47"/>
      <c r="CS58" s="47"/>
      <c r="CT58" s="47"/>
      <c r="CU58" s="47"/>
      <c r="CV58" s="47"/>
      <c r="CW58" s="47"/>
      <c r="CX58" s="47"/>
      <c r="CY58" s="47"/>
      <c r="CZ58" s="47"/>
      <c r="DA58" s="47"/>
      <c r="DB58" s="47"/>
      <c r="DC58" s="47"/>
      <c r="DD58" s="47"/>
      <c r="DE58" s="47"/>
      <c r="DF58" s="47"/>
      <c r="DG58" s="47"/>
      <c r="DH58" s="47"/>
      <c r="DI58" s="47"/>
      <c r="DJ58" s="47"/>
      <c r="DK58" s="47"/>
      <c r="DL58" s="47"/>
      <c r="DM58" s="47"/>
      <c r="DN58" s="47"/>
      <c r="DO58" s="47"/>
      <c r="DP58" s="47"/>
      <c r="DQ58" s="47"/>
      <c r="DR58" s="47"/>
      <c r="DS58" s="47"/>
      <c r="DT58" s="47"/>
      <c r="DU58" s="47"/>
      <c r="DV58" s="47"/>
      <c r="DW58" s="47"/>
      <c r="DX58" s="47"/>
      <c r="DY58" s="47"/>
      <c r="DZ58" s="47"/>
      <c r="EA58" s="47"/>
      <c r="EB58" s="47"/>
      <c r="EC58" s="47"/>
      <c r="ED58" s="47"/>
      <c r="EE58" s="47"/>
      <c r="EF58" s="47"/>
      <c r="EG58" s="47"/>
      <c r="EH58" s="47"/>
      <c r="EI58" s="47"/>
      <c r="EJ58" s="47"/>
      <c r="EK58" s="47"/>
      <c r="EL58" s="47"/>
      <c r="EM58" s="47"/>
      <c r="EN58" s="47"/>
      <c r="EO58" s="47"/>
      <c r="EP58" s="47"/>
      <c r="EQ58" s="47"/>
      <c r="ER58" s="47"/>
      <c r="ES58" s="47"/>
      <c r="ET58" s="47"/>
      <c r="EU58" s="47"/>
      <c r="EV58" s="47"/>
      <c r="EW58" s="47"/>
      <c r="EX58" s="47"/>
      <c r="EY58" s="47"/>
      <c r="EZ58" s="47"/>
      <c r="FA58" s="47"/>
      <c r="FB58" s="47"/>
      <c r="FC58" s="47"/>
      <c r="FD58" s="47"/>
      <c r="FE58" s="47"/>
      <c r="FF58" s="47"/>
      <c r="FG58" s="47"/>
      <c r="FH58" s="47"/>
      <c r="FI58" s="47"/>
      <c r="FJ58" s="47"/>
      <c r="FK58" s="47"/>
      <c r="FL58" s="47"/>
      <c r="FM58" s="47"/>
      <c r="FN58" s="47"/>
      <c r="FO58" s="47"/>
      <c r="FP58" s="47"/>
      <c r="FQ58" s="47"/>
      <c r="FR58" s="47"/>
      <c r="FS58" s="47"/>
      <c r="FT58" s="47"/>
      <c r="FU58" s="47"/>
      <c r="FV58" s="47"/>
      <c r="FW58" s="47"/>
      <c r="FX58" s="47"/>
      <c r="FY58" s="47"/>
      <c r="FZ58" s="47"/>
      <c r="GA58" s="47"/>
      <c r="GB58" s="47"/>
      <c r="GC58" s="47"/>
      <c r="GD58" s="47"/>
      <c r="GE58" s="47"/>
      <c r="GF58" s="47"/>
      <c r="GG58" s="47"/>
      <c r="GH58" s="47"/>
      <c r="GI58" s="47"/>
      <c r="GJ58" s="47"/>
      <c r="GK58" s="47"/>
      <c r="GL58" s="47"/>
      <c r="GM58" s="47"/>
      <c r="GN58" s="47"/>
      <c r="GO58" s="47"/>
      <c r="GP58" s="47"/>
      <c r="GQ58" s="47"/>
      <c r="GR58" s="47"/>
      <c r="GS58" s="47"/>
      <c r="GT58" s="47"/>
      <c r="GU58" s="47"/>
      <c r="GV58" s="47"/>
      <c r="GW58" s="47"/>
      <c r="GX58" s="47"/>
      <c r="GY58" s="47"/>
      <c r="GZ58" s="47"/>
      <c r="HA58" s="47"/>
      <c r="HB58" s="47"/>
      <c r="HC58" s="47"/>
      <c r="HD58" s="47"/>
      <c r="HE58" s="47"/>
      <c r="HF58" s="47"/>
      <c r="HG58" s="47"/>
      <c r="HH58" s="47"/>
      <c r="HI58" s="47"/>
      <c r="HJ58" s="47"/>
      <c r="HK58" s="47"/>
      <c r="HL58" s="47"/>
      <c r="HM58" s="47"/>
      <c r="HN58" s="47"/>
      <c r="HO58" s="47"/>
      <c r="HP58" s="47"/>
      <c r="HQ58" s="47"/>
      <c r="HR58" s="47"/>
      <c r="HS58" s="47"/>
      <c r="HT58" s="47"/>
      <c r="HU58" s="47"/>
      <c r="HV58" s="47"/>
      <c r="HW58" s="47"/>
      <c r="HX58" s="47"/>
      <c r="HY58" s="47"/>
      <c r="HZ58" s="47"/>
      <c r="IA58" s="47"/>
      <c r="IB58" s="47"/>
      <c r="IC58" s="47"/>
      <c r="ID58" s="47"/>
      <c r="IE58" s="47"/>
      <c r="IF58" s="47"/>
      <c r="IG58" s="47"/>
      <c r="IH58" s="47"/>
      <c r="II58" s="47"/>
      <c r="IJ58" s="47"/>
      <c r="IK58" s="47"/>
      <c r="IL58" s="47"/>
      <c r="IM58" s="47"/>
      <c r="IN58" s="47"/>
      <c r="IO58" s="47"/>
      <c r="IP58" s="47"/>
      <c r="IQ58" s="47"/>
      <c r="IR58" s="47"/>
      <c r="IS58" s="47"/>
      <c r="IT58" s="47"/>
      <c r="IU58" s="47"/>
      <c r="IV58" s="47"/>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D58" s="53">
        <v>2.4E-2</v>
      </c>
      <c r="NE58" s="47">
        <v>112066.8321406607</v>
      </c>
      <c r="NF58" s="13">
        <v>0.28499999999999998</v>
      </c>
      <c r="NG58" s="1">
        <f>Combine!A60</f>
        <v>48642</v>
      </c>
      <c r="NH58" s="14">
        <f>Combine!F60</f>
        <v>203348.645656067</v>
      </c>
    </row>
    <row r="59" spans="1:372" ht="12.75" customHeight="1" x14ac:dyDescent="0.3">
      <c r="A59" s="59"/>
      <c r="D59" s="61"/>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c r="BA59" s="47"/>
      <c r="BB59" s="47"/>
      <c r="BC59" s="47"/>
      <c r="BD59" s="47"/>
      <c r="BE59" s="47"/>
      <c r="BF59" s="47"/>
      <c r="BG59" s="47"/>
      <c r="BH59" s="47"/>
      <c r="BI59" s="47"/>
      <c r="BJ59" s="47"/>
      <c r="BK59" s="47"/>
      <c r="BL59" s="47"/>
      <c r="BM59" s="47"/>
      <c r="BN59" s="47"/>
      <c r="BO59" s="47"/>
      <c r="BP59" s="47"/>
      <c r="BQ59" s="47"/>
      <c r="BR59" s="47"/>
      <c r="BS59" s="47"/>
      <c r="BT59" s="47"/>
      <c r="BU59" s="47"/>
      <c r="BV59" s="47"/>
      <c r="BW59" s="47"/>
      <c r="BX59" s="47"/>
      <c r="BY59" s="47"/>
      <c r="BZ59" s="47"/>
      <c r="CA59" s="47"/>
      <c r="CB59" s="47"/>
      <c r="CC59" s="47"/>
      <c r="CD59" s="47"/>
      <c r="CE59" s="47"/>
      <c r="CF59" s="47"/>
      <c r="CG59" s="47"/>
      <c r="CH59" s="47"/>
      <c r="CI59" s="47"/>
      <c r="CJ59" s="47"/>
      <c r="CK59" s="47"/>
      <c r="CL59" s="47"/>
      <c r="CM59" s="47"/>
      <c r="CN59" s="47"/>
      <c r="CO59" s="47"/>
      <c r="CP59" s="47"/>
      <c r="CQ59" s="47"/>
      <c r="CR59" s="47"/>
      <c r="CS59" s="47"/>
      <c r="CT59" s="47"/>
      <c r="CU59" s="47"/>
      <c r="CV59" s="47"/>
      <c r="CW59" s="47"/>
      <c r="CX59" s="47"/>
      <c r="CY59" s="47"/>
      <c r="CZ59" s="47"/>
      <c r="DA59" s="47"/>
      <c r="DB59" s="47"/>
      <c r="DC59" s="47"/>
      <c r="DD59" s="47"/>
      <c r="DE59" s="47"/>
      <c r="DF59" s="47"/>
      <c r="DG59" s="47"/>
      <c r="DH59" s="47"/>
      <c r="DI59" s="47"/>
      <c r="DJ59" s="47"/>
      <c r="DK59" s="47"/>
      <c r="DL59" s="47"/>
      <c r="DM59" s="47"/>
      <c r="DN59" s="47"/>
      <c r="DO59" s="47"/>
      <c r="DP59" s="47"/>
      <c r="DQ59" s="47"/>
      <c r="DR59" s="47"/>
      <c r="DS59" s="47"/>
      <c r="DT59" s="47"/>
      <c r="DU59" s="47"/>
      <c r="DV59" s="47"/>
      <c r="DW59" s="47"/>
      <c r="DX59" s="47"/>
      <c r="DY59" s="47"/>
      <c r="DZ59" s="47"/>
      <c r="EA59" s="47"/>
      <c r="EB59" s="47"/>
      <c r="EC59" s="47"/>
      <c r="ED59" s="47"/>
      <c r="EE59" s="47"/>
      <c r="EF59" s="47"/>
      <c r="EG59" s="47"/>
      <c r="EH59" s="47"/>
      <c r="EI59" s="47"/>
      <c r="EJ59" s="47"/>
      <c r="EK59" s="47"/>
      <c r="EL59" s="47"/>
      <c r="EM59" s="47"/>
      <c r="EN59" s="47"/>
      <c r="EO59" s="47"/>
      <c r="EP59" s="47"/>
      <c r="EQ59" s="47"/>
      <c r="ER59" s="47"/>
      <c r="ES59" s="47"/>
      <c r="ET59" s="47"/>
      <c r="EU59" s="47"/>
      <c r="EV59" s="47"/>
      <c r="EW59" s="47"/>
      <c r="EX59" s="47"/>
      <c r="EY59" s="47"/>
      <c r="EZ59" s="47"/>
      <c r="FA59" s="47"/>
      <c r="FB59" s="47"/>
      <c r="FC59" s="47"/>
      <c r="FD59" s="47"/>
      <c r="FE59" s="47"/>
      <c r="FF59" s="47"/>
      <c r="FG59" s="47"/>
      <c r="FH59" s="47"/>
      <c r="FI59" s="47"/>
      <c r="FJ59" s="47"/>
      <c r="FK59" s="47"/>
      <c r="FL59" s="47"/>
      <c r="FM59" s="47"/>
      <c r="FN59" s="47"/>
      <c r="FO59" s="47"/>
      <c r="FP59" s="47"/>
      <c r="FQ59" s="47"/>
      <c r="FR59" s="47"/>
      <c r="FS59" s="47"/>
      <c r="FT59" s="47"/>
      <c r="FU59" s="47"/>
      <c r="FV59" s="47"/>
      <c r="FW59" s="47"/>
      <c r="FX59" s="47"/>
      <c r="FY59" s="47"/>
      <c r="FZ59" s="47"/>
      <c r="GA59" s="47"/>
      <c r="GB59" s="47"/>
      <c r="GC59" s="47"/>
      <c r="GD59" s="47"/>
      <c r="GE59" s="47"/>
      <c r="GF59" s="47"/>
      <c r="GG59" s="47"/>
      <c r="GH59" s="47"/>
      <c r="GI59" s="47"/>
      <c r="GJ59" s="47"/>
      <c r="GK59" s="47"/>
      <c r="GL59" s="47"/>
      <c r="GM59" s="47"/>
      <c r="GN59" s="47"/>
      <c r="GO59" s="47"/>
      <c r="GP59" s="47"/>
      <c r="GQ59" s="47"/>
      <c r="GR59" s="47"/>
      <c r="GS59" s="47"/>
      <c r="GT59" s="47"/>
      <c r="GU59" s="47"/>
      <c r="GV59" s="47"/>
      <c r="GW59" s="47"/>
      <c r="GX59" s="47"/>
      <c r="GY59" s="47"/>
      <c r="GZ59" s="47"/>
      <c r="HA59" s="47"/>
      <c r="HB59" s="47"/>
      <c r="HC59" s="47"/>
      <c r="HD59" s="47"/>
      <c r="HE59" s="47"/>
      <c r="HF59" s="47"/>
      <c r="HG59" s="47"/>
      <c r="HH59" s="47"/>
      <c r="HI59" s="47"/>
      <c r="HJ59" s="47"/>
      <c r="HK59" s="47"/>
      <c r="HL59" s="47"/>
      <c r="HM59" s="47"/>
      <c r="HN59" s="47"/>
      <c r="HO59" s="47"/>
      <c r="HP59" s="47"/>
      <c r="HQ59" s="47"/>
      <c r="HR59" s="47"/>
      <c r="HS59" s="47"/>
      <c r="HT59" s="47"/>
      <c r="HU59" s="47"/>
      <c r="HV59" s="47"/>
      <c r="HW59" s="47"/>
      <c r="HX59" s="47"/>
      <c r="HY59" s="47"/>
      <c r="HZ59" s="47"/>
      <c r="IA59" s="47"/>
      <c r="IB59" s="47"/>
      <c r="IC59" s="47"/>
      <c r="ID59" s="47"/>
      <c r="IE59" s="47"/>
      <c r="IF59" s="47"/>
      <c r="IG59" s="47"/>
      <c r="IH59" s="47"/>
      <c r="II59" s="47"/>
      <c r="IJ59" s="47"/>
      <c r="IK59" s="47"/>
      <c r="IL59" s="47"/>
      <c r="IM59" s="47"/>
      <c r="IN59" s="47"/>
      <c r="IO59" s="47"/>
      <c r="IP59" s="47"/>
      <c r="IQ59" s="47"/>
      <c r="IR59" s="47"/>
      <c r="IS59" s="47"/>
      <c r="IT59" s="47"/>
      <c r="IU59" s="47"/>
      <c r="IV59" s="47"/>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D59" s="53">
        <v>2.5000000000000001E-2</v>
      </c>
      <c r="NE59" s="47">
        <v>110219.63296609434</v>
      </c>
      <c r="NF59" s="13">
        <v>0.28999999999999998</v>
      </c>
      <c r="NG59" s="1">
        <f>Combine!A61</f>
        <v>48507</v>
      </c>
      <c r="NH59" s="14">
        <f>Combine!F61</f>
        <v>84955.440533019093</v>
      </c>
    </row>
    <row r="60" spans="1:372" ht="12.75" customHeight="1" x14ac:dyDescent="0.3">
      <c r="A60" s="59"/>
      <c r="D60" s="61"/>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c r="AW60" s="47"/>
      <c r="AX60" s="47"/>
      <c r="AY60" s="47"/>
      <c r="AZ60" s="47"/>
      <c r="BA60" s="47"/>
      <c r="BB60" s="47"/>
      <c r="BC60" s="47"/>
      <c r="BD60" s="47"/>
      <c r="BE60" s="47"/>
      <c r="BF60" s="47"/>
      <c r="BG60" s="47"/>
      <c r="BH60" s="47"/>
      <c r="BI60" s="47"/>
      <c r="BJ60" s="47"/>
      <c r="BK60" s="47"/>
      <c r="BL60" s="47"/>
      <c r="BM60" s="47"/>
      <c r="BN60" s="47"/>
      <c r="BO60" s="47"/>
      <c r="BP60" s="47"/>
      <c r="BQ60" s="47"/>
      <c r="BR60" s="47"/>
      <c r="BS60" s="47"/>
      <c r="BT60" s="47"/>
      <c r="BU60" s="47"/>
      <c r="BV60" s="47"/>
      <c r="BW60" s="47"/>
      <c r="BX60" s="47"/>
      <c r="BY60" s="47"/>
      <c r="BZ60" s="47"/>
      <c r="CA60" s="47"/>
      <c r="CB60" s="47"/>
      <c r="CC60" s="47"/>
      <c r="CD60" s="47"/>
      <c r="CE60" s="47"/>
      <c r="CF60" s="47"/>
      <c r="CG60" s="47"/>
      <c r="CH60" s="47"/>
      <c r="CI60" s="47"/>
      <c r="CJ60" s="47"/>
      <c r="CK60" s="47"/>
      <c r="CL60" s="47"/>
      <c r="CM60" s="47"/>
      <c r="CN60" s="47"/>
      <c r="CO60" s="47"/>
      <c r="CP60" s="47"/>
      <c r="CQ60" s="47"/>
      <c r="CR60" s="47"/>
      <c r="CS60" s="47"/>
      <c r="CT60" s="47"/>
      <c r="CU60" s="47"/>
      <c r="CV60" s="47"/>
      <c r="CW60" s="47"/>
      <c r="CX60" s="47"/>
      <c r="CY60" s="47"/>
      <c r="CZ60" s="47"/>
      <c r="DA60" s="47"/>
      <c r="DB60" s="47"/>
      <c r="DC60" s="47"/>
      <c r="DD60" s="47"/>
      <c r="DE60" s="47"/>
      <c r="DF60" s="47"/>
      <c r="DG60" s="47"/>
      <c r="DH60" s="47"/>
      <c r="DI60" s="47"/>
      <c r="DJ60" s="47"/>
      <c r="DK60" s="47"/>
      <c r="DL60" s="47"/>
      <c r="DM60" s="47"/>
      <c r="DN60" s="47"/>
      <c r="DO60" s="47"/>
      <c r="DP60" s="47"/>
      <c r="DQ60" s="47"/>
      <c r="DR60" s="47"/>
      <c r="DS60" s="47"/>
      <c r="DT60" s="47"/>
      <c r="DU60" s="47"/>
      <c r="DV60" s="47"/>
      <c r="DW60" s="47"/>
      <c r="DX60" s="47"/>
      <c r="DY60" s="47"/>
      <c r="DZ60" s="47"/>
      <c r="EA60" s="47"/>
      <c r="EB60" s="47"/>
      <c r="EC60" s="47"/>
      <c r="ED60" s="47"/>
      <c r="EE60" s="47"/>
      <c r="EF60" s="47"/>
      <c r="EG60" s="47"/>
      <c r="EH60" s="47"/>
      <c r="EI60" s="47"/>
      <c r="EJ60" s="47"/>
      <c r="EK60" s="47"/>
      <c r="EL60" s="47"/>
      <c r="EM60" s="47"/>
      <c r="EN60" s="47"/>
      <c r="EO60" s="47"/>
      <c r="EP60" s="47"/>
      <c r="EQ60" s="47"/>
      <c r="ER60" s="47"/>
      <c r="ES60" s="47"/>
      <c r="ET60" s="47"/>
      <c r="EU60" s="47"/>
      <c r="EV60" s="47"/>
      <c r="EW60" s="47"/>
      <c r="EX60" s="47"/>
      <c r="EY60" s="47"/>
      <c r="EZ60" s="47"/>
      <c r="FA60" s="47"/>
      <c r="FB60" s="47"/>
      <c r="FC60" s="47"/>
      <c r="FD60" s="47"/>
      <c r="FE60" s="47"/>
      <c r="FF60" s="47"/>
      <c r="FG60" s="47"/>
      <c r="FH60" s="47"/>
      <c r="FI60" s="47"/>
      <c r="FJ60" s="47"/>
      <c r="FK60" s="47"/>
      <c r="FL60" s="47"/>
      <c r="FM60" s="47"/>
      <c r="FN60" s="47"/>
      <c r="FO60" s="47"/>
      <c r="FP60" s="47"/>
      <c r="FQ60" s="47"/>
      <c r="FR60" s="47"/>
      <c r="FS60" s="47"/>
      <c r="FT60" s="47"/>
      <c r="FU60" s="47"/>
      <c r="FV60" s="47"/>
      <c r="FW60" s="47"/>
      <c r="FX60" s="47"/>
      <c r="FY60" s="47"/>
      <c r="FZ60" s="47"/>
      <c r="GA60" s="47"/>
      <c r="GB60" s="47"/>
      <c r="GC60" s="47"/>
      <c r="GD60" s="47"/>
      <c r="GE60" s="47"/>
      <c r="GF60" s="47"/>
      <c r="GG60" s="47"/>
      <c r="GH60" s="47"/>
      <c r="GI60" s="47"/>
      <c r="GJ60" s="47"/>
      <c r="GK60" s="47"/>
      <c r="GL60" s="47"/>
      <c r="GM60" s="47"/>
      <c r="GN60" s="47"/>
      <c r="GO60" s="47"/>
      <c r="GP60" s="47"/>
      <c r="GQ60" s="47"/>
      <c r="GR60" s="47"/>
      <c r="GS60" s="47"/>
      <c r="GT60" s="47"/>
      <c r="GU60" s="47"/>
      <c r="GV60" s="47"/>
      <c r="GW60" s="47"/>
      <c r="GX60" s="47"/>
      <c r="GY60" s="47"/>
      <c r="GZ60" s="47"/>
      <c r="HA60" s="47"/>
      <c r="HB60" s="47"/>
      <c r="HC60" s="47"/>
      <c r="HD60" s="47"/>
      <c r="HE60" s="47"/>
      <c r="HF60" s="47"/>
      <c r="HG60" s="47"/>
      <c r="HH60" s="47"/>
      <c r="HI60" s="47"/>
      <c r="HJ60" s="47"/>
      <c r="HK60" s="47"/>
      <c r="HL60" s="47"/>
      <c r="HM60" s="47"/>
      <c r="HN60" s="47"/>
      <c r="HO60" s="47"/>
      <c r="HP60" s="47"/>
      <c r="HQ60" s="47"/>
      <c r="HR60" s="47"/>
      <c r="HS60" s="47"/>
      <c r="HT60" s="47"/>
      <c r="HU60" s="47"/>
      <c r="HV60" s="47"/>
      <c r="HW60" s="47"/>
      <c r="HX60" s="47"/>
      <c r="HY60" s="47"/>
      <c r="HZ60" s="47"/>
      <c r="IA60" s="47"/>
      <c r="IB60" s="47"/>
      <c r="IC60" s="47"/>
      <c r="ID60" s="47"/>
      <c r="IE60" s="47"/>
      <c r="IF60" s="47"/>
      <c r="IG60" s="47"/>
      <c r="IH60" s="47"/>
      <c r="II60" s="47"/>
      <c r="IJ60" s="47"/>
      <c r="IK60" s="47"/>
      <c r="IL60" s="47"/>
      <c r="IM60" s="47"/>
      <c r="IN60" s="47"/>
      <c r="IO60" s="47"/>
      <c r="IP60" s="47"/>
      <c r="IQ60" s="47"/>
      <c r="IR60" s="47"/>
      <c r="IS60" s="47"/>
      <c r="IT60" s="47"/>
      <c r="IU60" s="47"/>
      <c r="IV60" s="47"/>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D60" s="53">
        <v>2.5999999999999999E-2</v>
      </c>
      <c r="NE60" s="47">
        <v>108364.40361138403</v>
      </c>
      <c r="NF60" s="13">
        <v>0.29499999999999998</v>
      </c>
      <c r="NG60" s="1">
        <f>Combine!A62</f>
        <v>48071</v>
      </c>
      <c r="NH60" s="14">
        <f>Combine!F62</f>
        <v>191742.55999785301</v>
      </c>
    </row>
    <row r="61" spans="1:372" ht="12.75" customHeight="1" x14ac:dyDescent="0.3">
      <c r="A61" s="59"/>
      <c r="D61" s="61"/>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c r="AW61" s="47"/>
      <c r="AX61" s="47"/>
      <c r="AY61" s="47"/>
      <c r="AZ61" s="47"/>
      <c r="BA61" s="47"/>
      <c r="BB61" s="47"/>
      <c r="BC61" s="47"/>
      <c r="BD61" s="47"/>
      <c r="BE61" s="47"/>
      <c r="BF61" s="47"/>
      <c r="BG61" s="47"/>
      <c r="BH61" s="47"/>
      <c r="BI61" s="47"/>
      <c r="BJ61" s="47"/>
      <c r="BK61" s="47"/>
      <c r="BL61" s="47"/>
      <c r="BM61" s="47"/>
      <c r="BN61" s="47"/>
      <c r="BO61" s="47"/>
      <c r="BP61" s="47"/>
      <c r="BQ61" s="47"/>
      <c r="BR61" s="47"/>
      <c r="BS61" s="47"/>
      <c r="BT61" s="47"/>
      <c r="BU61" s="47"/>
      <c r="BV61" s="47"/>
      <c r="BW61" s="47"/>
      <c r="BX61" s="47"/>
      <c r="BY61" s="47"/>
      <c r="BZ61" s="47"/>
      <c r="CA61" s="47"/>
      <c r="CB61" s="47"/>
      <c r="CC61" s="47"/>
      <c r="CD61" s="47"/>
      <c r="CE61" s="47"/>
      <c r="CF61" s="47"/>
      <c r="CG61" s="47"/>
      <c r="CH61" s="47"/>
      <c r="CI61" s="47"/>
      <c r="CJ61" s="47"/>
      <c r="CK61" s="47"/>
      <c r="CL61" s="47"/>
      <c r="CM61" s="47"/>
      <c r="CN61" s="47"/>
      <c r="CO61" s="47"/>
      <c r="CP61" s="47"/>
      <c r="CQ61" s="47"/>
      <c r="CR61" s="47"/>
      <c r="CS61" s="47"/>
      <c r="CT61" s="47"/>
      <c r="CU61" s="47"/>
      <c r="CV61" s="47"/>
      <c r="CW61" s="47"/>
      <c r="CX61" s="47"/>
      <c r="CY61" s="47"/>
      <c r="CZ61" s="47"/>
      <c r="DA61" s="47"/>
      <c r="DB61" s="47"/>
      <c r="DC61" s="47"/>
      <c r="DD61" s="47"/>
      <c r="DE61" s="47"/>
      <c r="DF61" s="47"/>
      <c r="DG61" s="47"/>
      <c r="DH61" s="47"/>
      <c r="DI61" s="47"/>
      <c r="DJ61" s="47"/>
      <c r="DK61" s="47"/>
      <c r="DL61" s="47"/>
      <c r="DM61" s="47"/>
      <c r="DN61" s="47"/>
      <c r="DO61" s="47"/>
      <c r="DP61" s="47"/>
      <c r="DQ61" s="47"/>
      <c r="DR61" s="47"/>
      <c r="DS61" s="47"/>
      <c r="DT61" s="47"/>
      <c r="DU61" s="47"/>
      <c r="DV61" s="47"/>
      <c r="DW61" s="47"/>
      <c r="DX61" s="47"/>
      <c r="DY61" s="47"/>
      <c r="DZ61" s="47"/>
      <c r="EA61" s="47"/>
      <c r="EB61" s="47"/>
      <c r="EC61" s="47"/>
      <c r="ED61" s="47"/>
      <c r="EE61" s="47"/>
      <c r="EF61" s="47"/>
      <c r="EG61" s="47"/>
      <c r="EH61" s="47"/>
      <c r="EI61" s="47"/>
      <c r="EJ61" s="47"/>
      <c r="EK61" s="47"/>
      <c r="EL61" s="47"/>
      <c r="EM61" s="47"/>
      <c r="EN61" s="47"/>
      <c r="EO61" s="47"/>
      <c r="EP61" s="47"/>
      <c r="EQ61" s="47"/>
      <c r="ER61" s="47"/>
      <c r="ES61" s="47"/>
      <c r="ET61" s="47"/>
      <c r="EU61" s="47"/>
      <c r="EV61" s="47"/>
      <c r="EW61" s="47"/>
      <c r="EX61" s="47"/>
      <c r="EY61" s="47"/>
      <c r="EZ61" s="47"/>
      <c r="FA61" s="47"/>
      <c r="FB61" s="47"/>
      <c r="FC61" s="47"/>
      <c r="FD61" s="47"/>
      <c r="FE61" s="47"/>
      <c r="FF61" s="47"/>
      <c r="FG61" s="47"/>
      <c r="FH61" s="47"/>
      <c r="FI61" s="47"/>
      <c r="FJ61" s="47"/>
      <c r="FK61" s="47"/>
      <c r="FL61" s="47"/>
      <c r="FM61" s="47"/>
      <c r="FN61" s="47"/>
      <c r="FO61" s="47"/>
      <c r="FP61" s="47"/>
      <c r="FQ61" s="47"/>
      <c r="FR61" s="47"/>
      <c r="FS61" s="47"/>
      <c r="FT61" s="47"/>
      <c r="FU61" s="47"/>
      <c r="FV61" s="47"/>
      <c r="FW61" s="47"/>
      <c r="FX61" s="47"/>
      <c r="FY61" s="47"/>
      <c r="FZ61" s="47"/>
      <c r="GA61" s="47"/>
      <c r="GB61" s="47"/>
      <c r="GC61" s="47"/>
      <c r="GD61" s="47"/>
      <c r="GE61" s="47"/>
      <c r="GF61" s="47"/>
      <c r="GG61" s="47"/>
      <c r="GH61" s="47"/>
      <c r="GI61" s="47"/>
      <c r="GJ61" s="47"/>
      <c r="GK61" s="47"/>
      <c r="GL61" s="47"/>
      <c r="GM61" s="47"/>
      <c r="GN61" s="47"/>
      <c r="GO61" s="47"/>
      <c r="GP61" s="47"/>
      <c r="GQ61" s="47"/>
      <c r="GR61" s="47"/>
      <c r="GS61" s="47"/>
      <c r="GT61" s="47"/>
      <c r="GU61" s="47"/>
      <c r="GV61" s="47"/>
      <c r="GW61" s="47"/>
      <c r="GX61" s="47"/>
      <c r="GY61" s="47"/>
      <c r="GZ61" s="47"/>
      <c r="HA61" s="47"/>
      <c r="HB61" s="47"/>
      <c r="HC61" s="47"/>
      <c r="HD61" s="47"/>
      <c r="HE61" s="47"/>
      <c r="HF61" s="47"/>
      <c r="HG61" s="47"/>
      <c r="HH61" s="47"/>
      <c r="HI61" s="47"/>
      <c r="HJ61" s="47"/>
      <c r="HK61" s="47"/>
      <c r="HL61" s="47"/>
      <c r="HM61" s="47"/>
      <c r="HN61" s="47"/>
      <c r="HO61" s="47"/>
      <c r="HP61" s="47"/>
      <c r="HQ61" s="47"/>
      <c r="HR61" s="47"/>
      <c r="HS61" s="47"/>
      <c r="HT61" s="47"/>
      <c r="HU61" s="47"/>
      <c r="HV61" s="47"/>
      <c r="HW61" s="47"/>
      <c r="HX61" s="47"/>
      <c r="HY61" s="47"/>
      <c r="HZ61" s="47"/>
      <c r="IA61" s="47"/>
      <c r="IB61" s="47"/>
      <c r="IC61" s="47"/>
      <c r="ID61" s="47"/>
      <c r="IE61" s="47"/>
      <c r="IF61" s="47"/>
      <c r="IG61" s="47"/>
      <c r="IH61" s="47"/>
      <c r="II61" s="47"/>
      <c r="IJ61" s="47"/>
      <c r="IK61" s="47"/>
      <c r="IL61" s="47"/>
      <c r="IM61" s="47"/>
      <c r="IN61" s="47"/>
      <c r="IO61" s="47"/>
      <c r="IP61" s="47"/>
      <c r="IQ61" s="47"/>
      <c r="IR61" s="47"/>
      <c r="IS61" s="47"/>
      <c r="IT61" s="47"/>
      <c r="IU61" s="47"/>
      <c r="IV61" s="47"/>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D61" s="53">
        <v>2.7E-2</v>
      </c>
      <c r="NE61" s="47">
        <v>106501.22397553927</v>
      </c>
      <c r="NF61" s="13">
        <v>0.3</v>
      </c>
      <c r="NG61" s="1">
        <f>Combine!A63</f>
        <v>48091</v>
      </c>
      <c r="NH61" s="14">
        <f>Combine!F63</f>
        <v>137685.38007520299</v>
      </c>
    </row>
    <row r="62" spans="1:372" ht="12.75" customHeight="1" x14ac:dyDescent="0.3">
      <c r="A62" s="59"/>
      <c r="D62" s="61"/>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c r="AW62" s="47"/>
      <c r="AX62" s="47"/>
      <c r="AY62" s="47"/>
      <c r="AZ62" s="47"/>
      <c r="BA62" s="47"/>
      <c r="BB62" s="47"/>
      <c r="BC62" s="47"/>
      <c r="BD62" s="47"/>
      <c r="BE62" s="47"/>
      <c r="BF62" s="47"/>
      <c r="BG62" s="47"/>
      <c r="BH62" s="47"/>
      <c r="BI62" s="47"/>
      <c r="BJ62" s="47"/>
      <c r="BK62" s="47"/>
      <c r="BL62" s="47"/>
      <c r="BM62" s="47"/>
      <c r="BN62" s="47"/>
      <c r="BO62" s="47"/>
      <c r="BP62" s="47"/>
      <c r="BQ62" s="47"/>
      <c r="BR62" s="47"/>
      <c r="BS62" s="47"/>
      <c r="BT62" s="47"/>
      <c r="BU62" s="47"/>
      <c r="BV62" s="47"/>
      <c r="BW62" s="47"/>
      <c r="BX62" s="47"/>
      <c r="BY62" s="47"/>
      <c r="BZ62" s="47"/>
      <c r="CA62" s="47"/>
      <c r="CB62" s="47"/>
      <c r="CC62" s="47"/>
      <c r="CD62" s="47"/>
      <c r="CE62" s="47"/>
      <c r="CF62" s="47"/>
      <c r="CG62" s="47"/>
      <c r="CH62" s="47"/>
      <c r="CI62" s="47"/>
      <c r="CJ62" s="47"/>
      <c r="CK62" s="47"/>
      <c r="CL62" s="47"/>
      <c r="CM62" s="47"/>
      <c r="CN62" s="47"/>
      <c r="CO62" s="47"/>
      <c r="CP62" s="47"/>
      <c r="CQ62" s="47"/>
      <c r="CR62" s="47"/>
      <c r="CS62" s="47"/>
      <c r="CT62" s="47"/>
      <c r="CU62" s="47"/>
      <c r="CV62" s="47"/>
      <c r="CW62" s="47"/>
      <c r="CX62" s="47"/>
      <c r="CY62" s="47"/>
      <c r="CZ62" s="47"/>
      <c r="DA62" s="47"/>
      <c r="DB62" s="47"/>
      <c r="DC62" s="47"/>
      <c r="DD62" s="47"/>
      <c r="DE62" s="47"/>
      <c r="DF62" s="47"/>
      <c r="DG62" s="47"/>
      <c r="DH62" s="47"/>
      <c r="DI62" s="47"/>
      <c r="DJ62" s="47"/>
      <c r="DK62" s="47"/>
      <c r="DL62" s="47"/>
      <c r="DM62" s="47"/>
      <c r="DN62" s="47"/>
      <c r="DO62" s="47"/>
      <c r="DP62" s="47"/>
      <c r="DQ62" s="47"/>
      <c r="DR62" s="47"/>
      <c r="DS62" s="47"/>
      <c r="DT62" s="47"/>
      <c r="DU62" s="47"/>
      <c r="DV62" s="47"/>
      <c r="DW62" s="47"/>
      <c r="DX62" s="47"/>
      <c r="DY62" s="47"/>
      <c r="DZ62" s="47"/>
      <c r="EA62" s="47"/>
      <c r="EB62" s="47"/>
      <c r="EC62" s="47"/>
      <c r="ED62" s="47"/>
      <c r="EE62" s="47"/>
      <c r="EF62" s="47"/>
      <c r="EG62" s="47"/>
      <c r="EH62" s="47"/>
      <c r="EI62" s="47"/>
      <c r="EJ62" s="47"/>
      <c r="EK62" s="47"/>
      <c r="EL62" s="47"/>
      <c r="EM62" s="47"/>
      <c r="EN62" s="47"/>
      <c r="EO62" s="47"/>
      <c r="EP62" s="47"/>
      <c r="EQ62" s="47"/>
      <c r="ER62" s="47"/>
      <c r="ES62" s="47"/>
      <c r="ET62" s="47"/>
      <c r="EU62" s="47"/>
      <c r="EV62" s="47"/>
      <c r="EW62" s="47"/>
      <c r="EX62" s="47"/>
      <c r="EY62" s="47"/>
      <c r="EZ62" s="47"/>
      <c r="FA62" s="47"/>
      <c r="FB62" s="47"/>
      <c r="FC62" s="47"/>
      <c r="FD62" s="47"/>
      <c r="FE62" s="47"/>
      <c r="FF62" s="47"/>
      <c r="FG62" s="47"/>
      <c r="FH62" s="47"/>
      <c r="FI62" s="47"/>
      <c r="FJ62" s="47"/>
      <c r="FK62" s="47"/>
      <c r="FL62" s="47"/>
      <c r="FM62" s="47"/>
      <c r="FN62" s="47"/>
      <c r="FO62" s="47"/>
      <c r="FP62" s="47"/>
      <c r="FQ62" s="47"/>
      <c r="FR62" s="47"/>
      <c r="FS62" s="47"/>
      <c r="FT62" s="47"/>
      <c r="FU62" s="47"/>
      <c r="FV62" s="47"/>
      <c r="FW62" s="47"/>
      <c r="FX62" s="47"/>
      <c r="FY62" s="47"/>
      <c r="FZ62" s="47"/>
      <c r="GA62" s="47"/>
      <c r="GB62" s="47"/>
      <c r="GC62" s="47"/>
      <c r="GD62" s="47"/>
      <c r="GE62" s="47"/>
      <c r="GF62" s="47"/>
      <c r="GG62" s="47"/>
      <c r="GH62" s="47"/>
      <c r="GI62" s="47"/>
      <c r="GJ62" s="47"/>
      <c r="GK62" s="47"/>
      <c r="GL62" s="47"/>
      <c r="GM62" s="47"/>
      <c r="GN62" s="47"/>
      <c r="GO62" s="47"/>
      <c r="GP62" s="47"/>
      <c r="GQ62" s="47"/>
      <c r="GR62" s="47"/>
      <c r="GS62" s="47"/>
      <c r="GT62" s="47"/>
      <c r="GU62" s="47"/>
      <c r="GV62" s="47"/>
      <c r="GW62" s="47"/>
      <c r="GX62" s="47"/>
      <c r="GY62" s="47"/>
      <c r="GZ62" s="47"/>
      <c r="HA62" s="47"/>
      <c r="HB62" s="47"/>
      <c r="HC62" s="47"/>
      <c r="HD62" s="47"/>
      <c r="HE62" s="47"/>
      <c r="HF62" s="47"/>
      <c r="HG62" s="47"/>
      <c r="HH62" s="47"/>
      <c r="HI62" s="47"/>
      <c r="HJ62" s="47"/>
      <c r="HK62" s="47"/>
      <c r="HL62" s="47"/>
      <c r="HM62" s="47"/>
      <c r="HN62" s="47"/>
      <c r="HO62" s="47"/>
      <c r="HP62" s="47"/>
      <c r="HQ62" s="47"/>
      <c r="HR62" s="47"/>
      <c r="HS62" s="47"/>
      <c r="HT62" s="47"/>
      <c r="HU62" s="47"/>
      <c r="HV62" s="47"/>
      <c r="HW62" s="47"/>
      <c r="HX62" s="47"/>
      <c r="HY62" s="47"/>
      <c r="HZ62" s="47"/>
      <c r="IA62" s="47"/>
      <c r="IB62" s="47"/>
      <c r="IC62" s="47"/>
      <c r="ID62" s="47"/>
      <c r="IE62" s="47"/>
      <c r="IF62" s="47"/>
      <c r="IG62" s="47"/>
      <c r="IH62" s="47"/>
      <c r="II62" s="47"/>
      <c r="IJ62" s="47"/>
      <c r="IK62" s="47"/>
      <c r="IL62" s="47"/>
      <c r="IM62" s="47"/>
      <c r="IN62" s="47"/>
      <c r="IO62" s="47"/>
      <c r="IP62" s="47"/>
      <c r="IQ62" s="47"/>
      <c r="IR62" s="47"/>
      <c r="IS62" s="47"/>
      <c r="IT62" s="47"/>
      <c r="IU62" s="47"/>
      <c r="IV62" s="47"/>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D62" s="53">
        <v>2.8000000000000001E-2</v>
      </c>
      <c r="NE62" s="47">
        <v>104630.1746733937</v>
      </c>
      <c r="NF62" s="13">
        <v>0.30499999999999999</v>
      </c>
      <c r="NG62" s="1">
        <f>Combine!A64</f>
        <v>49525</v>
      </c>
      <c r="NH62" s="14">
        <f>Combine!F64</f>
        <v>303273.83023073402</v>
      </c>
    </row>
    <row r="63" spans="1:372" ht="12.75" customHeight="1" x14ac:dyDescent="0.3">
      <c r="A63" s="59"/>
      <c r="D63" s="61"/>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c r="AW63" s="47"/>
      <c r="AX63" s="47"/>
      <c r="AY63" s="47"/>
      <c r="AZ63" s="47"/>
      <c r="BA63" s="47"/>
      <c r="BB63" s="47"/>
      <c r="BC63" s="47"/>
      <c r="BD63" s="47"/>
      <c r="BE63" s="47"/>
      <c r="BF63" s="47"/>
      <c r="BG63" s="47"/>
      <c r="BH63" s="47"/>
      <c r="BI63" s="47"/>
      <c r="BJ63" s="47"/>
      <c r="BK63" s="47"/>
      <c r="BL63" s="47"/>
      <c r="BM63" s="47"/>
      <c r="BN63" s="47"/>
      <c r="BO63" s="47"/>
      <c r="BP63" s="47"/>
      <c r="BQ63" s="47"/>
      <c r="BR63" s="47"/>
      <c r="BS63" s="47"/>
      <c r="BT63" s="47"/>
      <c r="BU63" s="47"/>
      <c r="BV63" s="47"/>
      <c r="BW63" s="47"/>
      <c r="BX63" s="47"/>
      <c r="BY63" s="47"/>
      <c r="BZ63" s="47"/>
      <c r="CA63" s="47"/>
      <c r="CB63" s="47"/>
      <c r="CC63" s="47"/>
      <c r="CD63" s="47"/>
      <c r="CE63" s="47"/>
      <c r="CF63" s="47"/>
      <c r="CG63" s="47"/>
      <c r="CH63" s="47"/>
      <c r="CI63" s="47"/>
      <c r="CJ63" s="47"/>
      <c r="CK63" s="47"/>
      <c r="CL63" s="47"/>
      <c r="CM63" s="47"/>
      <c r="CN63" s="47"/>
      <c r="CO63" s="47"/>
      <c r="CP63" s="47"/>
      <c r="CQ63" s="47"/>
      <c r="CR63" s="47"/>
      <c r="CS63" s="47"/>
      <c r="CT63" s="47"/>
      <c r="CU63" s="47"/>
      <c r="CV63" s="47"/>
      <c r="CW63" s="47"/>
      <c r="CX63" s="47"/>
      <c r="CY63" s="47"/>
      <c r="CZ63" s="47"/>
      <c r="DA63" s="47"/>
      <c r="DB63" s="47"/>
      <c r="DC63" s="47"/>
      <c r="DD63" s="47"/>
      <c r="DE63" s="47"/>
      <c r="DF63" s="47"/>
      <c r="DG63" s="47"/>
      <c r="DH63" s="47"/>
      <c r="DI63" s="47"/>
      <c r="DJ63" s="47"/>
      <c r="DK63" s="47"/>
      <c r="DL63" s="47"/>
      <c r="DM63" s="47"/>
      <c r="DN63" s="47"/>
      <c r="DO63" s="47"/>
      <c r="DP63" s="47"/>
      <c r="DQ63" s="47"/>
      <c r="DR63" s="47"/>
      <c r="DS63" s="47"/>
      <c r="DT63" s="47"/>
      <c r="DU63" s="47"/>
      <c r="DV63" s="47"/>
      <c r="DW63" s="47"/>
      <c r="DX63" s="47"/>
      <c r="DY63" s="47"/>
      <c r="DZ63" s="47"/>
      <c r="EA63" s="47"/>
      <c r="EB63" s="47"/>
      <c r="EC63" s="47"/>
      <c r="ED63" s="47"/>
      <c r="EE63" s="47"/>
      <c r="EF63" s="47"/>
      <c r="EG63" s="47"/>
      <c r="EH63" s="47"/>
      <c r="EI63" s="47"/>
      <c r="EJ63" s="47"/>
      <c r="EK63" s="47"/>
      <c r="EL63" s="47"/>
      <c r="EM63" s="47"/>
      <c r="EN63" s="47"/>
      <c r="EO63" s="47"/>
      <c r="EP63" s="47"/>
      <c r="EQ63" s="47"/>
      <c r="ER63" s="47"/>
      <c r="ES63" s="47"/>
      <c r="ET63" s="47"/>
      <c r="EU63" s="47"/>
      <c r="EV63" s="47"/>
      <c r="EW63" s="47"/>
      <c r="EX63" s="47"/>
      <c r="EY63" s="47"/>
      <c r="EZ63" s="47"/>
      <c r="FA63" s="47"/>
      <c r="FB63" s="47"/>
      <c r="FC63" s="47"/>
      <c r="FD63" s="47"/>
      <c r="FE63" s="47"/>
      <c r="FF63" s="47"/>
      <c r="FG63" s="47"/>
      <c r="FH63" s="47"/>
      <c r="FI63" s="47"/>
      <c r="FJ63" s="47"/>
      <c r="FK63" s="47"/>
      <c r="FL63" s="47"/>
      <c r="FM63" s="47"/>
      <c r="FN63" s="47"/>
      <c r="FO63" s="47"/>
      <c r="FP63" s="47"/>
      <c r="FQ63" s="47"/>
      <c r="FR63" s="47"/>
      <c r="FS63" s="47"/>
      <c r="FT63" s="47"/>
      <c r="FU63" s="47"/>
      <c r="FV63" s="47"/>
      <c r="FW63" s="47"/>
      <c r="FX63" s="47"/>
      <c r="FY63" s="47"/>
      <c r="FZ63" s="47"/>
      <c r="GA63" s="47"/>
      <c r="GB63" s="47"/>
      <c r="GC63" s="47"/>
      <c r="GD63" s="47"/>
      <c r="GE63" s="47"/>
      <c r="GF63" s="47"/>
      <c r="GG63" s="47"/>
      <c r="GH63" s="47"/>
      <c r="GI63" s="47"/>
      <c r="GJ63" s="47"/>
      <c r="GK63" s="47"/>
      <c r="GL63" s="47"/>
      <c r="GM63" s="47"/>
      <c r="GN63" s="47"/>
      <c r="GO63" s="47"/>
      <c r="GP63" s="47"/>
      <c r="GQ63" s="47"/>
      <c r="GR63" s="47"/>
      <c r="GS63" s="47"/>
      <c r="GT63" s="47"/>
      <c r="GU63" s="47"/>
      <c r="GV63" s="47"/>
      <c r="GW63" s="47"/>
      <c r="GX63" s="47"/>
      <c r="GY63" s="47"/>
      <c r="GZ63" s="47"/>
      <c r="HA63" s="47"/>
      <c r="HB63" s="47"/>
      <c r="HC63" s="47"/>
      <c r="HD63" s="47"/>
      <c r="HE63" s="47"/>
      <c r="HF63" s="47"/>
      <c r="HG63" s="47"/>
      <c r="HH63" s="47"/>
      <c r="HI63" s="47"/>
      <c r="HJ63" s="47"/>
      <c r="HK63" s="47"/>
      <c r="HL63" s="47"/>
      <c r="HM63" s="47"/>
      <c r="HN63" s="47"/>
      <c r="HO63" s="47"/>
      <c r="HP63" s="47"/>
      <c r="HQ63" s="47"/>
      <c r="HR63" s="47"/>
      <c r="HS63" s="47"/>
      <c r="HT63" s="47"/>
      <c r="HU63" s="47"/>
      <c r="HV63" s="47"/>
      <c r="HW63" s="47"/>
      <c r="HX63" s="47"/>
      <c r="HY63" s="47"/>
      <c r="HZ63" s="47"/>
      <c r="IA63" s="47"/>
      <c r="IB63" s="47"/>
      <c r="IC63" s="47"/>
      <c r="ID63" s="47"/>
      <c r="IE63" s="47"/>
      <c r="IF63" s="47"/>
      <c r="IG63" s="47"/>
      <c r="IH63" s="47"/>
      <c r="II63" s="47"/>
      <c r="IJ63" s="47"/>
      <c r="IK63" s="47"/>
      <c r="IL63" s="47"/>
      <c r="IM63" s="47"/>
      <c r="IN63" s="47"/>
      <c r="IO63" s="47"/>
      <c r="IP63" s="47"/>
      <c r="IQ63" s="47"/>
      <c r="IR63" s="47"/>
      <c r="IS63" s="47"/>
      <c r="IT63" s="47"/>
      <c r="IU63" s="47"/>
      <c r="IV63" s="47"/>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D63" s="53">
        <v>2.9000000000000001E-2</v>
      </c>
      <c r="NE63" s="47">
        <v>102751.33699859401</v>
      </c>
      <c r="NF63" s="13">
        <v>0.31</v>
      </c>
      <c r="NG63" s="1">
        <f>Combine!A65</f>
        <v>48237</v>
      </c>
      <c r="NH63" s="14">
        <f>Combine!F65</f>
        <v>202075.19452045599</v>
      </c>
    </row>
    <row r="64" spans="1:372" ht="12.75" customHeight="1" x14ac:dyDescent="0.3">
      <c r="A64" s="59"/>
      <c r="D64" s="61"/>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c r="AW64" s="47"/>
      <c r="AX64" s="47"/>
      <c r="AY64" s="47"/>
      <c r="AZ64" s="47"/>
      <c r="BA64" s="47"/>
      <c r="BB64" s="47"/>
      <c r="BC64" s="47"/>
      <c r="BD64" s="47"/>
      <c r="BE64" s="47"/>
      <c r="BF64" s="47"/>
      <c r="BG64" s="47"/>
      <c r="BH64" s="47"/>
      <c r="BI64" s="47"/>
      <c r="BJ64" s="47"/>
      <c r="BK64" s="47"/>
      <c r="BL64" s="47"/>
      <c r="BM64" s="47"/>
      <c r="BN64" s="47"/>
      <c r="BO64" s="47"/>
      <c r="BP64" s="47"/>
      <c r="BQ64" s="47"/>
      <c r="BR64" s="47"/>
      <c r="BS64" s="47"/>
      <c r="BT64" s="47"/>
      <c r="BU64" s="47"/>
      <c r="BV64" s="47"/>
      <c r="BW64" s="47"/>
      <c r="BX64" s="47"/>
      <c r="BY64" s="47"/>
      <c r="BZ64" s="47"/>
      <c r="CA64" s="47"/>
      <c r="CB64" s="47"/>
      <c r="CC64" s="47"/>
      <c r="CD64" s="47"/>
      <c r="CE64" s="47"/>
      <c r="CF64" s="47"/>
      <c r="CG64" s="47"/>
      <c r="CH64" s="47"/>
      <c r="CI64" s="47"/>
      <c r="CJ64" s="47"/>
      <c r="CK64" s="47"/>
      <c r="CL64" s="47"/>
      <c r="CM64" s="47"/>
      <c r="CN64" s="47"/>
      <c r="CO64" s="47"/>
      <c r="CP64" s="47"/>
      <c r="CQ64" s="47"/>
      <c r="CR64" s="47"/>
      <c r="CS64" s="47"/>
      <c r="CT64" s="47"/>
      <c r="CU64" s="47"/>
      <c r="CV64" s="47"/>
      <c r="CW64" s="47"/>
      <c r="CX64" s="47"/>
      <c r="CY64" s="47"/>
      <c r="CZ64" s="47"/>
      <c r="DA64" s="47"/>
      <c r="DB64" s="47"/>
      <c r="DC64" s="47"/>
      <c r="DD64" s="47"/>
      <c r="DE64" s="47"/>
      <c r="DF64" s="47"/>
      <c r="DG64" s="47"/>
      <c r="DH64" s="47"/>
      <c r="DI64" s="47"/>
      <c r="DJ64" s="47"/>
      <c r="DK64" s="47"/>
      <c r="DL64" s="47"/>
      <c r="DM64" s="47"/>
      <c r="DN64" s="47"/>
      <c r="DO64" s="47"/>
      <c r="DP64" s="47"/>
      <c r="DQ64" s="47"/>
      <c r="DR64" s="47"/>
      <c r="DS64" s="47"/>
      <c r="DT64" s="47"/>
      <c r="DU64" s="47"/>
      <c r="DV64" s="47"/>
      <c r="DW64" s="47"/>
      <c r="DX64" s="47"/>
      <c r="DY64" s="47"/>
      <c r="DZ64" s="47"/>
      <c r="EA64" s="47"/>
      <c r="EB64" s="47"/>
      <c r="EC64" s="47"/>
      <c r="ED64" s="47"/>
      <c r="EE64" s="47"/>
      <c r="EF64" s="47"/>
      <c r="EG64" s="47"/>
      <c r="EH64" s="47"/>
      <c r="EI64" s="47"/>
      <c r="EJ64" s="47"/>
      <c r="EK64" s="47"/>
      <c r="EL64" s="47"/>
      <c r="EM64" s="47"/>
      <c r="EN64" s="47"/>
      <c r="EO64" s="47"/>
      <c r="EP64" s="47"/>
      <c r="EQ64" s="47"/>
      <c r="ER64" s="47"/>
      <c r="ES64" s="47"/>
      <c r="ET64" s="47"/>
      <c r="EU64" s="47"/>
      <c r="EV64" s="47"/>
      <c r="EW64" s="47"/>
      <c r="EX64" s="47"/>
      <c r="EY64" s="47"/>
      <c r="EZ64" s="47"/>
      <c r="FA64" s="47"/>
      <c r="FB64" s="47"/>
      <c r="FC64" s="47"/>
      <c r="FD64" s="47"/>
      <c r="FE64" s="47"/>
      <c r="FF64" s="47"/>
      <c r="FG64" s="47"/>
      <c r="FH64" s="47"/>
      <c r="FI64" s="47"/>
      <c r="FJ64" s="47"/>
      <c r="FK64" s="47"/>
      <c r="FL64" s="47"/>
      <c r="FM64" s="47"/>
      <c r="FN64" s="47"/>
      <c r="FO64" s="47"/>
      <c r="FP64" s="47"/>
      <c r="FQ64" s="47"/>
      <c r="FR64" s="47"/>
      <c r="FS64" s="47"/>
      <c r="FT64" s="47"/>
      <c r="FU64" s="47"/>
      <c r="FV64" s="47"/>
      <c r="FW64" s="47"/>
      <c r="FX64" s="47"/>
      <c r="FY64" s="47"/>
      <c r="FZ64" s="47"/>
      <c r="GA64" s="47"/>
      <c r="GB64" s="47"/>
      <c r="GC64" s="47"/>
      <c r="GD64" s="47"/>
      <c r="GE64" s="47"/>
      <c r="GF64" s="47"/>
      <c r="GG64" s="47"/>
      <c r="GH64" s="47"/>
      <c r="GI64" s="47"/>
      <c r="GJ64" s="47"/>
      <c r="GK64" s="47"/>
      <c r="GL64" s="47"/>
      <c r="GM64" s="47"/>
      <c r="GN64" s="47"/>
      <c r="GO64" s="47"/>
      <c r="GP64" s="47"/>
      <c r="GQ64" s="47"/>
      <c r="GR64" s="47"/>
      <c r="GS64" s="47"/>
      <c r="GT64" s="47"/>
      <c r="GU64" s="47"/>
      <c r="GV64" s="47"/>
      <c r="GW64" s="47"/>
      <c r="GX64" s="47"/>
      <c r="GY64" s="47"/>
      <c r="GZ64" s="47"/>
      <c r="HA64" s="47"/>
      <c r="HB64" s="47"/>
      <c r="HC64" s="47"/>
      <c r="HD64" s="47"/>
      <c r="HE64" s="47"/>
      <c r="HF64" s="47"/>
      <c r="HG64" s="47"/>
      <c r="HH64" s="47"/>
      <c r="HI64" s="47"/>
      <c r="HJ64" s="47"/>
      <c r="HK64" s="47"/>
      <c r="HL64" s="47"/>
      <c r="HM64" s="47"/>
      <c r="HN64" s="47"/>
      <c r="HO64" s="47"/>
      <c r="HP64" s="47"/>
      <c r="HQ64" s="47"/>
      <c r="HR64" s="47"/>
      <c r="HS64" s="47"/>
      <c r="HT64" s="47"/>
      <c r="HU64" s="47"/>
      <c r="HV64" s="47"/>
      <c r="HW64" s="47"/>
      <c r="HX64" s="47"/>
      <c r="HY64" s="47"/>
      <c r="HZ64" s="47"/>
      <c r="IA64" s="47"/>
      <c r="IB64" s="47"/>
      <c r="IC64" s="47"/>
      <c r="ID64" s="47"/>
      <c r="IE64" s="47"/>
      <c r="IF64" s="47"/>
      <c r="IG64" s="47"/>
      <c r="IH64" s="47"/>
      <c r="II64" s="47"/>
      <c r="IJ64" s="47"/>
      <c r="IK64" s="47"/>
      <c r="IL64" s="47"/>
      <c r="IM64" s="47"/>
      <c r="IN64" s="47"/>
      <c r="IO64" s="47"/>
      <c r="IP64" s="47"/>
      <c r="IQ64" s="47"/>
      <c r="IR64" s="47"/>
      <c r="IS64" s="47"/>
      <c r="IT64" s="47"/>
      <c r="IU64" s="47"/>
      <c r="IV64" s="47"/>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D64" s="53">
        <v>0.03</v>
      </c>
      <c r="NE64" s="47">
        <v>100864.79288649038</v>
      </c>
      <c r="NF64" s="13">
        <v>0.315</v>
      </c>
      <c r="NG64" s="1">
        <f>Combine!A66</f>
        <v>48195</v>
      </c>
      <c r="NH64" s="14">
        <f>Combine!F66</f>
        <v>164230.14534908501</v>
      </c>
    </row>
    <row r="65" spans="1:372" ht="12.75" customHeight="1" x14ac:dyDescent="0.3">
      <c r="A65" s="59"/>
      <c r="D65" s="61"/>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c r="AW65" s="47"/>
      <c r="AX65" s="47"/>
      <c r="AY65" s="47"/>
      <c r="AZ65" s="47"/>
      <c r="BA65" s="47"/>
      <c r="BB65" s="47"/>
      <c r="BC65" s="47"/>
      <c r="BD65" s="47"/>
      <c r="BE65" s="47"/>
      <c r="BF65" s="47"/>
      <c r="BG65" s="47"/>
      <c r="BH65" s="47"/>
      <c r="BI65" s="47"/>
      <c r="BJ65" s="47"/>
      <c r="BK65" s="47"/>
      <c r="BL65" s="47"/>
      <c r="BM65" s="47"/>
      <c r="BN65" s="47"/>
      <c r="BO65" s="47"/>
      <c r="BP65" s="47"/>
      <c r="BQ65" s="47"/>
      <c r="BR65" s="47"/>
      <c r="BS65" s="47"/>
      <c r="BT65" s="47"/>
      <c r="BU65" s="47"/>
      <c r="BV65" s="47"/>
      <c r="BW65" s="47"/>
      <c r="BX65" s="47"/>
      <c r="BY65" s="47"/>
      <c r="BZ65" s="47"/>
      <c r="CA65" s="47"/>
      <c r="CB65" s="47"/>
      <c r="CC65" s="47"/>
      <c r="CD65" s="47"/>
      <c r="CE65" s="47"/>
      <c r="CF65" s="47"/>
      <c r="CG65" s="47"/>
      <c r="CH65" s="47"/>
      <c r="CI65" s="47"/>
      <c r="CJ65" s="47"/>
      <c r="CK65" s="47"/>
      <c r="CL65" s="47"/>
      <c r="CM65" s="47"/>
      <c r="CN65" s="47"/>
      <c r="CO65" s="47"/>
      <c r="CP65" s="47"/>
      <c r="CQ65" s="47"/>
      <c r="CR65" s="47"/>
      <c r="CS65" s="47"/>
      <c r="CT65" s="47"/>
      <c r="CU65" s="47"/>
      <c r="CV65" s="47"/>
      <c r="CW65" s="47"/>
      <c r="CX65" s="47"/>
      <c r="CY65" s="47"/>
      <c r="CZ65" s="47"/>
      <c r="DA65" s="47"/>
      <c r="DB65" s="47"/>
      <c r="DC65" s="47"/>
      <c r="DD65" s="47"/>
      <c r="DE65" s="47"/>
      <c r="DF65" s="47"/>
      <c r="DG65" s="47"/>
      <c r="DH65" s="47"/>
      <c r="DI65" s="47"/>
      <c r="DJ65" s="47"/>
      <c r="DK65" s="47"/>
      <c r="DL65" s="47"/>
      <c r="DM65" s="47"/>
      <c r="DN65" s="47"/>
      <c r="DO65" s="47"/>
      <c r="DP65" s="47"/>
      <c r="DQ65" s="47"/>
      <c r="DR65" s="47"/>
      <c r="DS65" s="47"/>
      <c r="DT65" s="47"/>
      <c r="DU65" s="47"/>
      <c r="DV65" s="47"/>
      <c r="DW65" s="47"/>
      <c r="DX65" s="47"/>
      <c r="DY65" s="47"/>
      <c r="DZ65" s="47"/>
      <c r="EA65" s="47"/>
      <c r="EB65" s="47"/>
      <c r="EC65" s="47"/>
      <c r="ED65" s="47"/>
      <c r="EE65" s="47"/>
      <c r="EF65" s="47"/>
      <c r="EG65" s="47"/>
      <c r="EH65" s="47"/>
      <c r="EI65" s="47"/>
      <c r="EJ65" s="47"/>
      <c r="EK65" s="47"/>
      <c r="EL65" s="47"/>
      <c r="EM65" s="47"/>
      <c r="EN65" s="47"/>
      <c r="EO65" s="47"/>
      <c r="EP65" s="47"/>
      <c r="EQ65" s="47"/>
      <c r="ER65" s="47"/>
      <c r="ES65" s="47"/>
      <c r="ET65" s="47"/>
      <c r="EU65" s="47"/>
      <c r="EV65" s="47"/>
      <c r="EW65" s="47"/>
      <c r="EX65" s="47"/>
      <c r="EY65" s="47"/>
      <c r="EZ65" s="47"/>
      <c r="FA65" s="47"/>
      <c r="FB65" s="47"/>
      <c r="FC65" s="47"/>
      <c r="FD65" s="47"/>
      <c r="FE65" s="47"/>
      <c r="FF65" s="47"/>
      <c r="FG65" s="47"/>
      <c r="FH65" s="47"/>
      <c r="FI65" s="47"/>
      <c r="FJ65" s="47"/>
      <c r="FK65" s="47"/>
      <c r="FL65" s="47"/>
      <c r="FM65" s="47"/>
      <c r="FN65" s="47"/>
      <c r="FO65" s="47"/>
      <c r="FP65" s="47"/>
      <c r="FQ65" s="47"/>
      <c r="FR65" s="47"/>
      <c r="FS65" s="47"/>
      <c r="FT65" s="47"/>
      <c r="FU65" s="47"/>
      <c r="FV65" s="47"/>
      <c r="FW65" s="47"/>
      <c r="FX65" s="47"/>
      <c r="FY65" s="47"/>
      <c r="FZ65" s="47"/>
      <c r="GA65" s="47"/>
      <c r="GB65" s="47"/>
      <c r="GC65" s="47"/>
      <c r="GD65" s="47"/>
      <c r="GE65" s="47"/>
      <c r="GF65" s="47"/>
      <c r="GG65" s="47"/>
      <c r="GH65" s="47"/>
      <c r="GI65" s="47"/>
      <c r="GJ65" s="47"/>
      <c r="GK65" s="47"/>
      <c r="GL65" s="47"/>
      <c r="GM65" s="47"/>
      <c r="GN65" s="47"/>
      <c r="GO65" s="47"/>
      <c r="GP65" s="47"/>
      <c r="GQ65" s="47"/>
      <c r="GR65" s="47"/>
      <c r="GS65" s="47"/>
      <c r="GT65" s="47"/>
      <c r="GU65" s="47"/>
      <c r="GV65" s="47"/>
      <c r="GW65" s="47"/>
      <c r="GX65" s="47"/>
      <c r="GY65" s="47"/>
      <c r="GZ65" s="47"/>
      <c r="HA65" s="47"/>
      <c r="HB65" s="47"/>
      <c r="HC65" s="47"/>
      <c r="HD65" s="47"/>
      <c r="HE65" s="47"/>
      <c r="HF65" s="47"/>
      <c r="HG65" s="47"/>
      <c r="HH65" s="47"/>
      <c r="HI65" s="47"/>
      <c r="HJ65" s="47"/>
      <c r="HK65" s="47"/>
      <c r="HL65" s="47"/>
      <c r="HM65" s="47"/>
      <c r="HN65" s="47"/>
      <c r="HO65" s="47"/>
      <c r="HP65" s="47"/>
      <c r="HQ65" s="47"/>
      <c r="HR65" s="47"/>
      <c r="HS65" s="47"/>
      <c r="HT65" s="47"/>
      <c r="HU65" s="47"/>
      <c r="HV65" s="47"/>
      <c r="HW65" s="47"/>
      <c r="HX65" s="47"/>
      <c r="HY65" s="47"/>
      <c r="HZ65" s="47"/>
      <c r="IA65" s="47"/>
      <c r="IB65" s="47"/>
      <c r="IC65" s="47"/>
      <c r="ID65" s="47"/>
      <c r="IE65" s="47"/>
      <c r="IF65" s="47"/>
      <c r="IG65" s="47"/>
      <c r="IH65" s="47"/>
      <c r="II65" s="47"/>
      <c r="IJ65" s="47"/>
      <c r="IK65" s="47"/>
      <c r="IL65" s="47"/>
      <c r="IM65" s="47"/>
      <c r="IN65" s="47"/>
      <c r="IO65" s="47"/>
      <c r="IP65" s="47"/>
      <c r="IQ65" s="47"/>
      <c r="IR65" s="47"/>
      <c r="IS65" s="47"/>
      <c r="IT65" s="47"/>
      <c r="IU65" s="47"/>
      <c r="IV65" s="47"/>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D65" s="53">
        <v>3.1E-2</v>
      </c>
      <c r="NE65" s="47">
        <v>98970.624876967078</v>
      </c>
      <c r="NF65" s="13">
        <v>0.32</v>
      </c>
      <c r="NG65" s="1">
        <f>Combine!A67</f>
        <v>48506</v>
      </c>
      <c r="NH65" s="14">
        <f>Combine!F67</f>
        <v>57262.9306294138</v>
      </c>
    </row>
    <row r="66" spans="1:372" ht="12.75" customHeight="1" x14ac:dyDescent="0.3">
      <c r="A66" s="59"/>
      <c r="D66" s="61"/>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c r="AW66" s="47"/>
      <c r="AX66" s="47"/>
      <c r="AY66" s="47"/>
      <c r="AZ66" s="47"/>
      <c r="BA66" s="47"/>
      <c r="BB66" s="47"/>
      <c r="BC66" s="47"/>
      <c r="BD66" s="47"/>
      <c r="BE66" s="47"/>
      <c r="BF66" s="47"/>
      <c r="BG66" s="47"/>
      <c r="BH66" s="47"/>
      <c r="BI66" s="47"/>
      <c r="BJ66" s="47"/>
      <c r="BK66" s="47"/>
      <c r="BL66" s="47"/>
      <c r="BM66" s="47"/>
      <c r="BN66" s="47"/>
      <c r="BO66" s="47"/>
      <c r="BP66" s="47"/>
      <c r="BQ66" s="47"/>
      <c r="BR66" s="47"/>
      <c r="BS66" s="47"/>
      <c r="BT66" s="47"/>
      <c r="BU66" s="47"/>
      <c r="BV66" s="47"/>
      <c r="BW66" s="47"/>
      <c r="BX66" s="47"/>
      <c r="BY66" s="47"/>
      <c r="BZ66" s="47"/>
      <c r="CA66" s="47"/>
      <c r="CB66" s="47"/>
      <c r="CC66" s="47"/>
      <c r="CD66" s="47"/>
      <c r="CE66" s="47"/>
      <c r="CF66" s="47"/>
      <c r="CG66" s="47"/>
      <c r="CH66" s="47"/>
      <c r="CI66" s="47"/>
      <c r="CJ66" s="47"/>
      <c r="CK66" s="47"/>
      <c r="CL66" s="47"/>
      <c r="CM66" s="47"/>
      <c r="CN66" s="47"/>
      <c r="CO66" s="47"/>
      <c r="CP66" s="47"/>
      <c r="CQ66" s="47"/>
      <c r="CR66" s="47"/>
      <c r="CS66" s="47"/>
      <c r="CT66" s="47"/>
      <c r="CU66" s="47"/>
      <c r="CV66" s="47"/>
      <c r="CW66" s="47"/>
      <c r="CX66" s="47"/>
      <c r="CY66" s="47"/>
      <c r="CZ66" s="47"/>
      <c r="DA66" s="47"/>
      <c r="DB66" s="47"/>
      <c r="DC66" s="47"/>
      <c r="DD66" s="47"/>
      <c r="DE66" s="47"/>
      <c r="DF66" s="47"/>
      <c r="DG66" s="47"/>
      <c r="DH66" s="47"/>
      <c r="DI66" s="47"/>
      <c r="DJ66" s="47"/>
      <c r="DK66" s="47"/>
      <c r="DL66" s="47"/>
      <c r="DM66" s="47"/>
      <c r="DN66" s="47"/>
      <c r="DO66" s="47"/>
      <c r="DP66" s="47"/>
      <c r="DQ66" s="47"/>
      <c r="DR66" s="47"/>
      <c r="DS66" s="47"/>
      <c r="DT66" s="47"/>
      <c r="DU66" s="47"/>
      <c r="DV66" s="47"/>
      <c r="DW66" s="47"/>
      <c r="DX66" s="47"/>
      <c r="DY66" s="47"/>
      <c r="DZ66" s="47"/>
      <c r="EA66" s="47"/>
      <c r="EB66" s="47"/>
      <c r="EC66" s="47"/>
      <c r="ED66" s="47"/>
      <c r="EE66" s="47"/>
      <c r="EF66" s="47"/>
      <c r="EG66" s="47"/>
      <c r="EH66" s="47"/>
      <c r="EI66" s="47"/>
      <c r="EJ66" s="47"/>
      <c r="EK66" s="47"/>
      <c r="EL66" s="47"/>
      <c r="EM66" s="47"/>
      <c r="EN66" s="47"/>
      <c r="EO66" s="47"/>
      <c r="EP66" s="47"/>
      <c r="EQ66" s="47"/>
      <c r="ER66" s="47"/>
      <c r="ES66" s="47"/>
      <c r="ET66" s="47"/>
      <c r="EU66" s="47"/>
      <c r="EV66" s="47"/>
      <c r="EW66" s="47"/>
      <c r="EX66" s="47"/>
      <c r="EY66" s="47"/>
      <c r="EZ66" s="47"/>
      <c r="FA66" s="47"/>
      <c r="FB66" s="47"/>
      <c r="FC66" s="47"/>
      <c r="FD66" s="47"/>
      <c r="FE66" s="47"/>
      <c r="FF66" s="47"/>
      <c r="FG66" s="47"/>
      <c r="FH66" s="47"/>
      <c r="FI66" s="47"/>
      <c r="FJ66" s="47"/>
      <c r="FK66" s="47"/>
      <c r="FL66" s="47"/>
      <c r="FM66" s="47"/>
      <c r="FN66" s="47"/>
      <c r="FO66" s="47"/>
      <c r="FP66" s="47"/>
      <c r="FQ66" s="47"/>
      <c r="FR66" s="47"/>
      <c r="FS66" s="47"/>
      <c r="FT66" s="47"/>
      <c r="FU66" s="47"/>
      <c r="FV66" s="47"/>
      <c r="FW66" s="47"/>
      <c r="FX66" s="47"/>
      <c r="FY66" s="47"/>
      <c r="FZ66" s="47"/>
      <c r="GA66" s="47"/>
      <c r="GB66" s="47"/>
      <c r="GC66" s="47"/>
      <c r="GD66" s="47"/>
      <c r="GE66" s="47"/>
      <c r="GF66" s="47"/>
      <c r="GG66" s="47"/>
      <c r="GH66" s="47"/>
      <c r="GI66" s="47"/>
      <c r="GJ66" s="47"/>
      <c r="GK66" s="47"/>
      <c r="GL66" s="47"/>
      <c r="GM66" s="47"/>
      <c r="GN66" s="47"/>
      <c r="GO66" s="47"/>
      <c r="GP66" s="47"/>
      <c r="GQ66" s="47"/>
      <c r="GR66" s="47"/>
      <c r="GS66" s="47"/>
      <c r="GT66" s="47"/>
      <c r="GU66" s="47"/>
      <c r="GV66" s="47"/>
      <c r="GW66" s="47"/>
      <c r="GX66" s="47"/>
      <c r="GY66" s="47"/>
      <c r="GZ66" s="47"/>
      <c r="HA66" s="47"/>
      <c r="HB66" s="47"/>
      <c r="HC66" s="47"/>
      <c r="HD66" s="47"/>
      <c r="HE66" s="47"/>
      <c r="HF66" s="47"/>
      <c r="HG66" s="47"/>
      <c r="HH66" s="47"/>
      <c r="HI66" s="47"/>
      <c r="HJ66" s="47"/>
      <c r="HK66" s="47"/>
      <c r="HL66" s="47"/>
      <c r="HM66" s="47"/>
      <c r="HN66" s="47"/>
      <c r="HO66" s="47"/>
      <c r="HP66" s="47"/>
      <c r="HQ66" s="47"/>
      <c r="HR66" s="47"/>
      <c r="HS66" s="47"/>
      <c r="HT66" s="47"/>
      <c r="HU66" s="47"/>
      <c r="HV66" s="47"/>
      <c r="HW66" s="47"/>
      <c r="HX66" s="47"/>
      <c r="HY66" s="47"/>
      <c r="HZ66" s="47"/>
      <c r="IA66" s="47"/>
      <c r="IB66" s="47"/>
      <c r="IC66" s="47"/>
      <c r="ID66" s="47"/>
      <c r="IE66" s="47"/>
      <c r="IF66" s="47"/>
      <c r="IG66" s="47"/>
      <c r="IH66" s="47"/>
      <c r="II66" s="47"/>
      <c r="IJ66" s="47"/>
      <c r="IK66" s="47"/>
      <c r="IL66" s="47"/>
      <c r="IM66" s="47"/>
      <c r="IN66" s="47"/>
      <c r="IO66" s="47"/>
      <c r="IP66" s="47"/>
      <c r="IQ66" s="47"/>
      <c r="IR66" s="47"/>
      <c r="IS66" s="47"/>
      <c r="IT66" s="47"/>
      <c r="IU66" s="47"/>
      <c r="IV66" s="47"/>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D66" s="53">
        <v>3.2000000000000001E-2</v>
      </c>
      <c r="NE66" s="47">
        <v>97068.916077245813</v>
      </c>
      <c r="NF66" s="13">
        <v>0.32500000000000001</v>
      </c>
      <c r="NG66" s="1">
        <f>Combine!A68</f>
        <v>49024</v>
      </c>
      <c r="NH66" s="14">
        <f>Combine!F68</f>
        <v>263585.14089259802</v>
      </c>
    </row>
    <row r="67" spans="1:372" ht="12.75" customHeight="1" x14ac:dyDescent="0.3">
      <c r="A67" s="59"/>
      <c r="D67" s="61"/>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c r="AW67" s="47"/>
      <c r="AX67" s="47"/>
      <c r="AY67" s="47"/>
      <c r="AZ67" s="47"/>
      <c r="BA67" s="47"/>
      <c r="BB67" s="47"/>
      <c r="BC67" s="47"/>
      <c r="BD67" s="47"/>
      <c r="BE67" s="47"/>
      <c r="BF67" s="47"/>
      <c r="BG67" s="47"/>
      <c r="BH67" s="47"/>
      <c r="BI67" s="47"/>
      <c r="BJ67" s="47"/>
      <c r="BK67" s="47"/>
      <c r="BL67" s="47"/>
      <c r="BM67" s="47"/>
      <c r="BN67" s="47"/>
      <c r="BO67" s="47"/>
      <c r="BP67" s="47"/>
      <c r="BQ67" s="47"/>
      <c r="BR67" s="47"/>
      <c r="BS67" s="47"/>
      <c r="BT67" s="47"/>
      <c r="BU67" s="47"/>
      <c r="BV67" s="47"/>
      <c r="BW67" s="47"/>
      <c r="BX67" s="47"/>
      <c r="BY67" s="47"/>
      <c r="BZ67" s="47"/>
      <c r="CA67" s="47"/>
      <c r="CB67" s="47"/>
      <c r="CC67" s="47"/>
      <c r="CD67" s="47"/>
      <c r="CE67" s="47"/>
      <c r="CF67" s="47"/>
      <c r="CG67" s="47"/>
      <c r="CH67" s="47"/>
      <c r="CI67" s="47"/>
      <c r="CJ67" s="47"/>
      <c r="CK67" s="47"/>
      <c r="CL67" s="47"/>
      <c r="CM67" s="47"/>
      <c r="CN67" s="47"/>
      <c r="CO67" s="47"/>
      <c r="CP67" s="47"/>
      <c r="CQ67" s="47"/>
      <c r="CR67" s="47"/>
      <c r="CS67" s="47"/>
      <c r="CT67" s="47"/>
      <c r="CU67" s="47"/>
      <c r="CV67" s="47"/>
      <c r="CW67" s="47"/>
      <c r="CX67" s="47"/>
      <c r="CY67" s="47"/>
      <c r="CZ67" s="47"/>
      <c r="DA67" s="47"/>
      <c r="DB67" s="47"/>
      <c r="DC67" s="47"/>
      <c r="DD67" s="47"/>
      <c r="DE67" s="47"/>
      <c r="DF67" s="47"/>
      <c r="DG67" s="47"/>
      <c r="DH67" s="47"/>
      <c r="DI67" s="47"/>
      <c r="DJ67" s="47"/>
      <c r="DK67" s="47"/>
      <c r="DL67" s="47"/>
      <c r="DM67" s="47"/>
      <c r="DN67" s="47"/>
      <c r="DO67" s="47"/>
      <c r="DP67" s="47"/>
      <c r="DQ67" s="47"/>
      <c r="DR67" s="47"/>
      <c r="DS67" s="47"/>
      <c r="DT67" s="47"/>
      <c r="DU67" s="47"/>
      <c r="DV67" s="47"/>
      <c r="DW67" s="47"/>
      <c r="DX67" s="47"/>
      <c r="DY67" s="47"/>
      <c r="DZ67" s="47"/>
      <c r="EA67" s="47"/>
      <c r="EB67" s="47"/>
      <c r="EC67" s="47"/>
      <c r="ED67" s="47"/>
      <c r="EE67" s="47"/>
      <c r="EF67" s="47"/>
      <c r="EG67" s="47"/>
      <c r="EH67" s="47"/>
      <c r="EI67" s="47"/>
      <c r="EJ67" s="47"/>
      <c r="EK67" s="47"/>
      <c r="EL67" s="47"/>
      <c r="EM67" s="47"/>
      <c r="EN67" s="47"/>
      <c r="EO67" s="47"/>
      <c r="EP67" s="47"/>
      <c r="EQ67" s="47"/>
      <c r="ER67" s="47"/>
      <c r="ES67" s="47"/>
      <c r="ET67" s="47"/>
      <c r="EU67" s="47"/>
      <c r="EV67" s="47"/>
      <c r="EW67" s="47"/>
      <c r="EX67" s="47"/>
      <c r="EY67" s="47"/>
      <c r="EZ67" s="47"/>
      <c r="FA67" s="47"/>
      <c r="FB67" s="47"/>
      <c r="FC67" s="47"/>
      <c r="FD67" s="47"/>
      <c r="FE67" s="47"/>
      <c r="FF67" s="47"/>
      <c r="FG67" s="47"/>
      <c r="FH67" s="47"/>
      <c r="FI67" s="47"/>
      <c r="FJ67" s="47"/>
      <c r="FK67" s="47"/>
      <c r="FL67" s="47"/>
      <c r="FM67" s="47"/>
      <c r="FN67" s="47"/>
      <c r="FO67" s="47"/>
      <c r="FP67" s="47"/>
      <c r="FQ67" s="47"/>
      <c r="FR67" s="47"/>
      <c r="FS67" s="47"/>
      <c r="FT67" s="47"/>
      <c r="FU67" s="47"/>
      <c r="FV67" s="47"/>
      <c r="FW67" s="47"/>
      <c r="FX67" s="47"/>
      <c r="FY67" s="47"/>
      <c r="FZ67" s="47"/>
      <c r="GA67" s="47"/>
      <c r="GB67" s="47"/>
      <c r="GC67" s="47"/>
      <c r="GD67" s="47"/>
      <c r="GE67" s="47"/>
      <c r="GF67" s="47"/>
      <c r="GG67" s="47"/>
      <c r="GH67" s="47"/>
      <c r="GI67" s="47"/>
      <c r="GJ67" s="47"/>
      <c r="GK67" s="47"/>
      <c r="GL67" s="47"/>
      <c r="GM67" s="47"/>
      <c r="GN67" s="47"/>
      <c r="GO67" s="47"/>
      <c r="GP67" s="47"/>
      <c r="GQ67" s="47"/>
      <c r="GR67" s="47"/>
      <c r="GS67" s="47"/>
      <c r="GT67" s="47"/>
      <c r="GU67" s="47"/>
      <c r="GV67" s="47"/>
      <c r="GW67" s="47"/>
      <c r="GX67" s="47"/>
      <c r="GY67" s="47"/>
      <c r="GZ67" s="47"/>
      <c r="HA67" s="47"/>
      <c r="HB67" s="47"/>
      <c r="HC67" s="47"/>
      <c r="HD67" s="47"/>
      <c r="HE67" s="47"/>
      <c r="HF67" s="47"/>
      <c r="HG67" s="47"/>
      <c r="HH67" s="47"/>
      <c r="HI67" s="47"/>
      <c r="HJ67" s="47"/>
      <c r="HK67" s="47"/>
      <c r="HL67" s="47"/>
      <c r="HM67" s="47"/>
      <c r="HN67" s="47"/>
      <c r="HO67" s="47"/>
      <c r="HP67" s="47"/>
      <c r="HQ67" s="47"/>
      <c r="HR67" s="47"/>
      <c r="HS67" s="47"/>
      <c r="HT67" s="47"/>
      <c r="HU67" s="47"/>
      <c r="HV67" s="47"/>
      <c r="HW67" s="47"/>
      <c r="HX67" s="47"/>
      <c r="HY67" s="47"/>
      <c r="HZ67" s="47"/>
      <c r="IA67" s="47"/>
      <c r="IB67" s="47"/>
      <c r="IC67" s="47"/>
      <c r="ID67" s="47"/>
      <c r="IE67" s="47"/>
      <c r="IF67" s="47"/>
      <c r="IG67" s="47"/>
      <c r="IH67" s="47"/>
      <c r="II67" s="47"/>
      <c r="IJ67" s="47"/>
      <c r="IK67" s="47"/>
      <c r="IL67" s="47"/>
      <c r="IM67" s="47"/>
      <c r="IN67" s="47"/>
      <c r="IO67" s="47"/>
      <c r="IP67" s="47"/>
      <c r="IQ67" s="47"/>
      <c r="IR67" s="47"/>
      <c r="IS67" s="47"/>
      <c r="IT67" s="47"/>
      <c r="IU67" s="47"/>
      <c r="IV67" s="47"/>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D67" s="53">
        <v>3.3000000000000002E-2</v>
      </c>
      <c r="NE67" s="47">
        <v>95159.750124696991</v>
      </c>
      <c r="NF67" s="13">
        <v>0.33</v>
      </c>
      <c r="NG67" s="1">
        <f>Combine!A69</f>
        <v>49519</v>
      </c>
      <c r="NH67" s="14">
        <f>Combine!F69</f>
        <v>250438.83688627201</v>
      </c>
    </row>
    <row r="68" spans="1:372" ht="12.75" customHeight="1" x14ac:dyDescent="0.3">
      <c r="A68" s="59"/>
      <c r="D68" s="61"/>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c r="AW68" s="47"/>
      <c r="AX68" s="47"/>
      <c r="AY68" s="47"/>
      <c r="AZ68" s="47"/>
      <c r="BA68" s="47"/>
      <c r="BB68" s="47"/>
      <c r="BC68" s="47"/>
      <c r="BD68" s="47"/>
      <c r="BE68" s="47"/>
      <c r="BF68" s="47"/>
      <c r="BG68" s="47"/>
      <c r="BH68" s="47"/>
      <c r="BI68" s="47"/>
      <c r="BJ68" s="47"/>
      <c r="BK68" s="47"/>
      <c r="BL68" s="47"/>
      <c r="BM68" s="47"/>
      <c r="BN68" s="47"/>
      <c r="BO68" s="47"/>
      <c r="BP68" s="47"/>
      <c r="BQ68" s="47"/>
      <c r="BR68" s="47"/>
      <c r="BS68" s="47"/>
      <c r="BT68" s="47"/>
      <c r="BU68" s="47"/>
      <c r="BV68" s="47"/>
      <c r="BW68" s="47"/>
      <c r="BX68" s="47"/>
      <c r="BY68" s="47"/>
      <c r="BZ68" s="47"/>
      <c r="CA68" s="47"/>
      <c r="CB68" s="47"/>
      <c r="CC68" s="47"/>
      <c r="CD68" s="47"/>
      <c r="CE68" s="47"/>
      <c r="CF68" s="47"/>
      <c r="CG68" s="47"/>
      <c r="CH68" s="47"/>
      <c r="CI68" s="47"/>
      <c r="CJ68" s="47"/>
      <c r="CK68" s="47"/>
      <c r="CL68" s="47"/>
      <c r="CM68" s="47"/>
      <c r="CN68" s="47"/>
      <c r="CO68" s="47"/>
      <c r="CP68" s="47"/>
      <c r="CQ68" s="47"/>
      <c r="CR68" s="47"/>
      <c r="CS68" s="47"/>
      <c r="CT68" s="47"/>
      <c r="CU68" s="47"/>
      <c r="CV68" s="47"/>
      <c r="CW68" s="47"/>
      <c r="CX68" s="47"/>
      <c r="CY68" s="47"/>
      <c r="CZ68" s="47"/>
      <c r="DA68" s="47"/>
      <c r="DB68" s="47"/>
      <c r="DC68" s="47"/>
      <c r="DD68" s="47"/>
      <c r="DE68" s="47"/>
      <c r="DF68" s="47"/>
      <c r="DG68" s="47"/>
      <c r="DH68" s="47"/>
      <c r="DI68" s="47"/>
      <c r="DJ68" s="47"/>
      <c r="DK68" s="47"/>
      <c r="DL68" s="47"/>
      <c r="DM68" s="47"/>
      <c r="DN68" s="47"/>
      <c r="DO68" s="47"/>
      <c r="DP68" s="47"/>
      <c r="DQ68" s="47"/>
      <c r="DR68" s="47"/>
      <c r="DS68" s="47"/>
      <c r="DT68" s="47"/>
      <c r="DU68" s="47"/>
      <c r="DV68" s="47"/>
      <c r="DW68" s="47"/>
      <c r="DX68" s="47"/>
      <c r="DY68" s="47"/>
      <c r="DZ68" s="47"/>
      <c r="EA68" s="47"/>
      <c r="EB68" s="47"/>
      <c r="EC68" s="47"/>
      <c r="ED68" s="47"/>
      <c r="EE68" s="47"/>
      <c r="EF68" s="47"/>
      <c r="EG68" s="47"/>
      <c r="EH68" s="47"/>
      <c r="EI68" s="47"/>
      <c r="EJ68" s="47"/>
      <c r="EK68" s="47"/>
      <c r="EL68" s="47"/>
      <c r="EM68" s="47"/>
      <c r="EN68" s="47"/>
      <c r="EO68" s="47"/>
      <c r="EP68" s="47"/>
      <c r="EQ68" s="47"/>
      <c r="ER68" s="47"/>
      <c r="ES68" s="47"/>
      <c r="ET68" s="47"/>
      <c r="EU68" s="47"/>
      <c r="EV68" s="47"/>
      <c r="EW68" s="47"/>
      <c r="EX68" s="47"/>
      <c r="EY68" s="47"/>
      <c r="EZ68" s="47"/>
      <c r="FA68" s="47"/>
      <c r="FB68" s="47"/>
      <c r="FC68" s="47"/>
      <c r="FD68" s="47"/>
      <c r="FE68" s="47"/>
      <c r="FF68" s="47"/>
      <c r="FG68" s="47"/>
      <c r="FH68" s="47"/>
      <c r="FI68" s="47"/>
      <c r="FJ68" s="47"/>
      <c r="FK68" s="47"/>
      <c r="FL68" s="47"/>
      <c r="FM68" s="47"/>
      <c r="FN68" s="47"/>
      <c r="FO68" s="47"/>
      <c r="FP68" s="47"/>
      <c r="FQ68" s="47"/>
      <c r="FR68" s="47"/>
      <c r="FS68" s="47"/>
      <c r="FT68" s="47"/>
      <c r="FU68" s="47"/>
      <c r="FV68" s="47"/>
      <c r="FW68" s="47"/>
      <c r="FX68" s="47"/>
      <c r="FY68" s="47"/>
      <c r="FZ68" s="47"/>
      <c r="GA68" s="47"/>
      <c r="GB68" s="47"/>
      <c r="GC68" s="47"/>
      <c r="GD68" s="47"/>
      <c r="GE68" s="47"/>
      <c r="GF68" s="47"/>
      <c r="GG68" s="47"/>
      <c r="GH68" s="47"/>
      <c r="GI68" s="47"/>
      <c r="GJ68" s="47"/>
      <c r="GK68" s="47"/>
      <c r="GL68" s="47"/>
      <c r="GM68" s="47"/>
      <c r="GN68" s="47"/>
      <c r="GO68" s="47"/>
      <c r="GP68" s="47"/>
      <c r="GQ68" s="47"/>
      <c r="GR68" s="47"/>
      <c r="GS68" s="47"/>
      <c r="GT68" s="47"/>
      <c r="GU68" s="47"/>
      <c r="GV68" s="47"/>
      <c r="GW68" s="47"/>
      <c r="GX68" s="47"/>
      <c r="GY68" s="47"/>
      <c r="GZ68" s="47"/>
      <c r="HA68" s="47"/>
      <c r="HB68" s="47"/>
      <c r="HC68" s="47"/>
      <c r="HD68" s="47"/>
      <c r="HE68" s="47"/>
      <c r="HF68" s="47"/>
      <c r="HG68" s="47"/>
      <c r="HH68" s="47"/>
      <c r="HI68" s="47"/>
      <c r="HJ68" s="47"/>
      <c r="HK68" s="47"/>
      <c r="HL68" s="47"/>
      <c r="HM68" s="47"/>
      <c r="HN68" s="47"/>
      <c r="HO68" s="47"/>
      <c r="HP68" s="47"/>
      <c r="HQ68" s="47"/>
      <c r="HR68" s="47"/>
      <c r="HS68" s="47"/>
      <c r="HT68" s="47"/>
      <c r="HU68" s="47"/>
      <c r="HV68" s="47"/>
      <c r="HW68" s="47"/>
      <c r="HX68" s="47"/>
      <c r="HY68" s="47"/>
      <c r="HZ68" s="47"/>
      <c r="IA68" s="47"/>
      <c r="IB68" s="47"/>
      <c r="IC68" s="47"/>
      <c r="ID68" s="47"/>
      <c r="IE68" s="47"/>
      <c r="IF68" s="47"/>
      <c r="IG68" s="47"/>
      <c r="IH68" s="47"/>
      <c r="II68" s="47"/>
      <c r="IJ68" s="47"/>
      <c r="IK68" s="47"/>
      <c r="IL68" s="47"/>
      <c r="IM68" s="47"/>
      <c r="IN68" s="47"/>
      <c r="IO68" s="47"/>
      <c r="IP68" s="47"/>
      <c r="IQ68" s="47"/>
      <c r="IR68" s="47"/>
      <c r="IS68" s="47"/>
      <c r="IT68" s="47"/>
      <c r="IU68" s="47"/>
      <c r="IV68" s="47"/>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D68" s="53">
        <v>3.4000000000000002E-2</v>
      </c>
      <c r="NE68" s="47">
        <v>93243.211149690163</v>
      </c>
      <c r="NF68" s="13">
        <v>0.33500000000000002</v>
      </c>
      <c r="NG68" s="1">
        <f>Combine!A70</f>
        <v>48317</v>
      </c>
      <c r="NH68" s="14">
        <f>Combine!F70</f>
        <v>256564.12850270499</v>
      </c>
    </row>
    <row r="69" spans="1:372" ht="12.75" customHeight="1" x14ac:dyDescent="0.3">
      <c r="A69" s="59"/>
      <c r="D69" s="61"/>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c r="AW69" s="47"/>
      <c r="AX69" s="47"/>
      <c r="AY69" s="47"/>
      <c r="AZ69" s="47"/>
      <c r="BA69" s="47"/>
      <c r="BB69" s="47"/>
      <c r="BC69" s="47"/>
      <c r="BD69" s="47"/>
      <c r="BE69" s="47"/>
      <c r="BF69" s="47"/>
      <c r="BG69" s="47"/>
      <c r="BH69" s="47"/>
      <c r="BI69" s="47"/>
      <c r="BJ69" s="47"/>
      <c r="BK69" s="47"/>
      <c r="BL69" s="47"/>
      <c r="BM69" s="47"/>
      <c r="BN69" s="47"/>
      <c r="BO69" s="47"/>
      <c r="BP69" s="47"/>
      <c r="BQ69" s="47"/>
      <c r="BR69" s="47"/>
      <c r="BS69" s="47"/>
      <c r="BT69" s="47"/>
      <c r="BU69" s="47"/>
      <c r="BV69" s="47"/>
      <c r="BW69" s="47"/>
      <c r="BX69" s="47"/>
      <c r="BY69" s="47"/>
      <c r="BZ69" s="47"/>
      <c r="CA69" s="47"/>
      <c r="CB69" s="47"/>
      <c r="CC69" s="47"/>
      <c r="CD69" s="47"/>
      <c r="CE69" s="47"/>
      <c r="CF69" s="47"/>
      <c r="CG69" s="47"/>
      <c r="CH69" s="47"/>
      <c r="CI69" s="47"/>
      <c r="CJ69" s="47"/>
      <c r="CK69" s="47"/>
      <c r="CL69" s="47"/>
      <c r="CM69" s="47"/>
      <c r="CN69" s="47"/>
      <c r="CO69" s="47"/>
      <c r="CP69" s="47"/>
      <c r="CQ69" s="47"/>
      <c r="CR69" s="47"/>
      <c r="CS69" s="47"/>
      <c r="CT69" s="47"/>
      <c r="CU69" s="47"/>
      <c r="CV69" s="47"/>
      <c r="CW69" s="47"/>
      <c r="CX69" s="47"/>
      <c r="CY69" s="47"/>
      <c r="CZ69" s="47"/>
      <c r="DA69" s="47"/>
      <c r="DB69" s="47"/>
      <c r="DC69" s="47"/>
      <c r="DD69" s="47"/>
      <c r="DE69" s="47"/>
      <c r="DF69" s="47"/>
      <c r="DG69" s="47"/>
      <c r="DH69" s="47"/>
      <c r="DI69" s="47"/>
      <c r="DJ69" s="47"/>
      <c r="DK69" s="47"/>
      <c r="DL69" s="47"/>
      <c r="DM69" s="47"/>
      <c r="DN69" s="47"/>
      <c r="DO69" s="47"/>
      <c r="DP69" s="47"/>
      <c r="DQ69" s="47"/>
      <c r="DR69" s="47"/>
      <c r="DS69" s="47"/>
      <c r="DT69" s="47"/>
      <c r="DU69" s="47"/>
      <c r="DV69" s="47"/>
      <c r="DW69" s="47"/>
      <c r="DX69" s="47"/>
      <c r="DY69" s="47"/>
      <c r="DZ69" s="47"/>
      <c r="EA69" s="47"/>
      <c r="EB69" s="47"/>
      <c r="EC69" s="47"/>
      <c r="ED69" s="47"/>
      <c r="EE69" s="47"/>
      <c r="EF69" s="47"/>
      <c r="EG69" s="47"/>
      <c r="EH69" s="47"/>
      <c r="EI69" s="47"/>
      <c r="EJ69" s="47"/>
      <c r="EK69" s="47"/>
      <c r="EL69" s="47"/>
      <c r="EM69" s="47"/>
      <c r="EN69" s="47"/>
      <c r="EO69" s="47"/>
      <c r="EP69" s="47"/>
      <c r="EQ69" s="47"/>
      <c r="ER69" s="47"/>
      <c r="ES69" s="47"/>
      <c r="ET69" s="47"/>
      <c r="EU69" s="47"/>
      <c r="EV69" s="47"/>
      <c r="EW69" s="47"/>
      <c r="EX69" s="47"/>
      <c r="EY69" s="47"/>
      <c r="EZ69" s="47"/>
      <c r="FA69" s="47"/>
      <c r="FB69" s="47"/>
      <c r="FC69" s="47"/>
      <c r="FD69" s="47"/>
      <c r="FE69" s="47"/>
      <c r="FF69" s="47"/>
      <c r="FG69" s="47"/>
      <c r="FH69" s="47"/>
      <c r="FI69" s="47"/>
      <c r="FJ69" s="47"/>
      <c r="FK69" s="47"/>
      <c r="FL69" s="47"/>
      <c r="FM69" s="47"/>
      <c r="FN69" s="47"/>
      <c r="FO69" s="47"/>
      <c r="FP69" s="47"/>
      <c r="FQ69" s="47"/>
      <c r="FR69" s="47"/>
      <c r="FS69" s="47"/>
      <c r="FT69" s="47"/>
      <c r="FU69" s="47"/>
      <c r="FV69" s="47"/>
      <c r="FW69" s="47"/>
      <c r="FX69" s="47"/>
      <c r="FY69" s="47"/>
      <c r="FZ69" s="47"/>
      <c r="GA69" s="47"/>
      <c r="GB69" s="47"/>
      <c r="GC69" s="47"/>
      <c r="GD69" s="47"/>
      <c r="GE69" s="47"/>
      <c r="GF69" s="47"/>
      <c r="GG69" s="47"/>
      <c r="GH69" s="47"/>
      <c r="GI69" s="47"/>
      <c r="GJ69" s="47"/>
      <c r="GK69" s="47"/>
      <c r="GL69" s="47"/>
      <c r="GM69" s="47"/>
      <c r="GN69" s="47"/>
      <c r="GO69" s="47"/>
      <c r="GP69" s="47"/>
      <c r="GQ69" s="47"/>
      <c r="GR69" s="47"/>
      <c r="GS69" s="47"/>
      <c r="GT69" s="47"/>
      <c r="GU69" s="47"/>
      <c r="GV69" s="47"/>
      <c r="GW69" s="47"/>
      <c r="GX69" s="47"/>
      <c r="GY69" s="47"/>
      <c r="GZ69" s="47"/>
      <c r="HA69" s="47"/>
      <c r="HB69" s="47"/>
      <c r="HC69" s="47"/>
      <c r="HD69" s="47"/>
      <c r="HE69" s="47"/>
      <c r="HF69" s="47"/>
      <c r="HG69" s="47"/>
      <c r="HH69" s="47"/>
      <c r="HI69" s="47"/>
      <c r="HJ69" s="47"/>
      <c r="HK69" s="47"/>
      <c r="HL69" s="47"/>
      <c r="HM69" s="47"/>
      <c r="HN69" s="47"/>
      <c r="HO69" s="47"/>
      <c r="HP69" s="47"/>
      <c r="HQ69" s="47"/>
      <c r="HR69" s="47"/>
      <c r="HS69" s="47"/>
      <c r="HT69" s="47"/>
      <c r="HU69" s="47"/>
      <c r="HV69" s="47"/>
      <c r="HW69" s="47"/>
      <c r="HX69" s="47"/>
      <c r="HY69" s="47"/>
      <c r="HZ69" s="47"/>
      <c r="IA69" s="47"/>
      <c r="IB69" s="47"/>
      <c r="IC69" s="47"/>
      <c r="ID69" s="47"/>
      <c r="IE69" s="47"/>
      <c r="IF69" s="47"/>
      <c r="IG69" s="47"/>
      <c r="IH69" s="47"/>
      <c r="II69" s="47"/>
      <c r="IJ69" s="47"/>
      <c r="IK69" s="47"/>
      <c r="IL69" s="47"/>
      <c r="IM69" s="47"/>
      <c r="IN69" s="47"/>
      <c r="IO69" s="47"/>
      <c r="IP69" s="47"/>
      <c r="IQ69" s="47"/>
      <c r="IR69" s="47"/>
      <c r="IS69" s="47"/>
      <c r="IT69" s="47"/>
      <c r="IU69" s="47"/>
      <c r="IV69" s="47"/>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D69" s="53">
        <v>3.5000000000000003E-2</v>
      </c>
      <c r="NE69" s="47">
        <v>91319.383738520948</v>
      </c>
      <c r="NF69" s="13">
        <v>0.34</v>
      </c>
      <c r="NG69" s="1">
        <f>Combine!A71</f>
        <v>48504</v>
      </c>
      <c r="NH69" s="14">
        <f>Combine!F71</f>
        <v>35867.727506732102</v>
      </c>
    </row>
    <row r="70" spans="1:372" ht="12.75" customHeight="1" x14ac:dyDescent="0.3">
      <c r="A70" s="59"/>
      <c r="D70" s="61"/>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c r="AW70" s="47"/>
      <c r="AX70" s="47"/>
      <c r="AY70" s="47"/>
      <c r="AZ70" s="47"/>
      <c r="BA70" s="47"/>
      <c r="BB70" s="47"/>
      <c r="BC70" s="47"/>
      <c r="BD70" s="47"/>
      <c r="BE70" s="47"/>
      <c r="BF70" s="47"/>
      <c r="BG70" s="47"/>
      <c r="BH70" s="47"/>
      <c r="BI70" s="47"/>
      <c r="BJ70" s="47"/>
      <c r="BK70" s="47"/>
      <c r="BL70" s="47"/>
      <c r="BM70" s="47"/>
      <c r="BN70" s="47"/>
      <c r="BO70" s="47"/>
      <c r="BP70" s="47"/>
      <c r="BQ70" s="47"/>
      <c r="BR70" s="47"/>
      <c r="BS70" s="47"/>
      <c r="BT70" s="47"/>
      <c r="BU70" s="47"/>
      <c r="BV70" s="47"/>
      <c r="BW70" s="47"/>
      <c r="BX70" s="47"/>
      <c r="BY70" s="47"/>
      <c r="BZ70" s="47"/>
      <c r="CA70" s="47"/>
      <c r="CB70" s="47"/>
      <c r="CC70" s="47"/>
      <c r="CD70" s="47"/>
      <c r="CE70" s="47"/>
      <c r="CF70" s="47"/>
      <c r="CG70" s="47"/>
      <c r="CH70" s="47"/>
      <c r="CI70" s="47"/>
      <c r="CJ70" s="47"/>
      <c r="CK70" s="47"/>
      <c r="CL70" s="47"/>
      <c r="CM70" s="47"/>
      <c r="CN70" s="47"/>
      <c r="CO70" s="47"/>
      <c r="CP70" s="47"/>
      <c r="CQ70" s="47"/>
      <c r="CR70" s="47"/>
      <c r="CS70" s="47"/>
      <c r="CT70" s="47"/>
      <c r="CU70" s="47"/>
      <c r="CV70" s="47"/>
      <c r="CW70" s="47"/>
      <c r="CX70" s="47"/>
      <c r="CY70" s="47"/>
      <c r="CZ70" s="47"/>
      <c r="DA70" s="47"/>
      <c r="DB70" s="47"/>
      <c r="DC70" s="47"/>
      <c r="DD70" s="47"/>
      <c r="DE70" s="47"/>
      <c r="DF70" s="47"/>
      <c r="DG70" s="47"/>
      <c r="DH70" s="47"/>
      <c r="DI70" s="47"/>
      <c r="DJ70" s="47"/>
      <c r="DK70" s="47"/>
      <c r="DL70" s="47"/>
      <c r="DM70" s="47"/>
      <c r="DN70" s="47"/>
      <c r="DO70" s="47"/>
      <c r="DP70" s="47"/>
      <c r="DQ70" s="47"/>
      <c r="DR70" s="47"/>
      <c r="DS70" s="47"/>
      <c r="DT70" s="47"/>
      <c r="DU70" s="47"/>
      <c r="DV70" s="47"/>
      <c r="DW70" s="47"/>
      <c r="DX70" s="47"/>
      <c r="DY70" s="47"/>
      <c r="DZ70" s="47"/>
      <c r="EA70" s="47"/>
      <c r="EB70" s="47"/>
      <c r="EC70" s="47"/>
      <c r="ED70" s="47"/>
      <c r="EE70" s="47"/>
      <c r="EF70" s="47"/>
      <c r="EG70" s="47"/>
      <c r="EH70" s="47"/>
      <c r="EI70" s="47"/>
      <c r="EJ70" s="47"/>
      <c r="EK70" s="47"/>
      <c r="EL70" s="47"/>
      <c r="EM70" s="47"/>
      <c r="EN70" s="47"/>
      <c r="EO70" s="47"/>
      <c r="EP70" s="47"/>
      <c r="EQ70" s="47"/>
      <c r="ER70" s="47"/>
      <c r="ES70" s="47"/>
      <c r="ET70" s="47"/>
      <c r="EU70" s="47"/>
      <c r="EV70" s="47"/>
      <c r="EW70" s="47"/>
      <c r="EX70" s="47"/>
      <c r="EY70" s="47"/>
      <c r="EZ70" s="47"/>
      <c r="FA70" s="47"/>
      <c r="FB70" s="47"/>
      <c r="FC70" s="47"/>
      <c r="FD70" s="47"/>
      <c r="FE70" s="47"/>
      <c r="FF70" s="47"/>
      <c r="FG70" s="47"/>
      <c r="FH70" s="47"/>
      <c r="FI70" s="47"/>
      <c r="FJ70" s="47"/>
      <c r="FK70" s="47"/>
      <c r="FL70" s="47"/>
      <c r="FM70" s="47"/>
      <c r="FN70" s="47"/>
      <c r="FO70" s="47"/>
      <c r="FP70" s="47"/>
      <c r="FQ70" s="47"/>
      <c r="FR70" s="47"/>
      <c r="FS70" s="47"/>
      <c r="FT70" s="47"/>
      <c r="FU70" s="47"/>
      <c r="FV70" s="47"/>
      <c r="FW70" s="47"/>
      <c r="FX70" s="47"/>
      <c r="FY70" s="47"/>
      <c r="FZ70" s="47"/>
      <c r="GA70" s="47"/>
      <c r="GB70" s="47"/>
      <c r="GC70" s="47"/>
      <c r="GD70" s="47"/>
      <c r="GE70" s="47"/>
      <c r="GF70" s="47"/>
      <c r="GG70" s="47"/>
      <c r="GH70" s="47"/>
      <c r="GI70" s="47"/>
      <c r="GJ70" s="47"/>
      <c r="GK70" s="47"/>
      <c r="GL70" s="47"/>
      <c r="GM70" s="47"/>
      <c r="GN70" s="47"/>
      <c r="GO70" s="47"/>
      <c r="GP70" s="47"/>
      <c r="GQ70" s="47"/>
      <c r="GR70" s="47"/>
      <c r="GS70" s="47"/>
      <c r="GT70" s="47"/>
      <c r="GU70" s="47"/>
      <c r="GV70" s="47"/>
      <c r="GW70" s="47"/>
      <c r="GX70" s="47"/>
      <c r="GY70" s="47"/>
      <c r="GZ70" s="47"/>
      <c r="HA70" s="47"/>
      <c r="HB70" s="47"/>
      <c r="HC70" s="47"/>
      <c r="HD70" s="47"/>
      <c r="HE70" s="47"/>
      <c r="HF70" s="47"/>
      <c r="HG70" s="47"/>
      <c r="HH70" s="47"/>
      <c r="HI70" s="47"/>
      <c r="HJ70" s="47"/>
      <c r="HK70" s="47"/>
      <c r="HL70" s="47"/>
      <c r="HM70" s="47"/>
      <c r="HN70" s="47"/>
      <c r="HO70" s="47"/>
      <c r="HP70" s="47"/>
      <c r="HQ70" s="47"/>
      <c r="HR70" s="47"/>
      <c r="HS70" s="47"/>
      <c r="HT70" s="47"/>
      <c r="HU70" s="47"/>
      <c r="HV70" s="47"/>
      <c r="HW70" s="47"/>
      <c r="HX70" s="47"/>
      <c r="HY70" s="47"/>
      <c r="HZ70" s="47"/>
      <c r="IA70" s="47"/>
      <c r="IB70" s="47"/>
      <c r="IC70" s="47"/>
      <c r="ID70" s="47"/>
      <c r="IE70" s="47"/>
      <c r="IF70" s="47"/>
      <c r="IG70" s="47"/>
      <c r="IH70" s="47"/>
      <c r="II70" s="47"/>
      <c r="IJ70" s="47"/>
      <c r="IK70" s="47"/>
      <c r="IL70" s="47"/>
      <c r="IM70" s="47"/>
      <c r="IN70" s="47"/>
      <c r="IO70" s="47"/>
      <c r="IP70" s="47"/>
      <c r="IQ70" s="47"/>
      <c r="IR70" s="47"/>
      <c r="IS70" s="47"/>
      <c r="IT70" s="47"/>
      <c r="IU70" s="47"/>
      <c r="IV70" s="47"/>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D70" s="53">
        <v>3.5999999999999997E-2</v>
      </c>
      <c r="NE70" s="47">
        <v>89388.352896442724</v>
      </c>
      <c r="NF70" s="13">
        <v>0.34499999999999997</v>
      </c>
      <c r="NG70" s="1">
        <f>Combine!A72</f>
        <v>49006</v>
      </c>
      <c r="NH70" s="14">
        <f>Combine!F72</f>
        <v>210486.558746775</v>
      </c>
    </row>
    <row r="71" spans="1:372" ht="12.75" customHeight="1" x14ac:dyDescent="0.3">
      <c r="A71" s="59"/>
      <c r="D71" s="61"/>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c r="AW71" s="47"/>
      <c r="AX71" s="47"/>
      <c r="AY71" s="47"/>
      <c r="AZ71" s="47"/>
      <c r="BA71" s="47"/>
      <c r="BB71" s="47"/>
      <c r="BC71" s="47"/>
      <c r="BD71" s="47"/>
      <c r="BE71" s="47"/>
      <c r="BF71" s="47"/>
      <c r="BG71" s="47"/>
      <c r="BH71" s="47"/>
      <c r="BI71" s="47"/>
      <c r="BJ71" s="47"/>
      <c r="BK71" s="47"/>
      <c r="BL71" s="47"/>
      <c r="BM71" s="47"/>
      <c r="BN71" s="47"/>
      <c r="BO71" s="47"/>
      <c r="BP71" s="47"/>
      <c r="BQ71" s="47"/>
      <c r="BR71" s="47"/>
      <c r="BS71" s="47"/>
      <c r="BT71" s="47"/>
      <c r="BU71" s="47"/>
      <c r="BV71" s="47"/>
      <c r="BW71" s="47"/>
      <c r="BX71" s="47"/>
      <c r="BY71" s="47"/>
      <c r="BZ71" s="47"/>
      <c r="CA71" s="47"/>
      <c r="CB71" s="47"/>
      <c r="CC71" s="47"/>
      <c r="CD71" s="47"/>
      <c r="CE71" s="47"/>
      <c r="CF71" s="47"/>
      <c r="CG71" s="47"/>
      <c r="CH71" s="47"/>
      <c r="CI71" s="47"/>
      <c r="CJ71" s="47"/>
      <c r="CK71" s="47"/>
      <c r="CL71" s="47"/>
      <c r="CM71" s="47"/>
      <c r="CN71" s="47"/>
      <c r="CO71" s="47"/>
      <c r="CP71" s="47"/>
      <c r="CQ71" s="47"/>
      <c r="CR71" s="47"/>
      <c r="CS71" s="47"/>
      <c r="CT71" s="47"/>
      <c r="CU71" s="47"/>
      <c r="CV71" s="47"/>
      <c r="CW71" s="47"/>
      <c r="CX71" s="47"/>
      <c r="CY71" s="47"/>
      <c r="CZ71" s="47"/>
      <c r="DA71" s="47"/>
      <c r="DB71" s="47"/>
      <c r="DC71" s="47"/>
      <c r="DD71" s="47"/>
      <c r="DE71" s="47"/>
      <c r="DF71" s="47"/>
      <c r="DG71" s="47"/>
      <c r="DH71" s="47"/>
      <c r="DI71" s="47"/>
      <c r="DJ71" s="47"/>
      <c r="DK71" s="47"/>
      <c r="DL71" s="47"/>
      <c r="DM71" s="47"/>
      <c r="DN71" s="47"/>
      <c r="DO71" s="47"/>
      <c r="DP71" s="47"/>
      <c r="DQ71" s="47"/>
      <c r="DR71" s="47"/>
      <c r="DS71" s="47"/>
      <c r="DT71" s="47"/>
      <c r="DU71" s="47"/>
      <c r="DV71" s="47"/>
      <c r="DW71" s="47"/>
      <c r="DX71" s="47"/>
      <c r="DY71" s="47"/>
      <c r="DZ71" s="47"/>
      <c r="EA71" s="47"/>
      <c r="EB71" s="47"/>
      <c r="EC71" s="47"/>
      <c r="ED71" s="47"/>
      <c r="EE71" s="47"/>
      <c r="EF71" s="47"/>
      <c r="EG71" s="47"/>
      <c r="EH71" s="47"/>
      <c r="EI71" s="47"/>
      <c r="EJ71" s="47"/>
      <c r="EK71" s="47"/>
      <c r="EL71" s="47"/>
      <c r="EM71" s="47"/>
      <c r="EN71" s="47"/>
      <c r="EO71" s="47"/>
      <c r="EP71" s="47"/>
      <c r="EQ71" s="47"/>
      <c r="ER71" s="47"/>
      <c r="ES71" s="47"/>
      <c r="ET71" s="47"/>
      <c r="EU71" s="47"/>
      <c r="EV71" s="47"/>
      <c r="EW71" s="47"/>
      <c r="EX71" s="47"/>
      <c r="EY71" s="47"/>
      <c r="EZ71" s="47"/>
      <c r="FA71" s="47"/>
      <c r="FB71" s="47"/>
      <c r="FC71" s="47"/>
      <c r="FD71" s="47"/>
      <c r="FE71" s="47"/>
      <c r="FF71" s="47"/>
      <c r="FG71" s="47"/>
      <c r="FH71" s="47"/>
      <c r="FI71" s="47"/>
      <c r="FJ71" s="47"/>
      <c r="FK71" s="47"/>
      <c r="FL71" s="47"/>
      <c r="FM71" s="47"/>
      <c r="FN71" s="47"/>
      <c r="FO71" s="47"/>
      <c r="FP71" s="47"/>
      <c r="FQ71" s="47"/>
      <c r="FR71" s="47"/>
      <c r="FS71" s="47"/>
      <c r="FT71" s="47"/>
      <c r="FU71" s="47"/>
      <c r="FV71" s="47"/>
      <c r="FW71" s="47"/>
      <c r="FX71" s="47"/>
      <c r="FY71" s="47"/>
      <c r="FZ71" s="47"/>
      <c r="GA71" s="47"/>
      <c r="GB71" s="47"/>
      <c r="GC71" s="47"/>
      <c r="GD71" s="47"/>
      <c r="GE71" s="47"/>
      <c r="GF71" s="47"/>
      <c r="GG71" s="47"/>
      <c r="GH71" s="47"/>
      <c r="GI71" s="47"/>
      <c r="GJ71" s="47"/>
      <c r="GK71" s="47"/>
      <c r="GL71" s="47"/>
      <c r="GM71" s="47"/>
      <c r="GN71" s="47"/>
      <c r="GO71" s="47"/>
      <c r="GP71" s="47"/>
      <c r="GQ71" s="47"/>
      <c r="GR71" s="47"/>
      <c r="GS71" s="47"/>
      <c r="GT71" s="47"/>
      <c r="GU71" s="47"/>
      <c r="GV71" s="47"/>
      <c r="GW71" s="47"/>
      <c r="GX71" s="47"/>
      <c r="GY71" s="47"/>
      <c r="GZ71" s="47"/>
      <c r="HA71" s="47"/>
      <c r="HB71" s="47"/>
      <c r="HC71" s="47"/>
      <c r="HD71" s="47"/>
      <c r="HE71" s="47"/>
      <c r="HF71" s="47"/>
      <c r="HG71" s="47"/>
      <c r="HH71" s="47"/>
      <c r="HI71" s="47"/>
      <c r="HJ71" s="47"/>
      <c r="HK71" s="47"/>
      <c r="HL71" s="47"/>
      <c r="HM71" s="47"/>
      <c r="HN71" s="47"/>
      <c r="HO71" s="47"/>
      <c r="HP71" s="47"/>
      <c r="HQ71" s="47"/>
      <c r="HR71" s="47"/>
      <c r="HS71" s="47"/>
      <c r="HT71" s="47"/>
      <c r="HU71" s="47"/>
      <c r="HV71" s="47"/>
      <c r="HW71" s="47"/>
      <c r="HX71" s="47"/>
      <c r="HY71" s="47"/>
      <c r="HZ71" s="47"/>
      <c r="IA71" s="47"/>
      <c r="IB71" s="47"/>
      <c r="IC71" s="47"/>
      <c r="ID71" s="47"/>
      <c r="IE71" s="47"/>
      <c r="IF71" s="47"/>
      <c r="IG71" s="47"/>
      <c r="IH71" s="47"/>
      <c r="II71" s="47"/>
      <c r="IJ71" s="47"/>
      <c r="IK71" s="47"/>
      <c r="IL71" s="47"/>
      <c r="IM71" s="47"/>
      <c r="IN71" s="47"/>
      <c r="IO71" s="47"/>
      <c r="IP71" s="47"/>
      <c r="IQ71" s="47"/>
      <c r="IR71" s="47"/>
      <c r="IS71" s="47"/>
      <c r="IT71" s="47"/>
      <c r="IU71" s="47"/>
      <c r="IV71" s="47"/>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D71" s="53">
        <v>3.6999999999999998E-2</v>
      </c>
      <c r="NE71" s="47">
        <v>87450.20401083841</v>
      </c>
      <c r="NF71" s="13">
        <v>0.35</v>
      </c>
      <c r="NG71" s="1">
        <f>Combine!A73</f>
        <v>48108</v>
      </c>
      <c r="NH71" s="14">
        <f>Combine!F73</f>
        <v>408161.10457399703</v>
      </c>
    </row>
    <row r="72" spans="1:372" ht="12.75" customHeight="1" x14ac:dyDescent="0.3">
      <c r="A72" s="59"/>
      <c r="D72" s="61"/>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c r="AW72" s="47"/>
      <c r="AX72" s="47"/>
      <c r="AY72" s="47"/>
      <c r="AZ72" s="47"/>
      <c r="BA72" s="47"/>
      <c r="BB72" s="47"/>
      <c r="BC72" s="47"/>
      <c r="BD72" s="47"/>
      <c r="BE72" s="47"/>
      <c r="BF72" s="47"/>
      <c r="BG72" s="47"/>
      <c r="BH72" s="47"/>
      <c r="BI72" s="47"/>
      <c r="BJ72" s="47"/>
      <c r="BK72" s="47"/>
      <c r="BL72" s="47"/>
      <c r="BM72" s="47"/>
      <c r="BN72" s="47"/>
      <c r="BO72" s="47"/>
      <c r="BP72" s="47"/>
      <c r="BQ72" s="47"/>
      <c r="BR72" s="47"/>
      <c r="BS72" s="47"/>
      <c r="BT72" s="47"/>
      <c r="BU72" s="47"/>
      <c r="BV72" s="47"/>
      <c r="BW72" s="47"/>
      <c r="BX72" s="47"/>
      <c r="BY72" s="47"/>
      <c r="BZ72" s="47"/>
      <c r="CA72" s="47"/>
      <c r="CB72" s="47"/>
      <c r="CC72" s="47"/>
      <c r="CD72" s="47"/>
      <c r="CE72" s="47"/>
      <c r="CF72" s="47"/>
      <c r="CG72" s="47"/>
      <c r="CH72" s="47"/>
      <c r="CI72" s="47"/>
      <c r="CJ72" s="47"/>
      <c r="CK72" s="47"/>
      <c r="CL72" s="47"/>
      <c r="CM72" s="47"/>
      <c r="CN72" s="47"/>
      <c r="CO72" s="47"/>
      <c r="CP72" s="47"/>
      <c r="CQ72" s="47"/>
      <c r="CR72" s="47"/>
      <c r="CS72" s="47"/>
      <c r="CT72" s="47"/>
      <c r="CU72" s="47"/>
      <c r="CV72" s="47"/>
      <c r="CW72" s="47"/>
      <c r="CX72" s="47"/>
      <c r="CY72" s="47"/>
      <c r="CZ72" s="47"/>
      <c r="DA72" s="47"/>
      <c r="DB72" s="47"/>
      <c r="DC72" s="47"/>
      <c r="DD72" s="47"/>
      <c r="DE72" s="47"/>
      <c r="DF72" s="47"/>
      <c r="DG72" s="47"/>
      <c r="DH72" s="47"/>
      <c r="DI72" s="47"/>
      <c r="DJ72" s="47"/>
      <c r="DK72" s="47"/>
      <c r="DL72" s="47"/>
      <c r="DM72" s="47"/>
      <c r="DN72" s="47"/>
      <c r="DO72" s="47"/>
      <c r="DP72" s="47"/>
      <c r="DQ72" s="47"/>
      <c r="DR72" s="47"/>
      <c r="DS72" s="47"/>
      <c r="DT72" s="47"/>
      <c r="DU72" s="47"/>
      <c r="DV72" s="47"/>
      <c r="DW72" s="47"/>
      <c r="DX72" s="47"/>
      <c r="DY72" s="47"/>
      <c r="DZ72" s="47"/>
      <c r="EA72" s="47"/>
      <c r="EB72" s="47"/>
      <c r="EC72" s="47"/>
      <c r="ED72" s="47"/>
      <c r="EE72" s="47"/>
      <c r="EF72" s="47"/>
      <c r="EG72" s="47"/>
      <c r="EH72" s="47"/>
      <c r="EI72" s="47"/>
      <c r="EJ72" s="47"/>
      <c r="EK72" s="47"/>
      <c r="EL72" s="47"/>
      <c r="EM72" s="47"/>
      <c r="EN72" s="47"/>
      <c r="EO72" s="47"/>
      <c r="EP72" s="47"/>
      <c r="EQ72" s="47"/>
      <c r="ER72" s="47"/>
      <c r="ES72" s="47"/>
      <c r="ET72" s="47"/>
      <c r="EU72" s="47"/>
      <c r="EV72" s="47"/>
      <c r="EW72" s="47"/>
      <c r="EX72" s="47"/>
      <c r="EY72" s="47"/>
      <c r="EZ72" s="47"/>
      <c r="FA72" s="47"/>
      <c r="FB72" s="47"/>
      <c r="FC72" s="47"/>
      <c r="FD72" s="47"/>
      <c r="FE72" s="47"/>
      <c r="FF72" s="47"/>
      <c r="FG72" s="47"/>
      <c r="FH72" s="47"/>
      <c r="FI72" s="47"/>
      <c r="FJ72" s="47"/>
      <c r="FK72" s="47"/>
      <c r="FL72" s="47"/>
      <c r="FM72" s="47"/>
      <c r="FN72" s="47"/>
      <c r="FO72" s="47"/>
      <c r="FP72" s="47"/>
      <c r="FQ72" s="47"/>
      <c r="FR72" s="47"/>
      <c r="FS72" s="47"/>
      <c r="FT72" s="47"/>
      <c r="FU72" s="47"/>
      <c r="FV72" s="47"/>
      <c r="FW72" s="47"/>
      <c r="FX72" s="47"/>
      <c r="FY72" s="47"/>
      <c r="FZ72" s="47"/>
      <c r="GA72" s="47"/>
      <c r="GB72" s="47"/>
      <c r="GC72" s="47"/>
      <c r="GD72" s="47"/>
      <c r="GE72" s="47"/>
      <c r="GF72" s="47"/>
      <c r="GG72" s="47"/>
      <c r="GH72" s="47"/>
      <c r="GI72" s="47"/>
      <c r="GJ72" s="47"/>
      <c r="GK72" s="47"/>
      <c r="GL72" s="47"/>
      <c r="GM72" s="47"/>
      <c r="GN72" s="47"/>
      <c r="GO72" s="47"/>
      <c r="GP72" s="47"/>
      <c r="GQ72" s="47"/>
      <c r="GR72" s="47"/>
      <c r="GS72" s="47"/>
      <c r="GT72" s="47"/>
      <c r="GU72" s="47"/>
      <c r="GV72" s="47"/>
      <c r="GW72" s="47"/>
      <c r="GX72" s="47"/>
      <c r="GY72" s="47"/>
      <c r="GZ72" s="47"/>
      <c r="HA72" s="47"/>
      <c r="HB72" s="47"/>
      <c r="HC72" s="47"/>
      <c r="HD72" s="47"/>
      <c r="HE72" s="47"/>
      <c r="HF72" s="47"/>
      <c r="HG72" s="47"/>
      <c r="HH72" s="47"/>
      <c r="HI72" s="47"/>
      <c r="HJ72" s="47"/>
      <c r="HK72" s="47"/>
      <c r="HL72" s="47"/>
      <c r="HM72" s="47"/>
      <c r="HN72" s="47"/>
      <c r="HO72" s="47"/>
      <c r="HP72" s="47"/>
      <c r="HQ72" s="47"/>
      <c r="HR72" s="47"/>
      <c r="HS72" s="47"/>
      <c r="HT72" s="47"/>
      <c r="HU72" s="47"/>
      <c r="HV72" s="47"/>
      <c r="HW72" s="47"/>
      <c r="HX72" s="47"/>
      <c r="HY72" s="47"/>
      <c r="HZ72" s="47"/>
      <c r="IA72" s="47"/>
      <c r="IB72" s="47"/>
      <c r="IC72" s="47"/>
      <c r="ID72" s="47"/>
      <c r="IE72" s="47"/>
      <c r="IF72" s="47"/>
      <c r="IG72" s="47"/>
      <c r="IH72" s="47"/>
      <c r="II72" s="47"/>
      <c r="IJ72" s="47"/>
      <c r="IK72" s="47"/>
      <c r="IL72" s="47"/>
      <c r="IM72" s="47"/>
      <c r="IN72" s="47"/>
      <c r="IO72" s="47"/>
      <c r="IP72" s="47"/>
      <c r="IQ72" s="47"/>
      <c r="IR72" s="47"/>
      <c r="IS72" s="47"/>
      <c r="IT72" s="47"/>
      <c r="IU72" s="47"/>
      <c r="IV72" s="47"/>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D72" s="53">
        <v>3.7999999999999999E-2</v>
      </c>
      <c r="NE72" s="47">
        <v>85505.02281456138</v>
      </c>
      <c r="NF72" s="13">
        <v>0.35499999999999998</v>
      </c>
      <c r="NG72" s="1">
        <f>Combine!A74</f>
        <v>49015</v>
      </c>
      <c r="NH72" s="14">
        <f>Combine!F74</f>
        <v>165151.603118053</v>
      </c>
    </row>
    <row r="73" spans="1:372" ht="12.75" customHeight="1" x14ac:dyDescent="0.3">
      <c r="A73" s="59"/>
      <c r="D73" s="61"/>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c r="AW73" s="47"/>
      <c r="AX73" s="47"/>
      <c r="AY73" s="47"/>
      <c r="AZ73" s="47"/>
      <c r="BA73" s="47"/>
      <c r="BB73" s="47"/>
      <c r="BC73" s="47"/>
      <c r="BD73" s="47"/>
      <c r="BE73" s="47"/>
      <c r="BF73" s="47"/>
      <c r="BG73" s="47"/>
      <c r="BH73" s="47"/>
      <c r="BI73" s="47"/>
      <c r="BJ73" s="47"/>
      <c r="BK73" s="47"/>
      <c r="BL73" s="47"/>
      <c r="BM73" s="47"/>
      <c r="BN73" s="47"/>
      <c r="BO73" s="47"/>
      <c r="BP73" s="47"/>
      <c r="BQ73" s="47"/>
      <c r="BR73" s="47"/>
      <c r="BS73" s="47"/>
      <c r="BT73" s="47"/>
      <c r="BU73" s="47"/>
      <c r="BV73" s="47"/>
      <c r="BW73" s="47"/>
      <c r="BX73" s="47"/>
      <c r="BY73" s="47"/>
      <c r="BZ73" s="47"/>
      <c r="CA73" s="47"/>
      <c r="CB73" s="47"/>
      <c r="CC73" s="47"/>
      <c r="CD73" s="47"/>
      <c r="CE73" s="47"/>
      <c r="CF73" s="47"/>
      <c r="CG73" s="47"/>
      <c r="CH73" s="47"/>
      <c r="CI73" s="47"/>
      <c r="CJ73" s="47"/>
      <c r="CK73" s="47"/>
      <c r="CL73" s="47"/>
      <c r="CM73" s="47"/>
      <c r="CN73" s="47"/>
      <c r="CO73" s="47"/>
      <c r="CP73" s="47"/>
      <c r="CQ73" s="47"/>
      <c r="CR73" s="47"/>
      <c r="CS73" s="47"/>
      <c r="CT73" s="47"/>
      <c r="CU73" s="47"/>
      <c r="CV73" s="47"/>
      <c r="CW73" s="47"/>
      <c r="CX73" s="47"/>
      <c r="CY73" s="47"/>
      <c r="CZ73" s="47"/>
      <c r="DA73" s="47"/>
      <c r="DB73" s="47"/>
      <c r="DC73" s="47"/>
      <c r="DD73" s="47"/>
      <c r="DE73" s="47"/>
      <c r="DF73" s="47"/>
      <c r="DG73" s="47"/>
      <c r="DH73" s="47"/>
      <c r="DI73" s="47"/>
      <c r="DJ73" s="47"/>
      <c r="DK73" s="47"/>
      <c r="DL73" s="47"/>
      <c r="DM73" s="47"/>
      <c r="DN73" s="47"/>
      <c r="DO73" s="47"/>
      <c r="DP73" s="47"/>
      <c r="DQ73" s="47"/>
      <c r="DR73" s="47"/>
      <c r="DS73" s="47"/>
      <c r="DT73" s="47"/>
      <c r="DU73" s="47"/>
      <c r="DV73" s="47"/>
      <c r="DW73" s="47"/>
      <c r="DX73" s="47"/>
      <c r="DY73" s="47"/>
      <c r="DZ73" s="47"/>
      <c r="EA73" s="47"/>
      <c r="EB73" s="47"/>
      <c r="EC73" s="47"/>
      <c r="ED73" s="47"/>
      <c r="EE73" s="47"/>
      <c r="EF73" s="47"/>
      <c r="EG73" s="47"/>
      <c r="EH73" s="47"/>
      <c r="EI73" s="47"/>
      <c r="EJ73" s="47"/>
      <c r="EK73" s="47"/>
      <c r="EL73" s="47"/>
      <c r="EM73" s="47"/>
      <c r="EN73" s="47"/>
      <c r="EO73" s="47"/>
      <c r="EP73" s="47"/>
      <c r="EQ73" s="47"/>
      <c r="ER73" s="47"/>
      <c r="ES73" s="47"/>
      <c r="ET73" s="47"/>
      <c r="EU73" s="47"/>
      <c r="EV73" s="47"/>
      <c r="EW73" s="47"/>
      <c r="EX73" s="47"/>
      <c r="EY73" s="47"/>
      <c r="EZ73" s="47"/>
      <c r="FA73" s="47"/>
      <c r="FB73" s="47"/>
      <c r="FC73" s="47"/>
      <c r="FD73" s="47"/>
      <c r="FE73" s="47"/>
      <c r="FF73" s="47"/>
      <c r="FG73" s="47"/>
      <c r="FH73" s="47"/>
      <c r="FI73" s="47"/>
      <c r="FJ73" s="47"/>
      <c r="FK73" s="47"/>
      <c r="FL73" s="47"/>
      <c r="FM73" s="47"/>
      <c r="FN73" s="47"/>
      <c r="FO73" s="47"/>
      <c r="FP73" s="47"/>
      <c r="FQ73" s="47"/>
      <c r="FR73" s="47"/>
      <c r="FS73" s="47"/>
      <c r="FT73" s="47"/>
      <c r="FU73" s="47"/>
      <c r="FV73" s="47"/>
      <c r="FW73" s="47"/>
      <c r="FX73" s="47"/>
      <c r="FY73" s="47"/>
      <c r="FZ73" s="47"/>
      <c r="GA73" s="47"/>
      <c r="GB73" s="47"/>
      <c r="GC73" s="47"/>
      <c r="GD73" s="47"/>
      <c r="GE73" s="47"/>
      <c r="GF73" s="47"/>
      <c r="GG73" s="47"/>
      <c r="GH73" s="47"/>
      <c r="GI73" s="47"/>
      <c r="GJ73" s="47"/>
      <c r="GK73" s="47"/>
      <c r="GL73" s="47"/>
      <c r="GM73" s="47"/>
      <c r="GN73" s="47"/>
      <c r="GO73" s="47"/>
      <c r="GP73" s="47"/>
      <c r="GQ73" s="47"/>
      <c r="GR73" s="47"/>
      <c r="GS73" s="47"/>
      <c r="GT73" s="47"/>
      <c r="GU73" s="47"/>
      <c r="GV73" s="47"/>
      <c r="GW73" s="47"/>
      <c r="GX73" s="47"/>
      <c r="GY73" s="47"/>
      <c r="GZ73" s="47"/>
      <c r="HA73" s="47"/>
      <c r="HB73" s="47"/>
      <c r="HC73" s="47"/>
      <c r="HD73" s="47"/>
      <c r="HE73" s="47"/>
      <c r="HF73" s="47"/>
      <c r="HG73" s="47"/>
      <c r="HH73" s="47"/>
      <c r="HI73" s="47"/>
      <c r="HJ73" s="47"/>
      <c r="HK73" s="47"/>
      <c r="HL73" s="47"/>
      <c r="HM73" s="47"/>
      <c r="HN73" s="47"/>
      <c r="HO73" s="47"/>
      <c r="HP73" s="47"/>
      <c r="HQ73" s="47"/>
      <c r="HR73" s="47"/>
      <c r="HS73" s="47"/>
      <c r="HT73" s="47"/>
      <c r="HU73" s="47"/>
      <c r="HV73" s="47"/>
      <c r="HW73" s="47"/>
      <c r="HX73" s="47"/>
      <c r="HY73" s="47"/>
      <c r="HZ73" s="47"/>
      <c r="IA73" s="47"/>
      <c r="IB73" s="47"/>
      <c r="IC73" s="47"/>
      <c r="ID73" s="47"/>
      <c r="IE73" s="47"/>
      <c r="IF73" s="47"/>
      <c r="IG73" s="47"/>
      <c r="IH73" s="47"/>
      <c r="II73" s="47"/>
      <c r="IJ73" s="47"/>
      <c r="IK73" s="47"/>
      <c r="IL73" s="47"/>
      <c r="IM73" s="47"/>
      <c r="IN73" s="47"/>
      <c r="IO73" s="47"/>
      <c r="IP73" s="47"/>
      <c r="IQ73" s="47"/>
      <c r="IR73" s="47"/>
      <c r="IS73" s="47"/>
      <c r="IT73" s="47"/>
      <c r="IU73" s="47"/>
      <c r="IV73" s="47"/>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D73" s="53">
        <v>3.9E-2</v>
      </c>
      <c r="NE73" s="47">
        <v>83552.895349478073</v>
      </c>
      <c r="NF73" s="13">
        <v>0.36</v>
      </c>
      <c r="NG73" s="1">
        <f>Combine!A75</f>
        <v>49444</v>
      </c>
      <c r="NH73" s="14">
        <f>Combine!F75</f>
        <v>124369.13084090099</v>
      </c>
    </row>
    <row r="74" spans="1:372" ht="12.75" customHeight="1" x14ac:dyDescent="0.3">
      <c r="A74" s="59"/>
      <c r="D74" s="61"/>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c r="AW74" s="47"/>
      <c r="AX74" s="47"/>
      <c r="AY74" s="47"/>
      <c r="AZ74" s="47"/>
      <c r="BA74" s="47"/>
      <c r="BB74" s="47"/>
      <c r="BC74" s="47"/>
      <c r="BD74" s="47"/>
      <c r="BE74" s="47"/>
      <c r="BF74" s="47"/>
      <c r="BG74" s="47"/>
      <c r="BH74" s="47"/>
      <c r="BI74" s="47"/>
      <c r="BJ74" s="47"/>
      <c r="BK74" s="47"/>
      <c r="BL74" s="47"/>
      <c r="BM74" s="47"/>
      <c r="BN74" s="47"/>
      <c r="BO74" s="47"/>
      <c r="BP74" s="47"/>
      <c r="BQ74" s="47"/>
      <c r="BR74" s="47"/>
      <c r="BS74" s="47"/>
      <c r="BT74" s="47"/>
      <c r="BU74" s="47"/>
      <c r="BV74" s="47"/>
      <c r="BW74" s="47"/>
      <c r="BX74" s="47"/>
      <c r="BY74" s="47"/>
      <c r="BZ74" s="47"/>
      <c r="CA74" s="47"/>
      <c r="CB74" s="47"/>
      <c r="CC74" s="47"/>
      <c r="CD74" s="47"/>
      <c r="CE74" s="47"/>
      <c r="CF74" s="47"/>
      <c r="CG74" s="47"/>
      <c r="CH74" s="47"/>
      <c r="CI74" s="47"/>
      <c r="CJ74" s="47"/>
      <c r="CK74" s="47"/>
      <c r="CL74" s="47"/>
      <c r="CM74" s="47"/>
      <c r="CN74" s="47"/>
      <c r="CO74" s="47"/>
      <c r="CP74" s="47"/>
      <c r="CQ74" s="47"/>
      <c r="CR74" s="47"/>
      <c r="CS74" s="47"/>
      <c r="CT74" s="47"/>
      <c r="CU74" s="47"/>
      <c r="CV74" s="47"/>
      <c r="CW74" s="47"/>
      <c r="CX74" s="47"/>
      <c r="CY74" s="47"/>
      <c r="CZ74" s="47"/>
      <c r="DA74" s="47"/>
      <c r="DB74" s="47"/>
      <c r="DC74" s="47"/>
      <c r="DD74" s="47"/>
      <c r="DE74" s="47"/>
      <c r="DF74" s="47"/>
      <c r="DG74" s="47"/>
      <c r="DH74" s="47"/>
      <c r="DI74" s="47"/>
      <c r="DJ74" s="47"/>
      <c r="DK74" s="47"/>
      <c r="DL74" s="47"/>
      <c r="DM74" s="47"/>
      <c r="DN74" s="47"/>
      <c r="DO74" s="47"/>
      <c r="DP74" s="47"/>
      <c r="DQ74" s="47"/>
      <c r="DR74" s="47"/>
      <c r="DS74" s="47"/>
      <c r="DT74" s="47"/>
      <c r="DU74" s="47"/>
      <c r="DV74" s="47"/>
      <c r="DW74" s="47"/>
      <c r="DX74" s="47"/>
      <c r="DY74" s="47"/>
      <c r="DZ74" s="47"/>
      <c r="EA74" s="47"/>
      <c r="EB74" s="47"/>
      <c r="EC74" s="47"/>
      <c r="ED74" s="47"/>
      <c r="EE74" s="47"/>
      <c r="EF74" s="47"/>
      <c r="EG74" s="47"/>
      <c r="EH74" s="47"/>
      <c r="EI74" s="47"/>
      <c r="EJ74" s="47"/>
      <c r="EK74" s="47"/>
      <c r="EL74" s="47"/>
      <c r="EM74" s="47"/>
      <c r="EN74" s="47"/>
      <c r="EO74" s="47"/>
      <c r="EP74" s="47"/>
      <c r="EQ74" s="47"/>
      <c r="ER74" s="47"/>
      <c r="ES74" s="47"/>
      <c r="ET74" s="47"/>
      <c r="EU74" s="47"/>
      <c r="EV74" s="47"/>
      <c r="EW74" s="47"/>
      <c r="EX74" s="47"/>
      <c r="EY74" s="47"/>
      <c r="EZ74" s="47"/>
      <c r="FA74" s="47"/>
      <c r="FB74" s="47"/>
      <c r="FC74" s="47"/>
      <c r="FD74" s="47"/>
      <c r="FE74" s="47"/>
      <c r="FF74" s="47"/>
      <c r="FG74" s="47"/>
      <c r="FH74" s="47"/>
      <c r="FI74" s="47"/>
      <c r="FJ74" s="47"/>
      <c r="FK74" s="47"/>
      <c r="FL74" s="47"/>
      <c r="FM74" s="47"/>
      <c r="FN74" s="47"/>
      <c r="FO74" s="47"/>
      <c r="FP74" s="47"/>
      <c r="FQ74" s="47"/>
      <c r="FR74" s="47"/>
      <c r="FS74" s="47"/>
      <c r="FT74" s="47"/>
      <c r="FU74" s="47"/>
      <c r="FV74" s="47"/>
      <c r="FW74" s="47"/>
      <c r="FX74" s="47"/>
      <c r="FY74" s="47"/>
      <c r="FZ74" s="47"/>
      <c r="GA74" s="47"/>
      <c r="GB74" s="47"/>
      <c r="GC74" s="47"/>
      <c r="GD74" s="47"/>
      <c r="GE74" s="47"/>
      <c r="GF74" s="47"/>
      <c r="GG74" s="47"/>
      <c r="GH74" s="47"/>
      <c r="GI74" s="47"/>
      <c r="GJ74" s="47"/>
      <c r="GK74" s="47"/>
      <c r="GL74" s="47"/>
      <c r="GM74" s="47"/>
      <c r="GN74" s="47"/>
      <c r="GO74" s="47"/>
      <c r="GP74" s="47"/>
      <c r="GQ74" s="47"/>
      <c r="GR74" s="47"/>
      <c r="GS74" s="47"/>
      <c r="GT74" s="47"/>
      <c r="GU74" s="47"/>
      <c r="GV74" s="47"/>
      <c r="GW74" s="47"/>
      <c r="GX74" s="47"/>
      <c r="GY74" s="47"/>
      <c r="GZ74" s="47"/>
      <c r="HA74" s="47"/>
      <c r="HB74" s="47"/>
      <c r="HC74" s="47"/>
      <c r="HD74" s="47"/>
      <c r="HE74" s="47"/>
      <c r="HF74" s="47"/>
      <c r="HG74" s="47"/>
      <c r="HH74" s="47"/>
      <c r="HI74" s="47"/>
      <c r="HJ74" s="47"/>
      <c r="HK74" s="47"/>
      <c r="HL74" s="47"/>
      <c r="HM74" s="47"/>
      <c r="HN74" s="47"/>
      <c r="HO74" s="47"/>
      <c r="HP74" s="47"/>
      <c r="HQ74" s="47"/>
      <c r="HR74" s="47"/>
      <c r="HS74" s="47"/>
      <c r="HT74" s="47"/>
      <c r="HU74" s="47"/>
      <c r="HV74" s="47"/>
      <c r="HW74" s="47"/>
      <c r="HX74" s="47"/>
      <c r="HY74" s="47"/>
      <c r="HZ74" s="47"/>
      <c r="IA74" s="47"/>
      <c r="IB74" s="47"/>
      <c r="IC74" s="47"/>
      <c r="ID74" s="47"/>
      <c r="IE74" s="47"/>
      <c r="IF74" s="47"/>
      <c r="IG74" s="47"/>
      <c r="IH74" s="47"/>
      <c r="II74" s="47"/>
      <c r="IJ74" s="47"/>
      <c r="IK74" s="47"/>
      <c r="IL74" s="47"/>
      <c r="IM74" s="47"/>
      <c r="IN74" s="47"/>
      <c r="IO74" s="47"/>
      <c r="IP74" s="47"/>
      <c r="IQ74" s="47"/>
      <c r="IR74" s="47"/>
      <c r="IS74" s="47"/>
      <c r="IT74" s="47"/>
      <c r="IU74" s="47"/>
      <c r="IV74" s="47"/>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D74" s="53">
        <v>0.04</v>
      </c>
      <c r="NE74" s="47">
        <v>81593.907930243033</v>
      </c>
      <c r="NF74" s="13">
        <v>0.36499999999999999</v>
      </c>
      <c r="NG74" s="1">
        <f>Combine!A76</f>
        <v>48161</v>
      </c>
      <c r="NH74" s="14">
        <f>Combine!F76</f>
        <v>171960.864100279</v>
      </c>
    </row>
    <row r="75" spans="1:372" ht="12.75" customHeight="1" x14ac:dyDescent="0.3">
      <c r="A75" s="59"/>
      <c r="D75" s="61"/>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c r="AW75" s="47"/>
      <c r="AX75" s="47"/>
      <c r="AY75" s="47"/>
      <c r="AZ75" s="47"/>
      <c r="BA75" s="47"/>
      <c r="BB75" s="47"/>
      <c r="BC75" s="47"/>
      <c r="BD75" s="47"/>
      <c r="BE75" s="47"/>
      <c r="BF75" s="47"/>
      <c r="BG75" s="47"/>
      <c r="BH75" s="47"/>
      <c r="BI75" s="47"/>
      <c r="BJ75" s="47"/>
      <c r="BK75" s="47"/>
      <c r="BL75" s="47"/>
      <c r="BM75" s="47"/>
      <c r="BN75" s="47"/>
      <c r="BO75" s="47"/>
      <c r="BP75" s="47"/>
      <c r="BQ75" s="47"/>
      <c r="BR75" s="47"/>
      <c r="BS75" s="47"/>
      <c r="BT75" s="47"/>
      <c r="BU75" s="47"/>
      <c r="BV75" s="47"/>
      <c r="BW75" s="47"/>
      <c r="BX75" s="47"/>
      <c r="BY75" s="47"/>
      <c r="BZ75" s="47"/>
      <c r="CA75" s="47"/>
      <c r="CB75" s="47"/>
      <c r="CC75" s="47"/>
      <c r="CD75" s="47"/>
      <c r="CE75" s="47"/>
      <c r="CF75" s="47"/>
      <c r="CG75" s="47"/>
      <c r="CH75" s="47"/>
      <c r="CI75" s="47"/>
      <c r="CJ75" s="47"/>
      <c r="CK75" s="47"/>
      <c r="CL75" s="47"/>
      <c r="CM75" s="47"/>
      <c r="CN75" s="47"/>
      <c r="CO75" s="47"/>
      <c r="CP75" s="47"/>
      <c r="CQ75" s="47"/>
      <c r="CR75" s="47"/>
      <c r="CS75" s="47"/>
      <c r="CT75" s="47"/>
      <c r="CU75" s="47"/>
      <c r="CV75" s="47"/>
      <c r="CW75" s="47"/>
      <c r="CX75" s="47"/>
      <c r="CY75" s="47"/>
      <c r="CZ75" s="47"/>
      <c r="DA75" s="47"/>
      <c r="DB75" s="47"/>
      <c r="DC75" s="47"/>
      <c r="DD75" s="47"/>
      <c r="DE75" s="47"/>
      <c r="DF75" s="47"/>
      <c r="DG75" s="47"/>
      <c r="DH75" s="47"/>
      <c r="DI75" s="47"/>
      <c r="DJ75" s="47"/>
      <c r="DK75" s="47"/>
      <c r="DL75" s="47"/>
      <c r="DM75" s="47"/>
      <c r="DN75" s="47"/>
      <c r="DO75" s="47"/>
      <c r="DP75" s="47"/>
      <c r="DQ75" s="47"/>
      <c r="DR75" s="47"/>
      <c r="DS75" s="47"/>
      <c r="DT75" s="47"/>
      <c r="DU75" s="47"/>
      <c r="DV75" s="47"/>
      <c r="DW75" s="47"/>
      <c r="DX75" s="47"/>
      <c r="DY75" s="47"/>
      <c r="DZ75" s="47"/>
      <c r="EA75" s="47"/>
      <c r="EB75" s="47"/>
      <c r="EC75" s="47"/>
      <c r="ED75" s="47"/>
      <c r="EE75" s="47"/>
      <c r="EF75" s="47"/>
      <c r="EG75" s="47"/>
      <c r="EH75" s="47"/>
      <c r="EI75" s="47"/>
      <c r="EJ75" s="47"/>
      <c r="EK75" s="47"/>
      <c r="EL75" s="47"/>
      <c r="EM75" s="47"/>
      <c r="EN75" s="47"/>
      <c r="EO75" s="47"/>
      <c r="EP75" s="47"/>
      <c r="EQ75" s="47"/>
      <c r="ER75" s="47"/>
      <c r="ES75" s="47"/>
      <c r="ET75" s="47"/>
      <c r="EU75" s="47"/>
      <c r="EV75" s="47"/>
      <c r="EW75" s="47"/>
      <c r="EX75" s="47"/>
      <c r="EY75" s="47"/>
      <c r="EZ75" s="47"/>
      <c r="FA75" s="47"/>
      <c r="FB75" s="47"/>
      <c r="FC75" s="47"/>
      <c r="FD75" s="47"/>
      <c r="FE75" s="47"/>
      <c r="FF75" s="47"/>
      <c r="FG75" s="47"/>
      <c r="FH75" s="47"/>
      <c r="FI75" s="47"/>
      <c r="FJ75" s="47"/>
      <c r="FK75" s="47"/>
      <c r="FL75" s="47"/>
      <c r="FM75" s="47"/>
      <c r="FN75" s="47"/>
      <c r="FO75" s="47"/>
      <c r="FP75" s="47"/>
      <c r="FQ75" s="47"/>
      <c r="FR75" s="47"/>
      <c r="FS75" s="47"/>
      <c r="FT75" s="47"/>
      <c r="FU75" s="47"/>
      <c r="FV75" s="47"/>
      <c r="FW75" s="47"/>
      <c r="FX75" s="47"/>
      <c r="FY75" s="47"/>
      <c r="FZ75" s="47"/>
      <c r="GA75" s="47"/>
      <c r="GB75" s="47"/>
      <c r="GC75" s="47"/>
      <c r="GD75" s="47"/>
      <c r="GE75" s="47"/>
      <c r="GF75" s="47"/>
      <c r="GG75" s="47"/>
      <c r="GH75" s="47"/>
      <c r="GI75" s="47"/>
      <c r="GJ75" s="47"/>
      <c r="GK75" s="47"/>
      <c r="GL75" s="47"/>
      <c r="GM75" s="47"/>
      <c r="GN75" s="47"/>
      <c r="GO75" s="47"/>
      <c r="GP75" s="47"/>
      <c r="GQ75" s="47"/>
      <c r="GR75" s="47"/>
      <c r="GS75" s="47"/>
      <c r="GT75" s="47"/>
      <c r="GU75" s="47"/>
      <c r="GV75" s="47"/>
      <c r="GW75" s="47"/>
      <c r="GX75" s="47"/>
      <c r="GY75" s="47"/>
      <c r="GZ75" s="47"/>
      <c r="HA75" s="47"/>
      <c r="HB75" s="47"/>
      <c r="HC75" s="47"/>
      <c r="HD75" s="47"/>
      <c r="HE75" s="47"/>
      <c r="HF75" s="47"/>
      <c r="HG75" s="47"/>
      <c r="HH75" s="47"/>
      <c r="HI75" s="47"/>
      <c r="HJ75" s="47"/>
      <c r="HK75" s="47"/>
      <c r="HL75" s="47"/>
      <c r="HM75" s="47"/>
      <c r="HN75" s="47"/>
      <c r="HO75" s="47"/>
      <c r="HP75" s="47"/>
      <c r="HQ75" s="47"/>
      <c r="HR75" s="47"/>
      <c r="HS75" s="47"/>
      <c r="HT75" s="47"/>
      <c r="HU75" s="47"/>
      <c r="HV75" s="47"/>
      <c r="HW75" s="47"/>
      <c r="HX75" s="47"/>
      <c r="HY75" s="47"/>
      <c r="HZ75" s="47"/>
      <c r="IA75" s="47"/>
      <c r="IB75" s="47"/>
      <c r="IC75" s="47"/>
      <c r="ID75" s="47"/>
      <c r="IE75" s="47"/>
      <c r="IF75" s="47"/>
      <c r="IG75" s="47"/>
      <c r="IH75" s="47"/>
      <c r="II75" s="47"/>
      <c r="IJ75" s="47"/>
      <c r="IK75" s="47"/>
      <c r="IL75" s="47"/>
      <c r="IM75" s="47"/>
      <c r="IN75" s="47"/>
      <c r="IO75" s="47"/>
      <c r="IP75" s="47"/>
      <c r="IQ75" s="47"/>
      <c r="IR75" s="47"/>
      <c r="IS75" s="47"/>
      <c r="IT75" s="47"/>
      <c r="IU75" s="47"/>
      <c r="IV75" s="47"/>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D75" s="53">
        <v>4.1000000000000002E-2</v>
      </c>
      <c r="NE75" s="47">
        <v>79628.147108333418</v>
      </c>
      <c r="NF75" s="13">
        <v>0.37</v>
      </c>
      <c r="NG75" s="1">
        <f>Combine!A77</f>
        <v>48085</v>
      </c>
      <c r="NH75" s="14">
        <f>Combine!F77</f>
        <v>390031.51114245597</v>
      </c>
    </row>
    <row r="76" spans="1:372" ht="12.75" customHeight="1" x14ac:dyDescent="0.3">
      <c r="A76" s="59"/>
      <c r="D76" s="61"/>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c r="AW76" s="47"/>
      <c r="AX76" s="47"/>
      <c r="AY76" s="47"/>
      <c r="AZ76" s="47"/>
      <c r="BA76" s="47"/>
      <c r="BB76" s="47"/>
      <c r="BC76" s="47"/>
      <c r="BD76" s="47"/>
      <c r="BE76" s="47"/>
      <c r="BF76" s="47"/>
      <c r="BG76" s="47"/>
      <c r="BH76" s="47"/>
      <c r="BI76" s="47"/>
      <c r="BJ76" s="47"/>
      <c r="BK76" s="47"/>
      <c r="BL76" s="47"/>
      <c r="BM76" s="47"/>
      <c r="BN76" s="47"/>
      <c r="BO76" s="47"/>
      <c r="BP76" s="47"/>
      <c r="BQ76" s="47"/>
      <c r="BR76" s="47"/>
      <c r="BS76" s="47"/>
      <c r="BT76" s="47"/>
      <c r="BU76" s="47"/>
      <c r="BV76" s="47"/>
      <c r="BW76" s="47"/>
      <c r="BX76" s="47"/>
      <c r="BY76" s="47"/>
      <c r="BZ76" s="47"/>
      <c r="CA76" s="47"/>
      <c r="CB76" s="47"/>
      <c r="CC76" s="47"/>
      <c r="CD76" s="47"/>
      <c r="CE76" s="47"/>
      <c r="CF76" s="47"/>
      <c r="CG76" s="47"/>
      <c r="CH76" s="47"/>
      <c r="CI76" s="47"/>
      <c r="CJ76" s="47"/>
      <c r="CK76" s="47"/>
      <c r="CL76" s="47"/>
      <c r="CM76" s="47"/>
      <c r="CN76" s="47"/>
      <c r="CO76" s="47"/>
      <c r="CP76" s="47"/>
      <c r="CQ76" s="47"/>
      <c r="CR76" s="47"/>
      <c r="CS76" s="47"/>
      <c r="CT76" s="47"/>
      <c r="CU76" s="47"/>
      <c r="CV76" s="47"/>
      <c r="CW76" s="47"/>
      <c r="CX76" s="47"/>
      <c r="CY76" s="47"/>
      <c r="CZ76" s="47"/>
      <c r="DA76" s="47"/>
      <c r="DB76" s="47"/>
      <c r="DC76" s="47"/>
      <c r="DD76" s="47"/>
      <c r="DE76" s="47"/>
      <c r="DF76" s="47"/>
      <c r="DG76" s="47"/>
      <c r="DH76" s="47"/>
      <c r="DI76" s="47"/>
      <c r="DJ76" s="47"/>
      <c r="DK76" s="47"/>
      <c r="DL76" s="47"/>
      <c r="DM76" s="47"/>
      <c r="DN76" s="47"/>
      <c r="DO76" s="47"/>
      <c r="DP76" s="47"/>
      <c r="DQ76" s="47"/>
      <c r="DR76" s="47"/>
      <c r="DS76" s="47"/>
      <c r="DT76" s="47"/>
      <c r="DU76" s="47"/>
      <c r="DV76" s="47"/>
      <c r="DW76" s="47"/>
      <c r="DX76" s="47"/>
      <c r="DY76" s="47"/>
      <c r="DZ76" s="47"/>
      <c r="EA76" s="47"/>
      <c r="EB76" s="47"/>
      <c r="EC76" s="47"/>
      <c r="ED76" s="47"/>
      <c r="EE76" s="47"/>
      <c r="EF76" s="47"/>
      <c r="EG76" s="47"/>
      <c r="EH76" s="47"/>
      <c r="EI76" s="47"/>
      <c r="EJ76" s="47"/>
      <c r="EK76" s="47"/>
      <c r="EL76" s="47"/>
      <c r="EM76" s="47"/>
      <c r="EN76" s="47"/>
      <c r="EO76" s="47"/>
      <c r="EP76" s="47"/>
      <c r="EQ76" s="47"/>
      <c r="ER76" s="47"/>
      <c r="ES76" s="47"/>
      <c r="ET76" s="47"/>
      <c r="EU76" s="47"/>
      <c r="EV76" s="47"/>
      <c r="EW76" s="47"/>
      <c r="EX76" s="47"/>
      <c r="EY76" s="47"/>
      <c r="EZ76" s="47"/>
      <c r="FA76" s="47"/>
      <c r="FB76" s="47"/>
      <c r="FC76" s="47"/>
      <c r="FD76" s="47"/>
      <c r="FE76" s="47"/>
      <c r="FF76" s="47"/>
      <c r="FG76" s="47"/>
      <c r="FH76" s="47"/>
      <c r="FI76" s="47"/>
      <c r="FJ76" s="47"/>
      <c r="FK76" s="47"/>
      <c r="FL76" s="47"/>
      <c r="FM76" s="47"/>
      <c r="FN76" s="47"/>
      <c r="FO76" s="47"/>
      <c r="FP76" s="47"/>
      <c r="FQ76" s="47"/>
      <c r="FR76" s="47"/>
      <c r="FS76" s="47"/>
      <c r="FT76" s="47"/>
      <c r="FU76" s="47"/>
      <c r="FV76" s="47"/>
      <c r="FW76" s="47"/>
      <c r="FX76" s="47"/>
      <c r="FY76" s="47"/>
      <c r="FZ76" s="47"/>
      <c r="GA76" s="47"/>
      <c r="GB76" s="47"/>
      <c r="GC76" s="47"/>
      <c r="GD76" s="47"/>
      <c r="GE76" s="47"/>
      <c r="GF76" s="47"/>
      <c r="GG76" s="47"/>
      <c r="GH76" s="47"/>
      <c r="GI76" s="47"/>
      <c r="GJ76" s="47"/>
      <c r="GK76" s="47"/>
      <c r="GL76" s="47"/>
      <c r="GM76" s="47"/>
      <c r="GN76" s="47"/>
      <c r="GO76" s="47"/>
      <c r="GP76" s="47"/>
      <c r="GQ76" s="47"/>
      <c r="GR76" s="47"/>
      <c r="GS76" s="47"/>
      <c r="GT76" s="47"/>
      <c r="GU76" s="47"/>
      <c r="GV76" s="47"/>
      <c r="GW76" s="47"/>
      <c r="GX76" s="47"/>
      <c r="GY76" s="47"/>
      <c r="GZ76" s="47"/>
      <c r="HA76" s="47"/>
      <c r="HB76" s="47"/>
      <c r="HC76" s="47"/>
      <c r="HD76" s="47"/>
      <c r="HE76" s="47"/>
      <c r="HF76" s="47"/>
      <c r="HG76" s="47"/>
      <c r="HH76" s="47"/>
      <c r="HI76" s="47"/>
      <c r="HJ76" s="47"/>
      <c r="HK76" s="47"/>
      <c r="HL76" s="47"/>
      <c r="HM76" s="47"/>
      <c r="HN76" s="47"/>
      <c r="HO76" s="47"/>
      <c r="HP76" s="47"/>
      <c r="HQ76" s="47"/>
      <c r="HR76" s="47"/>
      <c r="HS76" s="47"/>
      <c r="HT76" s="47"/>
      <c r="HU76" s="47"/>
      <c r="HV76" s="47"/>
      <c r="HW76" s="47"/>
      <c r="HX76" s="47"/>
      <c r="HY76" s="47"/>
      <c r="HZ76" s="47"/>
      <c r="IA76" s="47"/>
      <c r="IB76" s="47"/>
      <c r="IC76" s="47"/>
      <c r="ID76" s="47"/>
      <c r="IE76" s="47"/>
      <c r="IF76" s="47"/>
      <c r="IG76" s="47"/>
      <c r="IH76" s="47"/>
      <c r="II76" s="47"/>
      <c r="IJ76" s="47"/>
      <c r="IK76" s="47"/>
      <c r="IL76" s="47"/>
      <c r="IM76" s="47"/>
      <c r="IN76" s="47"/>
      <c r="IO76" s="47"/>
      <c r="IP76" s="47"/>
      <c r="IQ76" s="47"/>
      <c r="IR76" s="47"/>
      <c r="IS76" s="47"/>
      <c r="IT76" s="47"/>
      <c r="IU76" s="47"/>
      <c r="IV76" s="47"/>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D76" s="53">
        <v>4.2000000000000003E-2</v>
      </c>
      <c r="NE76" s="47">
        <v>77655.699636374411</v>
      </c>
      <c r="NF76" s="13">
        <v>0.375</v>
      </c>
      <c r="NG76" s="1">
        <f>Combine!A78</f>
        <v>48092</v>
      </c>
      <c r="NH76" s="14">
        <f>Combine!F78</f>
        <v>217057.556133153</v>
      </c>
    </row>
    <row r="77" spans="1:372" ht="12.75" customHeight="1" x14ac:dyDescent="0.3">
      <c r="A77" s="59"/>
      <c r="D77" s="61"/>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c r="AW77" s="47"/>
      <c r="AX77" s="47"/>
      <c r="AY77" s="47"/>
      <c r="AZ77" s="47"/>
      <c r="BA77" s="47"/>
      <c r="BB77" s="47"/>
      <c r="BC77" s="47"/>
      <c r="BD77" s="47"/>
      <c r="BE77" s="47"/>
      <c r="BF77" s="47"/>
      <c r="BG77" s="47"/>
      <c r="BH77" s="47"/>
      <c r="BI77" s="47"/>
      <c r="BJ77" s="47"/>
      <c r="BK77" s="47"/>
      <c r="BL77" s="47"/>
      <c r="BM77" s="47"/>
      <c r="BN77" s="47"/>
      <c r="BO77" s="47"/>
      <c r="BP77" s="47"/>
      <c r="BQ77" s="47"/>
      <c r="BR77" s="47"/>
      <c r="BS77" s="47"/>
      <c r="BT77" s="47"/>
      <c r="BU77" s="47"/>
      <c r="BV77" s="47"/>
      <c r="BW77" s="47"/>
      <c r="BX77" s="47"/>
      <c r="BY77" s="47"/>
      <c r="BZ77" s="47"/>
      <c r="CA77" s="47"/>
      <c r="CB77" s="47"/>
      <c r="CC77" s="47"/>
      <c r="CD77" s="47"/>
      <c r="CE77" s="47"/>
      <c r="CF77" s="47"/>
      <c r="CG77" s="47"/>
      <c r="CH77" s="47"/>
      <c r="CI77" s="47"/>
      <c r="CJ77" s="47"/>
      <c r="CK77" s="47"/>
      <c r="CL77" s="47"/>
      <c r="CM77" s="47"/>
      <c r="CN77" s="47"/>
      <c r="CO77" s="47"/>
      <c r="CP77" s="47"/>
      <c r="CQ77" s="47"/>
      <c r="CR77" s="47"/>
      <c r="CS77" s="47"/>
      <c r="CT77" s="47"/>
      <c r="CU77" s="47"/>
      <c r="CV77" s="47"/>
      <c r="CW77" s="47"/>
      <c r="CX77" s="47"/>
      <c r="CY77" s="47"/>
      <c r="CZ77" s="47"/>
      <c r="DA77" s="47"/>
      <c r="DB77" s="47"/>
      <c r="DC77" s="47"/>
      <c r="DD77" s="47"/>
      <c r="DE77" s="47"/>
      <c r="DF77" s="47"/>
      <c r="DG77" s="47"/>
      <c r="DH77" s="47"/>
      <c r="DI77" s="47"/>
      <c r="DJ77" s="47"/>
      <c r="DK77" s="47"/>
      <c r="DL77" s="47"/>
      <c r="DM77" s="47"/>
      <c r="DN77" s="47"/>
      <c r="DO77" s="47"/>
      <c r="DP77" s="47"/>
      <c r="DQ77" s="47"/>
      <c r="DR77" s="47"/>
      <c r="DS77" s="47"/>
      <c r="DT77" s="47"/>
      <c r="DU77" s="47"/>
      <c r="DV77" s="47"/>
      <c r="DW77" s="47"/>
      <c r="DX77" s="47"/>
      <c r="DY77" s="47"/>
      <c r="DZ77" s="47"/>
      <c r="EA77" s="47"/>
      <c r="EB77" s="47"/>
      <c r="EC77" s="47"/>
      <c r="ED77" s="47"/>
      <c r="EE77" s="47"/>
      <c r="EF77" s="47"/>
      <c r="EG77" s="47"/>
      <c r="EH77" s="47"/>
      <c r="EI77" s="47"/>
      <c r="EJ77" s="47"/>
      <c r="EK77" s="47"/>
      <c r="EL77" s="47"/>
      <c r="EM77" s="47"/>
      <c r="EN77" s="47"/>
      <c r="EO77" s="47"/>
      <c r="EP77" s="47"/>
      <c r="EQ77" s="47"/>
      <c r="ER77" s="47"/>
      <c r="ES77" s="47"/>
      <c r="ET77" s="47"/>
      <c r="EU77" s="47"/>
      <c r="EV77" s="47"/>
      <c r="EW77" s="47"/>
      <c r="EX77" s="47"/>
      <c r="EY77" s="47"/>
      <c r="EZ77" s="47"/>
      <c r="FA77" s="47"/>
      <c r="FB77" s="47"/>
      <c r="FC77" s="47"/>
      <c r="FD77" s="47"/>
      <c r="FE77" s="47"/>
      <c r="FF77" s="47"/>
      <c r="FG77" s="47"/>
      <c r="FH77" s="47"/>
      <c r="FI77" s="47"/>
      <c r="FJ77" s="47"/>
      <c r="FK77" s="47"/>
      <c r="FL77" s="47"/>
      <c r="FM77" s="47"/>
      <c r="FN77" s="47"/>
      <c r="FO77" s="47"/>
      <c r="FP77" s="47"/>
      <c r="FQ77" s="47"/>
      <c r="FR77" s="47"/>
      <c r="FS77" s="47"/>
      <c r="FT77" s="47"/>
      <c r="FU77" s="47"/>
      <c r="FV77" s="47"/>
      <c r="FW77" s="47"/>
      <c r="FX77" s="47"/>
      <c r="FY77" s="47"/>
      <c r="FZ77" s="47"/>
      <c r="GA77" s="47"/>
      <c r="GB77" s="47"/>
      <c r="GC77" s="47"/>
      <c r="GD77" s="47"/>
      <c r="GE77" s="47"/>
      <c r="GF77" s="47"/>
      <c r="GG77" s="47"/>
      <c r="GH77" s="47"/>
      <c r="GI77" s="47"/>
      <c r="GJ77" s="47"/>
      <c r="GK77" s="47"/>
      <c r="GL77" s="47"/>
      <c r="GM77" s="47"/>
      <c r="GN77" s="47"/>
      <c r="GO77" s="47"/>
      <c r="GP77" s="47"/>
      <c r="GQ77" s="47"/>
      <c r="GR77" s="47"/>
      <c r="GS77" s="47"/>
      <c r="GT77" s="47"/>
      <c r="GU77" s="47"/>
      <c r="GV77" s="47"/>
      <c r="GW77" s="47"/>
      <c r="GX77" s="47"/>
      <c r="GY77" s="47"/>
      <c r="GZ77" s="47"/>
      <c r="HA77" s="47"/>
      <c r="HB77" s="47"/>
      <c r="HC77" s="47"/>
      <c r="HD77" s="47"/>
      <c r="HE77" s="47"/>
      <c r="HF77" s="47"/>
      <c r="HG77" s="47"/>
      <c r="HH77" s="47"/>
      <c r="HI77" s="47"/>
      <c r="HJ77" s="47"/>
      <c r="HK77" s="47"/>
      <c r="HL77" s="47"/>
      <c r="HM77" s="47"/>
      <c r="HN77" s="47"/>
      <c r="HO77" s="47"/>
      <c r="HP77" s="47"/>
      <c r="HQ77" s="47"/>
      <c r="HR77" s="47"/>
      <c r="HS77" s="47"/>
      <c r="HT77" s="47"/>
      <c r="HU77" s="47"/>
      <c r="HV77" s="47"/>
      <c r="HW77" s="47"/>
      <c r="HX77" s="47"/>
      <c r="HY77" s="47"/>
      <c r="HZ77" s="47"/>
      <c r="IA77" s="47"/>
      <c r="IB77" s="47"/>
      <c r="IC77" s="47"/>
      <c r="ID77" s="47"/>
      <c r="IE77" s="47"/>
      <c r="IF77" s="47"/>
      <c r="IG77" s="47"/>
      <c r="IH77" s="47"/>
      <c r="II77" s="47"/>
      <c r="IJ77" s="47"/>
      <c r="IK77" s="47"/>
      <c r="IL77" s="47"/>
      <c r="IM77" s="47"/>
      <c r="IN77" s="47"/>
      <c r="IO77" s="47"/>
      <c r="IP77" s="47"/>
      <c r="IQ77" s="47"/>
      <c r="IR77" s="47"/>
      <c r="IS77" s="47"/>
      <c r="IT77" s="47"/>
      <c r="IU77" s="47"/>
      <c r="IV77" s="47"/>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D77" s="53">
        <v>4.2999999999999997E-2</v>
      </c>
      <c r="NE77" s="47">
        <v>75676.652432780902</v>
      </c>
      <c r="NF77" s="13">
        <v>0.38</v>
      </c>
      <c r="NG77" s="1">
        <f>Combine!A79</f>
        <v>48503</v>
      </c>
      <c r="NH77" s="14">
        <f>Combine!F79</f>
        <v>54398.477718802002</v>
      </c>
    </row>
    <row r="78" spans="1:372" ht="12.75" customHeight="1" x14ac:dyDescent="0.3">
      <c r="A78" s="59"/>
      <c r="D78" s="61"/>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c r="AW78" s="47"/>
      <c r="AX78" s="47"/>
      <c r="AY78" s="47"/>
      <c r="AZ78" s="47"/>
      <c r="BA78" s="47"/>
      <c r="BB78" s="47"/>
      <c r="BC78" s="47"/>
      <c r="BD78" s="47"/>
      <c r="BE78" s="47"/>
      <c r="BF78" s="47"/>
      <c r="BG78" s="47"/>
      <c r="BH78" s="47"/>
      <c r="BI78" s="47"/>
      <c r="BJ78" s="47"/>
      <c r="BK78" s="47"/>
      <c r="BL78" s="47"/>
      <c r="BM78" s="47"/>
      <c r="BN78" s="47"/>
      <c r="BO78" s="47"/>
      <c r="BP78" s="47"/>
      <c r="BQ78" s="47"/>
      <c r="BR78" s="47"/>
      <c r="BS78" s="47"/>
      <c r="BT78" s="47"/>
      <c r="BU78" s="47"/>
      <c r="BV78" s="47"/>
      <c r="BW78" s="47"/>
      <c r="BX78" s="47"/>
      <c r="BY78" s="47"/>
      <c r="BZ78" s="47"/>
      <c r="CA78" s="47"/>
      <c r="CB78" s="47"/>
      <c r="CC78" s="47"/>
      <c r="CD78" s="47"/>
      <c r="CE78" s="47"/>
      <c r="CF78" s="47"/>
      <c r="CG78" s="47"/>
      <c r="CH78" s="47"/>
      <c r="CI78" s="47"/>
      <c r="CJ78" s="47"/>
      <c r="CK78" s="47"/>
      <c r="CL78" s="47"/>
      <c r="CM78" s="47"/>
      <c r="CN78" s="47"/>
      <c r="CO78" s="47"/>
      <c r="CP78" s="47"/>
      <c r="CQ78" s="47"/>
      <c r="CR78" s="47"/>
      <c r="CS78" s="47"/>
      <c r="CT78" s="47"/>
      <c r="CU78" s="47"/>
      <c r="CV78" s="47"/>
      <c r="CW78" s="47"/>
      <c r="CX78" s="47"/>
      <c r="CY78" s="47"/>
      <c r="CZ78" s="47"/>
      <c r="DA78" s="47"/>
      <c r="DB78" s="47"/>
      <c r="DC78" s="47"/>
      <c r="DD78" s="47"/>
      <c r="DE78" s="47"/>
      <c r="DF78" s="47"/>
      <c r="DG78" s="47"/>
      <c r="DH78" s="47"/>
      <c r="DI78" s="47"/>
      <c r="DJ78" s="47"/>
      <c r="DK78" s="47"/>
      <c r="DL78" s="47"/>
      <c r="DM78" s="47"/>
      <c r="DN78" s="47"/>
      <c r="DO78" s="47"/>
      <c r="DP78" s="47"/>
      <c r="DQ78" s="47"/>
      <c r="DR78" s="47"/>
      <c r="DS78" s="47"/>
      <c r="DT78" s="47"/>
      <c r="DU78" s="47"/>
      <c r="DV78" s="47"/>
      <c r="DW78" s="47"/>
      <c r="DX78" s="47"/>
      <c r="DY78" s="47"/>
      <c r="DZ78" s="47"/>
      <c r="EA78" s="47"/>
      <c r="EB78" s="47"/>
      <c r="EC78" s="47"/>
      <c r="ED78" s="47"/>
      <c r="EE78" s="47"/>
      <c r="EF78" s="47"/>
      <c r="EG78" s="47"/>
      <c r="EH78" s="47"/>
      <c r="EI78" s="47"/>
      <c r="EJ78" s="47"/>
      <c r="EK78" s="47"/>
      <c r="EL78" s="47"/>
      <c r="EM78" s="47"/>
      <c r="EN78" s="47"/>
      <c r="EO78" s="47"/>
      <c r="EP78" s="47"/>
      <c r="EQ78" s="47"/>
      <c r="ER78" s="47"/>
      <c r="ES78" s="47"/>
      <c r="ET78" s="47"/>
      <c r="EU78" s="47"/>
      <c r="EV78" s="47"/>
      <c r="EW78" s="47"/>
      <c r="EX78" s="47"/>
      <c r="EY78" s="47"/>
      <c r="EZ78" s="47"/>
      <c r="FA78" s="47"/>
      <c r="FB78" s="47"/>
      <c r="FC78" s="47"/>
      <c r="FD78" s="47"/>
      <c r="FE78" s="47"/>
      <c r="FF78" s="47"/>
      <c r="FG78" s="47"/>
      <c r="FH78" s="47"/>
      <c r="FI78" s="47"/>
      <c r="FJ78" s="47"/>
      <c r="FK78" s="47"/>
      <c r="FL78" s="47"/>
      <c r="FM78" s="47"/>
      <c r="FN78" s="47"/>
      <c r="FO78" s="47"/>
      <c r="FP78" s="47"/>
      <c r="FQ78" s="47"/>
      <c r="FR78" s="47"/>
      <c r="FS78" s="47"/>
      <c r="FT78" s="47"/>
      <c r="FU78" s="47"/>
      <c r="FV78" s="47"/>
      <c r="FW78" s="47"/>
      <c r="FX78" s="47"/>
      <c r="FY78" s="47"/>
      <c r="FZ78" s="47"/>
      <c r="GA78" s="47"/>
      <c r="GB78" s="47"/>
      <c r="GC78" s="47"/>
      <c r="GD78" s="47"/>
      <c r="GE78" s="47"/>
      <c r="GF78" s="47"/>
      <c r="GG78" s="47"/>
      <c r="GH78" s="47"/>
      <c r="GI78" s="47"/>
      <c r="GJ78" s="47"/>
      <c r="GK78" s="47"/>
      <c r="GL78" s="47"/>
      <c r="GM78" s="47"/>
      <c r="GN78" s="47"/>
      <c r="GO78" s="47"/>
      <c r="GP78" s="47"/>
      <c r="GQ78" s="47"/>
      <c r="GR78" s="47"/>
      <c r="GS78" s="47"/>
      <c r="GT78" s="47"/>
      <c r="GU78" s="47"/>
      <c r="GV78" s="47"/>
      <c r="GW78" s="47"/>
      <c r="GX78" s="47"/>
      <c r="GY78" s="47"/>
      <c r="GZ78" s="47"/>
      <c r="HA78" s="47"/>
      <c r="HB78" s="47"/>
      <c r="HC78" s="47"/>
      <c r="HD78" s="47"/>
      <c r="HE78" s="47"/>
      <c r="HF78" s="47"/>
      <c r="HG78" s="47"/>
      <c r="HH78" s="47"/>
      <c r="HI78" s="47"/>
      <c r="HJ78" s="47"/>
      <c r="HK78" s="47"/>
      <c r="HL78" s="47"/>
      <c r="HM78" s="47"/>
      <c r="HN78" s="47"/>
      <c r="HO78" s="47"/>
      <c r="HP78" s="47"/>
      <c r="HQ78" s="47"/>
      <c r="HR78" s="47"/>
      <c r="HS78" s="47"/>
      <c r="HT78" s="47"/>
      <c r="HU78" s="47"/>
      <c r="HV78" s="47"/>
      <c r="HW78" s="47"/>
      <c r="HX78" s="47"/>
      <c r="HY78" s="47"/>
      <c r="HZ78" s="47"/>
      <c r="IA78" s="47"/>
      <c r="IB78" s="47"/>
      <c r="IC78" s="47"/>
      <c r="ID78" s="47"/>
      <c r="IE78" s="47"/>
      <c r="IF78" s="47"/>
      <c r="IG78" s="47"/>
      <c r="IH78" s="47"/>
      <c r="II78" s="47"/>
      <c r="IJ78" s="47"/>
      <c r="IK78" s="47"/>
      <c r="IL78" s="47"/>
      <c r="IM78" s="47"/>
      <c r="IN78" s="47"/>
      <c r="IO78" s="47"/>
      <c r="IP78" s="47"/>
      <c r="IQ78" s="47"/>
      <c r="IR78" s="47"/>
      <c r="IS78" s="47"/>
      <c r="IT78" s="47"/>
      <c r="IU78" s="47"/>
      <c r="IV78" s="47"/>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D78" s="53">
        <v>4.3999999999999997E-2</v>
      </c>
      <c r="NE78" s="47">
        <v>73691.092546746222</v>
      </c>
      <c r="NF78" s="13">
        <v>0.38500000000000001</v>
      </c>
      <c r="NG78" s="1">
        <f>Combine!A80</f>
        <v>48238</v>
      </c>
      <c r="NH78" s="14">
        <f>Combine!F80</f>
        <v>42809.804725090398</v>
      </c>
    </row>
    <row r="79" spans="1:372" ht="12.75" customHeight="1" x14ac:dyDescent="0.3">
      <c r="A79" s="59"/>
      <c r="D79" s="61"/>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c r="AW79" s="47"/>
      <c r="AX79" s="47"/>
      <c r="AY79" s="47"/>
      <c r="AZ79" s="47"/>
      <c r="BA79" s="47"/>
      <c r="BB79" s="47"/>
      <c r="BC79" s="47"/>
      <c r="BD79" s="47"/>
      <c r="BE79" s="47"/>
      <c r="BF79" s="47"/>
      <c r="BG79" s="47"/>
      <c r="BH79" s="47"/>
      <c r="BI79" s="47"/>
      <c r="BJ79" s="47"/>
      <c r="BK79" s="47"/>
      <c r="BL79" s="47"/>
      <c r="BM79" s="47"/>
      <c r="BN79" s="47"/>
      <c r="BO79" s="47"/>
      <c r="BP79" s="47"/>
      <c r="BQ79" s="47"/>
      <c r="BR79" s="47"/>
      <c r="BS79" s="47"/>
      <c r="BT79" s="47"/>
      <c r="BU79" s="47"/>
      <c r="BV79" s="47"/>
      <c r="BW79" s="47"/>
      <c r="BX79" s="47"/>
      <c r="BY79" s="47"/>
      <c r="BZ79" s="47"/>
      <c r="CA79" s="47"/>
      <c r="CB79" s="47"/>
      <c r="CC79" s="47"/>
      <c r="CD79" s="47"/>
      <c r="CE79" s="47"/>
      <c r="CF79" s="47"/>
      <c r="CG79" s="47"/>
      <c r="CH79" s="47"/>
      <c r="CI79" s="47"/>
      <c r="CJ79" s="47"/>
      <c r="CK79" s="47"/>
      <c r="CL79" s="47"/>
      <c r="CM79" s="47"/>
      <c r="CN79" s="47"/>
      <c r="CO79" s="47"/>
      <c r="CP79" s="47"/>
      <c r="CQ79" s="47"/>
      <c r="CR79" s="47"/>
      <c r="CS79" s="47"/>
      <c r="CT79" s="47"/>
      <c r="CU79" s="47"/>
      <c r="CV79" s="47"/>
      <c r="CW79" s="47"/>
      <c r="CX79" s="47"/>
      <c r="CY79" s="47"/>
      <c r="CZ79" s="47"/>
      <c r="DA79" s="47"/>
      <c r="DB79" s="47"/>
      <c r="DC79" s="47"/>
      <c r="DD79" s="47"/>
      <c r="DE79" s="47"/>
      <c r="DF79" s="47"/>
      <c r="DG79" s="47"/>
      <c r="DH79" s="47"/>
      <c r="DI79" s="47"/>
      <c r="DJ79" s="47"/>
      <c r="DK79" s="47"/>
      <c r="DL79" s="47"/>
      <c r="DM79" s="47"/>
      <c r="DN79" s="47"/>
      <c r="DO79" s="47"/>
      <c r="DP79" s="47"/>
      <c r="DQ79" s="47"/>
      <c r="DR79" s="47"/>
      <c r="DS79" s="47"/>
      <c r="DT79" s="47"/>
      <c r="DU79" s="47"/>
      <c r="DV79" s="47"/>
      <c r="DW79" s="47"/>
      <c r="DX79" s="47"/>
      <c r="DY79" s="47"/>
      <c r="DZ79" s="47"/>
      <c r="EA79" s="47"/>
      <c r="EB79" s="47"/>
      <c r="EC79" s="47"/>
      <c r="ED79" s="47"/>
      <c r="EE79" s="47"/>
      <c r="EF79" s="47"/>
      <c r="EG79" s="47"/>
      <c r="EH79" s="47"/>
      <c r="EI79" s="47"/>
      <c r="EJ79" s="47"/>
      <c r="EK79" s="47"/>
      <c r="EL79" s="47"/>
      <c r="EM79" s="47"/>
      <c r="EN79" s="47"/>
      <c r="EO79" s="47"/>
      <c r="EP79" s="47"/>
      <c r="EQ79" s="47"/>
      <c r="ER79" s="47"/>
      <c r="ES79" s="47"/>
      <c r="ET79" s="47"/>
      <c r="EU79" s="47"/>
      <c r="EV79" s="47"/>
      <c r="EW79" s="47"/>
      <c r="EX79" s="47"/>
      <c r="EY79" s="47"/>
      <c r="EZ79" s="47"/>
      <c r="FA79" s="47"/>
      <c r="FB79" s="47"/>
      <c r="FC79" s="47"/>
      <c r="FD79" s="47"/>
      <c r="FE79" s="47"/>
      <c r="FF79" s="47"/>
      <c r="FG79" s="47"/>
      <c r="FH79" s="47"/>
      <c r="FI79" s="47"/>
      <c r="FJ79" s="47"/>
      <c r="FK79" s="47"/>
      <c r="FL79" s="47"/>
      <c r="FM79" s="47"/>
      <c r="FN79" s="47"/>
      <c r="FO79" s="47"/>
      <c r="FP79" s="47"/>
      <c r="FQ79" s="47"/>
      <c r="FR79" s="47"/>
      <c r="FS79" s="47"/>
      <c r="FT79" s="47"/>
      <c r="FU79" s="47"/>
      <c r="FV79" s="47"/>
      <c r="FW79" s="47"/>
      <c r="FX79" s="47"/>
      <c r="FY79" s="47"/>
      <c r="FZ79" s="47"/>
      <c r="GA79" s="47"/>
      <c r="GB79" s="47"/>
      <c r="GC79" s="47"/>
      <c r="GD79" s="47"/>
      <c r="GE79" s="47"/>
      <c r="GF79" s="47"/>
      <c r="GG79" s="47"/>
      <c r="GH79" s="47"/>
      <c r="GI79" s="47"/>
      <c r="GJ79" s="47"/>
      <c r="GK79" s="47"/>
      <c r="GL79" s="47"/>
      <c r="GM79" s="47"/>
      <c r="GN79" s="47"/>
      <c r="GO79" s="47"/>
      <c r="GP79" s="47"/>
      <c r="GQ79" s="47"/>
      <c r="GR79" s="47"/>
      <c r="GS79" s="47"/>
      <c r="GT79" s="47"/>
      <c r="GU79" s="47"/>
      <c r="GV79" s="47"/>
      <c r="GW79" s="47"/>
      <c r="GX79" s="47"/>
      <c r="GY79" s="47"/>
      <c r="GZ79" s="47"/>
      <c r="HA79" s="47"/>
      <c r="HB79" s="47"/>
      <c r="HC79" s="47"/>
      <c r="HD79" s="47"/>
      <c r="HE79" s="47"/>
      <c r="HF79" s="47"/>
      <c r="HG79" s="47"/>
      <c r="HH79" s="47"/>
      <c r="HI79" s="47"/>
      <c r="HJ79" s="47"/>
      <c r="HK79" s="47"/>
      <c r="HL79" s="47"/>
      <c r="HM79" s="47"/>
      <c r="HN79" s="47"/>
      <c r="HO79" s="47"/>
      <c r="HP79" s="47"/>
      <c r="HQ79" s="47"/>
      <c r="HR79" s="47"/>
      <c r="HS79" s="47"/>
      <c r="HT79" s="47"/>
      <c r="HU79" s="47"/>
      <c r="HV79" s="47"/>
      <c r="HW79" s="47"/>
      <c r="HX79" s="47"/>
      <c r="HY79" s="47"/>
      <c r="HZ79" s="47"/>
      <c r="IA79" s="47"/>
      <c r="IB79" s="47"/>
      <c r="IC79" s="47"/>
      <c r="ID79" s="47"/>
      <c r="IE79" s="47"/>
      <c r="IF79" s="47"/>
      <c r="IG79" s="47"/>
      <c r="IH79" s="47"/>
      <c r="II79" s="47"/>
      <c r="IJ79" s="47"/>
      <c r="IK79" s="47"/>
      <c r="IL79" s="47"/>
      <c r="IM79" s="47"/>
      <c r="IN79" s="47"/>
      <c r="IO79" s="47"/>
      <c r="IP79" s="47"/>
      <c r="IQ79" s="47"/>
      <c r="IR79" s="47"/>
      <c r="IS79" s="47"/>
      <c r="IT79" s="47"/>
      <c r="IU79" s="47"/>
      <c r="IV79" s="47"/>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D79" s="53">
        <v>4.4999999999999901E-2</v>
      </c>
      <c r="NE79" s="47">
        <v>71699.107123599708</v>
      </c>
      <c r="NF79" s="13">
        <v>0.39</v>
      </c>
      <c r="NG79" s="1">
        <f>Combine!A81</f>
        <v>48340</v>
      </c>
      <c r="NH79" s="14">
        <f>Combine!F81</f>
        <v>106003.16061858099</v>
      </c>
    </row>
    <row r="80" spans="1:372" ht="12.75" customHeight="1" x14ac:dyDescent="0.3">
      <c r="A80" s="59"/>
      <c r="D80" s="61"/>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7"/>
      <c r="CA80" s="47"/>
      <c r="CB80" s="47"/>
      <c r="CC80" s="47"/>
      <c r="CD80" s="47"/>
      <c r="CE80" s="47"/>
      <c r="CF80" s="47"/>
      <c r="CG80" s="47"/>
      <c r="CH80" s="47"/>
      <c r="CI80" s="47"/>
      <c r="CJ80" s="47"/>
      <c r="CK80" s="47"/>
      <c r="CL80" s="47"/>
      <c r="CM80" s="47"/>
      <c r="CN80" s="47"/>
      <c r="CO80" s="47"/>
      <c r="CP80" s="47"/>
      <c r="CQ80" s="47"/>
      <c r="CR80" s="47"/>
      <c r="CS80" s="47"/>
      <c r="CT80" s="47"/>
      <c r="CU80" s="47"/>
      <c r="CV80" s="47"/>
      <c r="CW80" s="47"/>
      <c r="CX80" s="47"/>
      <c r="CY80" s="47"/>
      <c r="CZ80" s="47"/>
      <c r="DA80" s="47"/>
      <c r="DB80" s="47"/>
      <c r="DC80" s="47"/>
      <c r="DD80" s="47"/>
      <c r="DE80" s="47"/>
      <c r="DF80" s="47"/>
      <c r="DG80" s="47"/>
      <c r="DH80" s="47"/>
      <c r="DI80" s="47"/>
      <c r="DJ80" s="47"/>
      <c r="DK80" s="47"/>
      <c r="DL80" s="47"/>
      <c r="DM80" s="47"/>
      <c r="DN80" s="47"/>
      <c r="DO80" s="47"/>
      <c r="DP80" s="47"/>
      <c r="DQ80" s="47"/>
      <c r="DR80" s="47"/>
      <c r="DS80" s="47"/>
      <c r="DT80" s="47"/>
      <c r="DU80" s="47"/>
      <c r="DV80" s="47"/>
      <c r="DW80" s="47"/>
      <c r="DX80" s="47"/>
      <c r="DY80" s="47"/>
      <c r="DZ80" s="47"/>
      <c r="EA80" s="47"/>
      <c r="EB80" s="47"/>
      <c r="EC80" s="47"/>
      <c r="ED80" s="47"/>
      <c r="EE80" s="47"/>
      <c r="EF80" s="47"/>
      <c r="EG80" s="47"/>
      <c r="EH80" s="47"/>
      <c r="EI80" s="47"/>
      <c r="EJ80" s="47"/>
      <c r="EK80" s="47"/>
      <c r="EL80" s="47"/>
      <c r="EM80" s="47"/>
      <c r="EN80" s="47"/>
      <c r="EO80" s="47"/>
      <c r="EP80" s="47"/>
      <c r="EQ80" s="47"/>
      <c r="ER80" s="47"/>
      <c r="ES80" s="47"/>
      <c r="ET80" s="47"/>
      <c r="EU80" s="47"/>
      <c r="EV80" s="47"/>
      <c r="EW80" s="47"/>
      <c r="EX80" s="47"/>
      <c r="EY80" s="47"/>
      <c r="EZ80" s="47"/>
      <c r="FA80" s="47"/>
      <c r="FB80" s="47"/>
      <c r="FC80" s="47"/>
      <c r="FD80" s="47"/>
      <c r="FE80" s="47"/>
      <c r="FF80" s="47"/>
      <c r="FG80" s="47"/>
      <c r="FH80" s="47"/>
      <c r="FI80" s="47"/>
      <c r="FJ80" s="47"/>
      <c r="FK80" s="47"/>
      <c r="FL80" s="47"/>
      <c r="FM80" s="47"/>
      <c r="FN80" s="47"/>
      <c r="FO80" s="47"/>
      <c r="FP80" s="47"/>
      <c r="FQ80" s="47"/>
      <c r="FR80" s="47"/>
      <c r="FS80" s="47"/>
      <c r="FT80" s="47"/>
      <c r="FU80" s="47"/>
      <c r="FV80" s="47"/>
      <c r="FW80" s="47"/>
      <c r="FX80" s="47"/>
      <c r="FY80" s="47"/>
      <c r="FZ80" s="47"/>
      <c r="GA80" s="47"/>
      <c r="GB80" s="47"/>
      <c r="GC80" s="47"/>
      <c r="GD80" s="47"/>
      <c r="GE80" s="47"/>
      <c r="GF80" s="47"/>
      <c r="GG80" s="47"/>
      <c r="GH80" s="47"/>
      <c r="GI80" s="47"/>
      <c r="GJ80" s="47"/>
      <c r="GK80" s="47"/>
      <c r="GL80" s="47"/>
      <c r="GM80" s="47"/>
      <c r="GN80" s="47"/>
      <c r="GO80" s="47"/>
      <c r="GP80" s="47"/>
      <c r="GQ80" s="47"/>
      <c r="GR80" s="47"/>
      <c r="GS80" s="47"/>
      <c r="GT80" s="47"/>
      <c r="GU80" s="47"/>
      <c r="GV80" s="47"/>
      <c r="GW80" s="47"/>
      <c r="GX80" s="47"/>
      <c r="GY80" s="47"/>
      <c r="GZ80" s="47"/>
      <c r="HA80" s="47"/>
      <c r="HB80" s="47"/>
      <c r="HC80" s="47"/>
      <c r="HD80" s="47"/>
      <c r="HE80" s="47"/>
      <c r="HF80" s="47"/>
      <c r="HG80" s="47"/>
      <c r="HH80" s="47"/>
      <c r="HI80" s="47"/>
      <c r="HJ80" s="47"/>
      <c r="HK80" s="47"/>
      <c r="HL80" s="47"/>
      <c r="HM80" s="47"/>
      <c r="HN80" s="47"/>
      <c r="HO80" s="47"/>
      <c r="HP80" s="47"/>
      <c r="HQ80" s="47"/>
      <c r="HR80" s="47"/>
      <c r="HS80" s="47"/>
      <c r="HT80" s="47"/>
      <c r="HU80" s="47"/>
      <c r="HV80" s="47"/>
      <c r="HW80" s="47"/>
      <c r="HX80" s="47"/>
      <c r="HY80" s="47"/>
      <c r="HZ80" s="47"/>
      <c r="IA80" s="47"/>
      <c r="IB80" s="47"/>
      <c r="IC80" s="47"/>
      <c r="ID80" s="47"/>
      <c r="IE80" s="47"/>
      <c r="IF80" s="47"/>
      <c r="IG80" s="47"/>
      <c r="IH80" s="47"/>
      <c r="II80" s="47"/>
      <c r="IJ80" s="47"/>
      <c r="IK80" s="47"/>
      <c r="IL80" s="47"/>
      <c r="IM80" s="47"/>
      <c r="IN80" s="47"/>
      <c r="IO80" s="47"/>
      <c r="IP80" s="47"/>
      <c r="IQ80" s="47"/>
      <c r="IR80" s="47"/>
      <c r="IS80" s="47"/>
      <c r="IT80" s="47"/>
      <c r="IU80" s="47"/>
      <c r="IV80" s="47"/>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D80" s="53">
        <v>4.5999999999999902E-2</v>
      </c>
      <c r="NE80" s="47">
        <v>69700.783370562945</v>
      </c>
      <c r="NF80" s="13">
        <v>0.39500000000000002</v>
      </c>
      <c r="NG80" s="1">
        <f>Combine!A82</f>
        <v>48336</v>
      </c>
      <c r="NH80" s="14">
        <f>Combine!F82</f>
        <v>263635.78904095403</v>
      </c>
    </row>
    <row r="81" spans="1:372" ht="12.75" customHeight="1" x14ac:dyDescent="0.3">
      <c r="A81" s="59"/>
      <c r="D81" s="61"/>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c r="AW81" s="47"/>
      <c r="AX81" s="47"/>
      <c r="AY81" s="47"/>
      <c r="AZ81" s="47"/>
      <c r="BA81" s="47"/>
      <c r="BB81" s="47"/>
      <c r="BC81" s="47"/>
      <c r="BD81" s="47"/>
      <c r="BE81" s="47"/>
      <c r="BF81" s="47"/>
      <c r="BG81" s="47"/>
      <c r="BH81" s="47"/>
      <c r="BI81" s="47"/>
      <c r="BJ81" s="47"/>
      <c r="BK81" s="47"/>
      <c r="BL81" s="47"/>
      <c r="BM81" s="47"/>
      <c r="BN81" s="47"/>
      <c r="BO81" s="47"/>
      <c r="BP81" s="47"/>
      <c r="BQ81" s="47"/>
      <c r="BR81" s="47"/>
      <c r="BS81" s="47"/>
      <c r="BT81" s="47"/>
      <c r="BU81" s="47"/>
      <c r="BV81" s="47"/>
      <c r="BW81" s="47"/>
      <c r="BX81" s="47"/>
      <c r="BY81" s="47"/>
      <c r="BZ81" s="47"/>
      <c r="CA81" s="47"/>
      <c r="CB81" s="47"/>
      <c r="CC81" s="47"/>
      <c r="CD81" s="47"/>
      <c r="CE81" s="47"/>
      <c r="CF81" s="47"/>
      <c r="CG81" s="47"/>
      <c r="CH81" s="47"/>
      <c r="CI81" s="47"/>
      <c r="CJ81" s="47"/>
      <c r="CK81" s="47"/>
      <c r="CL81" s="47"/>
      <c r="CM81" s="47"/>
      <c r="CN81" s="47"/>
      <c r="CO81" s="47"/>
      <c r="CP81" s="47"/>
      <c r="CQ81" s="47"/>
      <c r="CR81" s="47"/>
      <c r="CS81" s="47"/>
      <c r="CT81" s="47"/>
      <c r="CU81" s="47"/>
      <c r="CV81" s="47"/>
      <c r="CW81" s="47"/>
      <c r="CX81" s="47"/>
      <c r="CY81" s="47"/>
      <c r="CZ81" s="47"/>
      <c r="DA81" s="47"/>
      <c r="DB81" s="47"/>
      <c r="DC81" s="47"/>
      <c r="DD81" s="47"/>
      <c r="DE81" s="47"/>
      <c r="DF81" s="47"/>
      <c r="DG81" s="47"/>
      <c r="DH81" s="47"/>
      <c r="DI81" s="47"/>
      <c r="DJ81" s="47"/>
      <c r="DK81" s="47"/>
      <c r="DL81" s="47"/>
      <c r="DM81" s="47"/>
      <c r="DN81" s="47"/>
      <c r="DO81" s="47"/>
      <c r="DP81" s="47"/>
      <c r="DQ81" s="47"/>
      <c r="DR81" s="47"/>
      <c r="DS81" s="47"/>
      <c r="DT81" s="47"/>
      <c r="DU81" s="47"/>
      <c r="DV81" s="47"/>
      <c r="DW81" s="47"/>
      <c r="DX81" s="47"/>
      <c r="DY81" s="47"/>
      <c r="DZ81" s="47"/>
      <c r="EA81" s="47"/>
      <c r="EB81" s="47"/>
      <c r="EC81" s="47"/>
      <c r="ED81" s="47"/>
      <c r="EE81" s="47"/>
      <c r="EF81" s="47"/>
      <c r="EG81" s="47"/>
      <c r="EH81" s="47"/>
      <c r="EI81" s="47"/>
      <c r="EJ81" s="47"/>
      <c r="EK81" s="47"/>
      <c r="EL81" s="47"/>
      <c r="EM81" s="47"/>
      <c r="EN81" s="47"/>
      <c r="EO81" s="47"/>
      <c r="EP81" s="47"/>
      <c r="EQ81" s="47"/>
      <c r="ER81" s="47"/>
      <c r="ES81" s="47"/>
      <c r="ET81" s="47"/>
      <c r="EU81" s="47"/>
      <c r="EV81" s="47"/>
      <c r="EW81" s="47"/>
      <c r="EX81" s="47"/>
      <c r="EY81" s="47"/>
      <c r="EZ81" s="47"/>
      <c r="FA81" s="47"/>
      <c r="FB81" s="47"/>
      <c r="FC81" s="47"/>
      <c r="FD81" s="47"/>
      <c r="FE81" s="47"/>
      <c r="FF81" s="47"/>
      <c r="FG81" s="47"/>
      <c r="FH81" s="47"/>
      <c r="FI81" s="47"/>
      <c r="FJ81" s="47"/>
      <c r="FK81" s="47"/>
      <c r="FL81" s="47"/>
      <c r="FM81" s="47"/>
      <c r="FN81" s="47"/>
      <c r="FO81" s="47"/>
      <c r="FP81" s="47"/>
      <c r="FQ81" s="47"/>
      <c r="FR81" s="47"/>
      <c r="FS81" s="47"/>
      <c r="FT81" s="47"/>
      <c r="FU81" s="47"/>
      <c r="FV81" s="47"/>
      <c r="FW81" s="47"/>
      <c r="FX81" s="47"/>
      <c r="FY81" s="47"/>
      <c r="FZ81" s="47"/>
      <c r="GA81" s="47"/>
      <c r="GB81" s="47"/>
      <c r="GC81" s="47"/>
      <c r="GD81" s="47"/>
      <c r="GE81" s="47"/>
      <c r="GF81" s="47"/>
      <c r="GG81" s="47"/>
      <c r="GH81" s="47"/>
      <c r="GI81" s="47"/>
      <c r="GJ81" s="47"/>
      <c r="GK81" s="47"/>
      <c r="GL81" s="47"/>
      <c r="GM81" s="47"/>
      <c r="GN81" s="47"/>
      <c r="GO81" s="47"/>
      <c r="GP81" s="47"/>
      <c r="GQ81" s="47"/>
      <c r="GR81" s="47"/>
      <c r="GS81" s="47"/>
      <c r="GT81" s="47"/>
      <c r="GU81" s="47"/>
      <c r="GV81" s="47"/>
      <c r="GW81" s="47"/>
      <c r="GX81" s="47"/>
      <c r="GY81" s="47"/>
      <c r="GZ81" s="47"/>
      <c r="HA81" s="47"/>
      <c r="HB81" s="47"/>
      <c r="HC81" s="47"/>
      <c r="HD81" s="47"/>
      <c r="HE81" s="47"/>
      <c r="HF81" s="47"/>
      <c r="HG81" s="47"/>
      <c r="HH81" s="47"/>
      <c r="HI81" s="47"/>
      <c r="HJ81" s="47"/>
      <c r="HK81" s="47"/>
      <c r="HL81" s="47"/>
      <c r="HM81" s="47"/>
      <c r="HN81" s="47"/>
      <c r="HO81" s="47"/>
      <c r="HP81" s="47"/>
      <c r="HQ81" s="47"/>
      <c r="HR81" s="47"/>
      <c r="HS81" s="47"/>
      <c r="HT81" s="47"/>
      <c r="HU81" s="47"/>
      <c r="HV81" s="47"/>
      <c r="HW81" s="47"/>
      <c r="HX81" s="47"/>
      <c r="HY81" s="47"/>
      <c r="HZ81" s="47"/>
      <c r="IA81" s="47"/>
      <c r="IB81" s="47"/>
      <c r="IC81" s="47"/>
      <c r="ID81" s="47"/>
      <c r="IE81" s="47"/>
      <c r="IF81" s="47"/>
      <c r="IG81" s="47"/>
      <c r="IH81" s="47"/>
      <c r="II81" s="47"/>
      <c r="IJ81" s="47"/>
      <c r="IK81" s="47"/>
      <c r="IL81" s="47"/>
      <c r="IM81" s="47"/>
      <c r="IN81" s="47"/>
      <c r="IO81" s="47"/>
      <c r="IP81" s="47"/>
      <c r="IQ81" s="47"/>
      <c r="IR81" s="47"/>
      <c r="IS81" s="47"/>
      <c r="IT81" s="47"/>
      <c r="IU81" s="47"/>
      <c r="IV81" s="47"/>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D81" s="53">
        <v>4.6999999999999903E-2</v>
      </c>
      <c r="NE81" s="47">
        <v>67696.208522927918</v>
      </c>
      <c r="NF81" s="13">
        <v>0.4</v>
      </c>
      <c r="NG81" s="1">
        <f>Combine!A83</f>
        <v>48076</v>
      </c>
      <c r="NH81" s="14">
        <f>Combine!F83</f>
        <v>266985.27904510102</v>
      </c>
    </row>
    <row r="82" spans="1:372" ht="12.75" customHeight="1" x14ac:dyDescent="0.3">
      <c r="A82" s="59"/>
      <c r="D82" s="61"/>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c r="AW82" s="47"/>
      <c r="AX82" s="47"/>
      <c r="AY82" s="47"/>
      <c r="AZ82" s="47"/>
      <c r="BA82" s="47"/>
      <c r="BB82" s="47"/>
      <c r="BC82" s="47"/>
      <c r="BD82" s="47"/>
      <c r="BE82" s="47"/>
      <c r="BF82" s="47"/>
      <c r="BG82" s="47"/>
      <c r="BH82" s="47"/>
      <c r="BI82" s="47"/>
      <c r="BJ82" s="47"/>
      <c r="BK82" s="47"/>
      <c r="BL82" s="47"/>
      <c r="BM82" s="47"/>
      <c r="BN82" s="47"/>
      <c r="BO82" s="47"/>
      <c r="BP82" s="47"/>
      <c r="BQ82" s="47"/>
      <c r="BR82" s="47"/>
      <c r="BS82" s="47"/>
      <c r="BT82" s="47"/>
      <c r="BU82" s="47"/>
      <c r="BV82" s="47"/>
      <c r="BW82" s="47"/>
      <c r="BX82" s="47"/>
      <c r="BY82" s="47"/>
      <c r="BZ82" s="47"/>
      <c r="CA82" s="47"/>
      <c r="CB82" s="47"/>
      <c r="CC82" s="47"/>
      <c r="CD82" s="47"/>
      <c r="CE82" s="47"/>
      <c r="CF82" s="47"/>
      <c r="CG82" s="47"/>
      <c r="CH82" s="47"/>
      <c r="CI82" s="47"/>
      <c r="CJ82" s="47"/>
      <c r="CK82" s="47"/>
      <c r="CL82" s="47"/>
      <c r="CM82" s="47"/>
      <c r="CN82" s="47"/>
      <c r="CO82" s="47"/>
      <c r="CP82" s="47"/>
      <c r="CQ82" s="47"/>
      <c r="CR82" s="47"/>
      <c r="CS82" s="47"/>
      <c r="CT82" s="47"/>
      <c r="CU82" s="47"/>
      <c r="CV82" s="47"/>
      <c r="CW82" s="47"/>
      <c r="CX82" s="47"/>
      <c r="CY82" s="47"/>
      <c r="CZ82" s="47"/>
      <c r="DA82" s="47"/>
      <c r="DB82" s="47"/>
      <c r="DC82" s="47"/>
      <c r="DD82" s="47"/>
      <c r="DE82" s="47"/>
      <c r="DF82" s="47"/>
      <c r="DG82" s="47"/>
      <c r="DH82" s="47"/>
      <c r="DI82" s="47"/>
      <c r="DJ82" s="47"/>
      <c r="DK82" s="47"/>
      <c r="DL82" s="47"/>
      <c r="DM82" s="47"/>
      <c r="DN82" s="47"/>
      <c r="DO82" s="47"/>
      <c r="DP82" s="47"/>
      <c r="DQ82" s="47"/>
      <c r="DR82" s="47"/>
      <c r="DS82" s="47"/>
      <c r="DT82" s="47"/>
      <c r="DU82" s="47"/>
      <c r="DV82" s="47"/>
      <c r="DW82" s="47"/>
      <c r="DX82" s="47"/>
      <c r="DY82" s="47"/>
      <c r="DZ82" s="47"/>
      <c r="EA82" s="47"/>
      <c r="EB82" s="47"/>
      <c r="EC82" s="47"/>
      <c r="ED82" s="47"/>
      <c r="EE82" s="47"/>
      <c r="EF82" s="47"/>
      <c r="EG82" s="47"/>
      <c r="EH82" s="47"/>
      <c r="EI82" s="47"/>
      <c r="EJ82" s="47"/>
      <c r="EK82" s="47"/>
      <c r="EL82" s="47"/>
      <c r="EM82" s="47"/>
      <c r="EN82" s="47"/>
      <c r="EO82" s="47"/>
      <c r="EP82" s="47"/>
      <c r="EQ82" s="47"/>
      <c r="ER82" s="47"/>
      <c r="ES82" s="47"/>
      <c r="ET82" s="47"/>
      <c r="EU82" s="47"/>
      <c r="EV82" s="47"/>
      <c r="EW82" s="47"/>
      <c r="EX82" s="47"/>
      <c r="EY82" s="47"/>
      <c r="EZ82" s="47"/>
      <c r="FA82" s="47"/>
      <c r="FB82" s="47"/>
      <c r="FC82" s="47"/>
      <c r="FD82" s="47"/>
      <c r="FE82" s="47"/>
      <c r="FF82" s="47"/>
      <c r="FG82" s="47"/>
      <c r="FH82" s="47"/>
      <c r="FI82" s="47"/>
      <c r="FJ82" s="47"/>
      <c r="FK82" s="47"/>
      <c r="FL82" s="47"/>
      <c r="FM82" s="47"/>
      <c r="FN82" s="47"/>
      <c r="FO82" s="47"/>
      <c r="FP82" s="47"/>
      <c r="FQ82" s="47"/>
      <c r="FR82" s="47"/>
      <c r="FS82" s="47"/>
      <c r="FT82" s="47"/>
      <c r="FU82" s="47"/>
      <c r="FV82" s="47"/>
      <c r="FW82" s="47"/>
      <c r="FX82" s="47"/>
      <c r="FY82" s="47"/>
      <c r="FZ82" s="47"/>
      <c r="GA82" s="47"/>
      <c r="GB82" s="47"/>
      <c r="GC82" s="47"/>
      <c r="GD82" s="47"/>
      <c r="GE82" s="47"/>
      <c r="GF82" s="47"/>
      <c r="GG82" s="47"/>
      <c r="GH82" s="47"/>
      <c r="GI82" s="47"/>
      <c r="GJ82" s="47"/>
      <c r="GK82" s="47"/>
      <c r="GL82" s="47"/>
      <c r="GM82" s="47"/>
      <c r="GN82" s="47"/>
      <c r="GO82" s="47"/>
      <c r="GP82" s="47"/>
      <c r="GQ82" s="47"/>
      <c r="GR82" s="47"/>
      <c r="GS82" s="47"/>
      <c r="GT82" s="47"/>
      <c r="GU82" s="47"/>
      <c r="GV82" s="47"/>
      <c r="GW82" s="47"/>
      <c r="GX82" s="47"/>
      <c r="GY82" s="47"/>
      <c r="GZ82" s="47"/>
      <c r="HA82" s="47"/>
      <c r="HB82" s="47"/>
      <c r="HC82" s="47"/>
      <c r="HD82" s="47"/>
      <c r="HE82" s="47"/>
      <c r="HF82" s="47"/>
      <c r="HG82" s="47"/>
      <c r="HH82" s="47"/>
      <c r="HI82" s="47"/>
      <c r="HJ82" s="47"/>
      <c r="HK82" s="47"/>
      <c r="HL82" s="47"/>
      <c r="HM82" s="47"/>
      <c r="HN82" s="47"/>
      <c r="HO82" s="47"/>
      <c r="HP82" s="47"/>
      <c r="HQ82" s="47"/>
      <c r="HR82" s="47"/>
      <c r="HS82" s="47"/>
      <c r="HT82" s="47"/>
      <c r="HU82" s="47"/>
      <c r="HV82" s="47"/>
      <c r="HW82" s="47"/>
      <c r="HX82" s="47"/>
      <c r="HY82" s="47"/>
      <c r="HZ82" s="47"/>
      <c r="IA82" s="47"/>
      <c r="IB82" s="47"/>
      <c r="IC82" s="47"/>
      <c r="ID82" s="47"/>
      <c r="IE82" s="47"/>
      <c r="IF82" s="47"/>
      <c r="IG82" s="47"/>
      <c r="IH82" s="47"/>
      <c r="II82" s="47"/>
      <c r="IJ82" s="47"/>
      <c r="IK82" s="47"/>
      <c r="IL82" s="47"/>
      <c r="IM82" s="47"/>
      <c r="IN82" s="47"/>
      <c r="IO82" s="47"/>
      <c r="IP82" s="47"/>
      <c r="IQ82" s="47"/>
      <c r="IR82" s="47"/>
      <c r="IS82" s="47"/>
      <c r="IT82" s="47"/>
      <c r="IU82" s="47"/>
      <c r="IV82" s="47"/>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D82" s="53">
        <v>4.7999999999999897E-2</v>
      </c>
      <c r="NE82" s="47">
        <v>65685.46981067679</v>
      </c>
      <c r="NF82" s="13">
        <v>0.40500000000000003</v>
      </c>
      <c r="NG82" s="1">
        <f>Combine!A84</f>
        <v>48192</v>
      </c>
      <c r="NH82" s="14">
        <f>Combine!F84</f>
        <v>156800.896419417</v>
      </c>
    </row>
    <row r="83" spans="1:372" ht="12.75" customHeight="1" x14ac:dyDescent="0.3">
      <c r="A83" s="59"/>
      <c r="D83" s="61"/>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c r="AW83" s="47"/>
      <c r="AX83" s="47"/>
      <c r="AY83" s="47"/>
      <c r="AZ83" s="47"/>
      <c r="BA83" s="47"/>
      <c r="BB83" s="47"/>
      <c r="BC83" s="47"/>
      <c r="BD83" s="47"/>
      <c r="BE83" s="47"/>
      <c r="BF83" s="47"/>
      <c r="BG83" s="47"/>
      <c r="BH83" s="47"/>
      <c r="BI83" s="47"/>
      <c r="BJ83" s="47"/>
      <c r="BK83" s="47"/>
      <c r="BL83" s="47"/>
      <c r="BM83" s="47"/>
      <c r="BN83" s="47"/>
      <c r="BO83" s="47"/>
      <c r="BP83" s="47"/>
      <c r="BQ83" s="47"/>
      <c r="BR83" s="47"/>
      <c r="BS83" s="47"/>
      <c r="BT83" s="47"/>
      <c r="BU83" s="47"/>
      <c r="BV83" s="47"/>
      <c r="BW83" s="47"/>
      <c r="BX83" s="47"/>
      <c r="BY83" s="47"/>
      <c r="BZ83" s="47"/>
      <c r="CA83" s="47"/>
      <c r="CB83" s="47"/>
      <c r="CC83" s="47"/>
      <c r="CD83" s="47"/>
      <c r="CE83" s="47"/>
      <c r="CF83" s="47"/>
      <c r="CG83" s="47"/>
      <c r="CH83" s="47"/>
      <c r="CI83" s="47"/>
      <c r="CJ83" s="47"/>
      <c r="CK83" s="47"/>
      <c r="CL83" s="47"/>
      <c r="CM83" s="47"/>
      <c r="CN83" s="47"/>
      <c r="CO83" s="47"/>
      <c r="CP83" s="47"/>
      <c r="CQ83" s="47"/>
      <c r="CR83" s="47"/>
      <c r="CS83" s="47"/>
      <c r="CT83" s="47"/>
      <c r="CU83" s="47"/>
      <c r="CV83" s="47"/>
      <c r="CW83" s="47"/>
      <c r="CX83" s="47"/>
      <c r="CY83" s="47"/>
      <c r="CZ83" s="47"/>
      <c r="DA83" s="47"/>
      <c r="DB83" s="47"/>
      <c r="DC83" s="47"/>
      <c r="DD83" s="47"/>
      <c r="DE83" s="47"/>
      <c r="DF83" s="47"/>
      <c r="DG83" s="47"/>
      <c r="DH83" s="47"/>
      <c r="DI83" s="47"/>
      <c r="DJ83" s="47"/>
      <c r="DK83" s="47"/>
      <c r="DL83" s="47"/>
      <c r="DM83" s="47"/>
      <c r="DN83" s="47"/>
      <c r="DO83" s="47"/>
      <c r="DP83" s="47"/>
      <c r="DQ83" s="47"/>
      <c r="DR83" s="47"/>
      <c r="DS83" s="47"/>
      <c r="DT83" s="47"/>
      <c r="DU83" s="47"/>
      <c r="DV83" s="47"/>
      <c r="DW83" s="47"/>
      <c r="DX83" s="47"/>
      <c r="DY83" s="47"/>
      <c r="DZ83" s="47"/>
      <c r="EA83" s="47"/>
      <c r="EB83" s="47"/>
      <c r="EC83" s="47"/>
      <c r="ED83" s="47"/>
      <c r="EE83" s="47"/>
      <c r="EF83" s="47"/>
      <c r="EG83" s="47"/>
      <c r="EH83" s="47"/>
      <c r="EI83" s="47"/>
      <c r="EJ83" s="47"/>
      <c r="EK83" s="47"/>
      <c r="EL83" s="47"/>
      <c r="EM83" s="47"/>
      <c r="EN83" s="47"/>
      <c r="EO83" s="47"/>
      <c r="EP83" s="47"/>
      <c r="EQ83" s="47"/>
      <c r="ER83" s="47"/>
      <c r="ES83" s="47"/>
      <c r="ET83" s="47"/>
      <c r="EU83" s="47"/>
      <c r="EV83" s="47"/>
      <c r="EW83" s="47"/>
      <c r="EX83" s="47"/>
      <c r="EY83" s="47"/>
      <c r="EZ83" s="47"/>
      <c r="FA83" s="47"/>
      <c r="FB83" s="47"/>
      <c r="FC83" s="47"/>
      <c r="FD83" s="47"/>
      <c r="FE83" s="47"/>
      <c r="FF83" s="47"/>
      <c r="FG83" s="47"/>
      <c r="FH83" s="47"/>
      <c r="FI83" s="47"/>
      <c r="FJ83" s="47"/>
      <c r="FK83" s="47"/>
      <c r="FL83" s="47"/>
      <c r="FM83" s="47"/>
      <c r="FN83" s="47"/>
      <c r="FO83" s="47"/>
      <c r="FP83" s="47"/>
      <c r="FQ83" s="47"/>
      <c r="FR83" s="47"/>
      <c r="FS83" s="47"/>
      <c r="FT83" s="47"/>
      <c r="FU83" s="47"/>
      <c r="FV83" s="47"/>
      <c r="FW83" s="47"/>
      <c r="FX83" s="47"/>
      <c r="FY83" s="47"/>
      <c r="FZ83" s="47"/>
      <c r="GA83" s="47"/>
      <c r="GB83" s="47"/>
      <c r="GC83" s="47"/>
      <c r="GD83" s="47"/>
      <c r="GE83" s="47"/>
      <c r="GF83" s="47"/>
      <c r="GG83" s="47"/>
      <c r="GH83" s="47"/>
      <c r="GI83" s="47"/>
      <c r="GJ83" s="47"/>
      <c r="GK83" s="47"/>
      <c r="GL83" s="47"/>
      <c r="GM83" s="47"/>
      <c r="GN83" s="47"/>
      <c r="GO83" s="47"/>
      <c r="GP83" s="47"/>
      <c r="GQ83" s="47"/>
      <c r="GR83" s="47"/>
      <c r="GS83" s="47"/>
      <c r="GT83" s="47"/>
      <c r="GU83" s="47"/>
      <c r="GV83" s="47"/>
      <c r="GW83" s="47"/>
      <c r="GX83" s="47"/>
      <c r="GY83" s="47"/>
      <c r="GZ83" s="47"/>
      <c r="HA83" s="47"/>
      <c r="HB83" s="47"/>
      <c r="HC83" s="47"/>
      <c r="HD83" s="47"/>
      <c r="HE83" s="47"/>
      <c r="HF83" s="47"/>
      <c r="HG83" s="47"/>
      <c r="HH83" s="47"/>
      <c r="HI83" s="47"/>
      <c r="HJ83" s="47"/>
      <c r="HK83" s="47"/>
      <c r="HL83" s="47"/>
      <c r="HM83" s="47"/>
      <c r="HN83" s="47"/>
      <c r="HO83" s="47"/>
      <c r="HP83" s="47"/>
      <c r="HQ83" s="47"/>
      <c r="HR83" s="47"/>
      <c r="HS83" s="47"/>
      <c r="HT83" s="47"/>
      <c r="HU83" s="47"/>
      <c r="HV83" s="47"/>
      <c r="HW83" s="47"/>
      <c r="HX83" s="47"/>
      <c r="HY83" s="47"/>
      <c r="HZ83" s="47"/>
      <c r="IA83" s="47"/>
      <c r="IB83" s="47"/>
      <c r="IC83" s="47"/>
      <c r="ID83" s="47"/>
      <c r="IE83" s="47"/>
      <c r="IF83" s="47"/>
      <c r="IG83" s="47"/>
      <c r="IH83" s="47"/>
      <c r="II83" s="47"/>
      <c r="IJ83" s="47"/>
      <c r="IK83" s="47"/>
      <c r="IL83" s="47"/>
      <c r="IM83" s="47"/>
      <c r="IN83" s="47"/>
      <c r="IO83" s="47"/>
      <c r="IP83" s="47"/>
      <c r="IQ83" s="47"/>
      <c r="IR83" s="47"/>
      <c r="IS83" s="47"/>
      <c r="IT83" s="47"/>
      <c r="IU83" s="47"/>
      <c r="IV83" s="47"/>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D83" s="53">
        <v>4.8999999999999898E-2</v>
      </c>
      <c r="NE83" s="47">
        <v>63668.654425573739</v>
      </c>
      <c r="NF83" s="13">
        <v>0.41</v>
      </c>
      <c r="NG83" s="1">
        <f>Combine!A85</f>
        <v>48045</v>
      </c>
      <c r="NH83" s="14">
        <f>Combine!F85</f>
        <v>262800.31000735197</v>
      </c>
    </row>
    <row r="84" spans="1:372" ht="12.75" customHeight="1" x14ac:dyDescent="0.3">
      <c r="A84" s="59"/>
      <c r="D84" s="61"/>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c r="AW84" s="47"/>
      <c r="AX84" s="47"/>
      <c r="AY84" s="47"/>
      <c r="AZ84" s="47"/>
      <c r="BA84" s="47"/>
      <c r="BB84" s="47"/>
      <c r="BC84" s="47"/>
      <c r="BD84" s="47"/>
      <c r="BE84" s="47"/>
      <c r="BF84" s="47"/>
      <c r="BG84" s="47"/>
      <c r="BH84" s="47"/>
      <c r="BI84" s="47"/>
      <c r="BJ84" s="47"/>
      <c r="BK84" s="47"/>
      <c r="BL84" s="47"/>
      <c r="BM84" s="47"/>
      <c r="BN84" s="47"/>
      <c r="BO84" s="47"/>
      <c r="BP84" s="47"/>
      <c r="BQ84" s="47"/>
      <c r="BR84" s="47"/>
      <c r="BS84" s="47"/>
      <c r="BT84" s="47"/>
      <c r="BU84" s="47"/>
      <c r="BV84" s="47"/>
      <c r="BW84" s="47"/>
      <c r="BX84" s="47"/>
      <c r="BY84" s="47"/>
      <c r="BZ84" s="47"/>
      <c r="CA84" s="47"/>
      <c r="CB84" s="47"/>
      <c r="CC84" s="47"/>
      <c r="CD84" s="47"/>
      <c r="CE84" s="47"/>
      <c r="CF84" s="47"/>
      <c r="CG84" s="47"/>
      <c r="CH84" s="47"/>
      <c r="CI84" s="47"/>
      <c r="CJ84" s="47"/>
      <c r="CK84" s="47"/>
      <c r="CL84" s="47"/>
      <c r="CM84" s="47"/>
      <c r="CN84" s="47"/>
      <c r="CO84" s="47"/>
      <c r="CP84" s="47"/>
      <c r="CQ84" s="47"/>
      <c r="CR84" s="47"/>
      <c r="CS84" s="47"/>
      <c r="CT84" s="47"/>
      <c r="CU84" s="47"/>
      <c r="CV84" s="47"/>
      <c r="CW84" s="47"/>
      <c r="CX84" s="47"/>
      <c r="CY84" s="47"/>
      <c r="CZ84" s="47"/>
      <c r="DA84" s="47"/>
      <c r="DB84" s="47"/>
      <c r="DC84" s="47"/>
      <c r="DD84" s="47"/>
      <c r="DE84" s="47"/>
      <c r="DF84" s="47"/>
      <c r="DG84" s="47"/>
      <c r="DH84" s="47"/>
      <c r="DI84" s="47"/>
      <c r="DJ84" s="47"/>
      <c r="DK84" s="47"/>
      <c r="DL84" s="47"/>
      <c r="DM84" s="47"/>
      <c r="DN84" s="47"/>
      <c r="DO84" s="47"/>
      <c r="DP84" s="47"/>
      <c r="DQ84" s="47"/>
      <c r="DR84" s="47"/>
      <c r="DS84" s="47"/>
      <c r="DT84" s="47"/>
      <c r="DU84" s="47"/>
      <c r="DV84" s="47"/>
      <c r="DW84" s="47"/>
      <c r="DX84" s="47"/>
      <c r="DY84" s="47"/>
      <c r="DZ84" s="47"/>
      <c r="EA84" s="47"/>
      <c r="EB84" s="47"/>
      <c r="EC84" s="47"/>
      <c r="ED84" s="47"/>
      <c r="EE84" s="47"/>
      <c r="EF84" s="47"/>
      <c r="EG84" s="47"/>
      <c r="EH84" s="47"/>
      <c r="EI84" s="47"/>
      <c r="EJ84" s="47"/>
      <c r="EK84" s="47"/>
      <c r="EL84" s="47"/>
      <c r="EM84" s="47"/>
      <c r="EN84" s="47"/>
      <c r="EO84" s="47"/>
      <c r="EP84" s="47"/>
      <c r="EQ84" s="47"/>
      <c r="ER84" s="47"/>
      <c r="ES84" s="47"/>
      <c r="ET84" s="47"/>
      <c r="EU84" s="47"/>
      <c r="EV84" s="47"/>
      <c r="EW84" s="47"/>
      <c r="EX84" s="47"/>
      <c r="EY84" s="47"/>
      <c r="EZ84" s="47"/>
      <c r="FA84" s="47"/>
      <c r="FB84" s="47"/>
      <c r="FC84" s="47"/>
      <c r="FD84" s="47"/>
      <c r="FE84" s="47"/>
      <c r="FF84" s="47"/>
      <c r="FG84" s="47"/>
      <c r="FH84" s="47"/>
      <c r="FI84" s="47"/>
      <c r="FJ84" s="47"/>
      <c r="FK84" s="47"/>
      <c r="FL84" s="47"/>
      <c r="FM84" s="47"/>
      <c r="FN84" s="47"/>
      <c r="FO84" s="47"/>
      <c r="FP84" s="47"/>
      <c r="FQ84" s="47"/>
      <c r="FR84" s="47"/>
      <c r="FS84" s="47"/>
      <c r="FT84" s="47"/>
      <c r="FU84" s="47"/>
      <c r="FV84" s="47"/>
      <c r="FW84" s="47"/>
      <c r="FX84" s="47"/>
      <c r="FY84" s="47"/>
      <c r="FZ84" s="47"/>
      <c r="GA84" s="47"/>
      <c r="GB84" s="47"/>
      <c r="GC84" s="47"/>
      <c r="GD84" s="47"/>
      <c r="GE84" s="47"/>
      <c r="GF84" s="47"/>
      <c r="GG84" s="47"/>
      <c r="GH84" s="47"/>
      <c r="GI84" s="47"/>
      <c r="GJ84" s="47"/>
      <c r="GK84" s="47"/>
      <c r="GL84" s="47"/>
      <c r="GM84" s="47"/>
      <c r="GN84" s="47"/>
      <c r="GO84" s="47"/>
      <c r="GP84" s="47"/>
      <c r="GQ84" s="47"/>
      <c r="GR84" s="47"/>
      <c r="GS84" s="47"/>
      <c r="GT84" s="47"/>
      <c r="GU84" s="47"/>
      <c r="GV84" s="47"/>
      <c r="GW84" s="47"/>
      <c r="GX84" s="47"/>
      <c r="GY84" s="47"/>
      <c r="GZ84" s="47"/>
      <c r="HA84" s="47"/>
      <c r="HB84" s="47"/>
      <c r="HC84" s="47"/>
      <c r="HD84" s="47"/>
      <c r="HE84" s="47"/>
      <c r="HF84" s="47"/>
      <c r="HG84" s="47"/>
      <c r="HH84" s="47"/>
      <c r="HI84" s="47"/>
      <c r="HJ84" s="47"/>
      <c r="HK84" s="47"/>
      <c r="HL84" s="47"/>
      <c r="HM84" s="47"/>
      <c r="HN84" s="47"/>
      <c r="HO84" s="47"/>
      <c r="HP84" s="47"/>
      <c r="HQ84" s="47"/>
      <c r="HR84" s="47"/>
      <c r="HS84" s="47"/>
      <c r="HT84" s="47"/>
      <c r="HU84" s="47"/>
      <c r="HV84" s="47"/>
      <c r="HW84" s="47"/>
      <c r="HX84" s="47"/>
      <c r="HY84" s="47"/>
      <c r="HZ84" s="47"/>
      <c r="IA84" s="47"/>
      <c r="IB84" s="47"/>
      <c r="IC84" s="47"/>
      <c r="ID84" s="47"/>
      <c r="IE84" s="47"/>
      <c r="IF84" s="47"/>
      <c r="IG84" s="47"/>
      <c r="IH84" s="47"/>
      <c r="II84" s="47"/>
      <c r="IJ84" s="47"/>
      <c r="IK84" s="47"/>
      <c r="IL84" s="47"/>
      <c r="IM84" s="47"/>
      <c r="IN84" s="47"/>
      <c r="IO84" s="47"/>
      <c r="IP84" s="47"/>
      <c r="IQ84" s="47"/>
      <c r="IR84" s="47"/>
      <c r="IS84" s="47"/>
      <c r="IT84" s="47"/>
      <c r="IU84" s="47"/>
      <c r="IV84" s="47"/>
      <c r="IW84" s="1"/>
      <c r="IX84" s="1"/>
      <c r="IY84" s="1"/>
      <c r="IZ84" s="1"/>
      <c r="JA84" s="1"/>
      <c r="JB84" s="1"/>
      <c r="JC84" s="1"/>
      <c r="JD84" s="1"/>
      <c r="JE84" s="1"/>
      <c r="JF84" s="1"/>
      <c r="JG84" s="1"/>
      <c r="JH84" s="1"/>
      <c r="JI84" s="1"/>
      <c r="JJ84" s="1"/>
      <c r="JK84" s="1"/>
      <c r="JL84" s="1"/>
      <c r="JM84" s="1"/>
      <c r="JN84" s="1"/>
      <c r="JO84" s="1"/>
      <c r="JP84" s="1"/>
      <c r="JQ84" s="1"/>
      <c r="JR84" s="1"/>
      <c r="JS84" s="1"/>
      <c r="JT84" s="1"/>
      <c r="JU84" s="1"/>
      <c r="JV84" s="1"/>
      <c r="JW84" s="1"/>
      <c r="JX84" s="1"/>
      <c r="JY84" s="1"/>
      <c r="JZ84" s="1"/>
      <c r="KA84" s="1"/>
      <c r="KB84" s="1"/>
      <c r="KC84" s="1"/>
      <c r="KD84" s="1"/>
      <c r="KE84" s="1"/>
      <c r="KF84" s="1"/>
      <c r="KG84" s="1"/>
      <c r="KH84" s="1"/>
      <c r="KI84" s="1"/>
      <c r="KJ84" s="1"/>
      <c r="KK84" s="1"/>
      <c r="KL84" s="1"/>
      <c r="KM84" s="1"/>
      <c r="KN84" s="1"/>
      <c r="KO84" s="1"/>
      <c r="KP84" s="1"/>
      <c r="KQ84" s="1"/>
      <c r="KR84" s="1"/>
      <c r="KS84" s="1"/>
      <c r="KT84" s="1"/>
      <c r="KU84" s="1"/>
      <c r="KV84" s="1"/>
      <c r="KW84" s="1"/>
      <c r="KX84" s="1"/>
      <c r="KY84" s="1"/>
      <c r="KZ84" s="1"/>
      <c r="LA84" s="1"/>
      <c r="LB84" s="1"/>
      <c r="LC84" s="1"/>
      <c r="LD84" s="1"/>
      <c r="LE84" s="1"/>
      <c r="LF84" s="1"/>
      <c r="LG84" s="1"/>
      <c r="LH84" s="1"/>
      <c r="LI84" s="1"/>
      <c r="LJ84" s="1"/>
      <c r="LK84" s="1"/>
      <c r="LL84" s="1"/>
      <c r="LM84" s="1"/>
      <c r="LN84" s="1"/>
      <c r="LO84" s="1"/>
      <c r="LP84" s="1"/>
      <c r="LQ84" s="1"/>
      <c r="LR84" s="1"/>
      <c r="LS84" s="1"/>
      <c r="LT84" s="1"/>
      <c r="LU84" s="1"/>
      <c r="LV84" s="1"/>
      <c r="LW84" s="1"/>
      <c r="LX84" s="1"/>
      <c r="LY84" s="1"/>
      <c r="LZ84" s="1"/>
      <c r="MA84" s="1"/>
      <c r="MB84" s="1"/>
      <c r="MC84" s="1"/>
      <c r="MD84" s="1"/>
      <c r="ME84" s="1"/>
      <c r="MF84" s="1"/>
      <c r="MG84" s="1"/>
      <c r="MH84" s="1"/>
      <c r="MI84" s="1"/>
      <c r="MJ84" s="1"/>
      <c r="MK84" s="1"/>
      <c r="ML84" s="1"/>
      <c r="MM84" s="1"/>
      <c r="MN84" s="1"/>
      <c r="MO84" s="1"/>
      <c r="MP84" s="1"/>
      <c r="MQ84" s="1"/>
      <c r="MR84" s="1"/>
      <c r="MS84" s="1"/>
      <c r="MT84" s="1"/>
      <c r="MU84" s="1"/>
      <c r="MV84" s="1"/>
      <c r="MW84" s="1"/>
      <c r="MX84" s="1"/>
      <c r="MY84" s="1"/>
      <c r="MZ84" s="1"/>
      <c r="NA84" s="1"/>
      <c r="NB84" s="1"/>
      <c r="ND84" s="53">
        <v>4.9999999999999899E-2</v>
      </c>
      <c r="NE84" s="47">
        <v>61645.849488743828</v>
      </c>
      <c r="NF84" s="13">
        <v>0.41499999999999998</v>
      </c>
      <c r="NG84" s="1">
        <f>Combine!A86</f>
        <v>48141</v>
      </c>
      <c r="NH84" s="14">
        <f>Combine!F86</f>
        <v>75069.759609815796</v>
      </c>
    </row>
    <row r="85" spans="1:372" ht="12.75" customHeight="1" x14ac:dyDescent="0.3">
      <c r="A85" s="59"/>
      <c r="D85" s="61"/>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c r="FI85" s="47"/>
      <c r="FJ85" s="47"/>
      <c r="FK85" s="47"/>
      <c r="FL85" s="47"/>
      <c r="FM85" s="47"/>
      <c r="FN85" s="47"/>
      <c r="FO85" s="47"/>
      <c r="FP85" s="47"/>
      <c r="FQ85" s="47"/>
      <c r="FR85" s="47"/>
      <c r="FS85" s="47"/>
      <c r="FT85" s="47"/>
      <c r="FU85" s="47"/>
      <c r="FV85" s="47"/>
      <c r="FW85" s="47"/>
      <c r="FX85" s="47"/>
      <c r="FY85" s="47"/>
      <c r="FZ85" s="47"/>
      <c r="GA85" s="47"/>
      <c r="GB85" s="47"/>
      <c r="GC85" s="47"/>
      <c r="GD85" s="47"/>
      <c r="GE85" s="47"/>
      <c r="GF85" s="47"/>
      <c r="GG85" s="47"/>
      <c r="GH85" s="47"/>
      <c r="GI85" s="47"/>
      <c r="GJ85" s="47"/>
      <c r="GK85" s="47"/>
      <c r="GL85" s="47"/>
      <c r="GM85" s="47"/>
      <c r="GN85" s="47"/>
      <c r="GO85" s="47"/>
      <c r="GP85" s="47"/>
      <c r="GQ85" s="47"/>
      <c r="GR85" s="47"/>
      <c r="GS85" s="47"/>
      <c r="GT85" s="47"/>
      <c r="GU85" s="47"/>
      <c r="GV85" s="47"/>
      <c r="GW85" s="47"/>
      <c r="GX85" s="47"/>
      <c r="GY85" s="47"/>
      <c r="GZ85" s="47"/>
      <c r="HA85" s="47"/>
      <c r="HB85" s="47"/>
      <c r="HC85" s="47"/>
      <c r="HD85" s="47"/>
      <c r="HE85" s="47"/>
      <c r="HF85" s="47"/>
      <c r="HG85" s="47"/>
      <c r="HH85" s="47"/>
      <c r="HI85" s="47"/>
      <c r="HJ85" s="47"/>
      <c r="HK85" s="47"/>
      <c r="HL85" s="47"/>
      <c r="HM85" s="47"/>
      <c r="HN85" s="47"/>
      <c r="HO85" s="47"/>
      <c r="HP85" s="47"/>
      <c r="HQ85" s="47"/>
      <c r="HR85" s="47"/>
      <c r="HS85" s="47"/>
      <c r="HT85" s="47"/>
      <c r="HU85" s="47"/>
      <c r="HV85" s="47"/>
      <c r="HW85" s="47"/>
      <c r="HX85" s="47"/>
      <c r="HY85" s="47"/>
      <c r="HZ85" s="47"/>
      <c r="IA85" s="47"/>
      <c r="IB85" s="47"/>
      <c r="IC85" s="47"/>
      <c r="ID85" s="47"/>
      <c r="IE85" s="47"/>
      <c r="IF85" s="47"/>
      <c r="IG85" s="47"/>
      <c r="IH85" s="47"/>
      <c r="II85" s="47"/>
      <c r="IJ85" s="47"/>
      <c r="IK85" s="47"/>
      <c r="IL85" s="47"/>
      <c r="IM85" s="47"/>
      <c r="IN85" s="47"/>
      <c r="IO85" s="47"/>
      <c r="IP85" s="47"/>
      <c r="IQ85" s="47"/>
      <c r="IR85" s="47"/>
      <c r="IS85" s="47"/>
      <c r="IT85" s="47"/>
      <c r="IU85" s="47"/>
      <c r="IV85" s="47"/>
      <c r="IW85" s="1"/>
      <c r="IX85" s="1"/>
      <c r="IY85" s="1"/>
      <c r="IZ85" s="1"/>
      <c r="JA85" s="1"/>
      <c r="JB85" s="1"/>
      <c r="JC85" s="1"/>
      <c r="JD85" s="1"/>
      <c r="JE85" s="1"/>
      <c r="JF85" s="1"/>
      <c r="JG85" s="1"/>
      <c r="JH85" s="1"/>
      <c r="JI85" s="1"/>
      <c r="JJ85" s="1"/>
      <c r="JK85" s="1"/>
      <c r="JL85" s="1"/>
      <c r="JM85" s="1"/>
      <c r="JN85" s="1"/>
      <c r="JO85" s="1"/>
      <c r="JP85" s="1"/>
      <c r="JQ85" s="1"/>
      <c r="JR85" s="1"/>
      <c r="JS85" s="1"/>
      <c r="JT85" s="1"/>
      <c r="JU85" s="1"/>
      <c r="JV85" s="1"/>
      <c r="JW85" s="1"/>
      <c r="JX85" s="1"/>
      <c r="JY85" s="1"/>
      <c r="JZ85" s="1"/>
      <c r="KA85" s="1"/>
      <c r="KB85" s="1"/>
      <c r="KC85" s="1"/>
      <c r="KD85" s="1"/>
      <c r="KE85" s="1"/>
      <c r="KF85" s="1"/>
      <c r="KG85" s="1"/>
      <c r="KH85" s="1"/>
      <c r="KI85" s="1"/>
      <c r="KJ85" s="1"/>
      <c r="KK85" s="1"/>
      <c r="KL85" s="1"/>
      <c r="KM85" s="1"/>
      <c r="KN85" s="1"/>
      <c r="KO85" s="1"/>
      <c r="KP85" s="1"/>
      <c r="KQ85" s="1"/>
      <c r="KR85" s="1"/>
      <c r="KS85" s="1"/>
      <c r="KT85" s="1"/>
      <c r="KU85" s="1"/>
      <c r="KV85" s="1"/>
      <c r="KW85" s="1"/>
      <c r="KX85" s="1"/>
      <c r="KY85" s="1"/>
      <c r="KZ85" s="1"/>
      <c r="LA85" s="1"/>
      <c r="LB85" s="1"/>
      <c r="LC85" s="1"/>
      <c r="LD85" s="1"/>
      <c r="LE85" s="1"/>
      <c r="LF85" s="1"/>
      <c r="LG85" s="1"/>
      <c r="LH85" s="1"/>
      <c r="LI85" s="1"/>
      <c r="LJ85" s="1"/>
      <c r="LK85" s="1"/>
      <c r="LL85" s="1"/>
      <c r="LM85" s="1"/>
      <c r="LN85" s="1"/>
      <c r="LO85" s="1"/>
      <c r="LP85" s="1"/>
      <c r="LQ85" s="1"/>
      <c r="LR85" s="1"/>
      <c r="LS85" s="1"/>
      <c r="LT85" s="1"/>
      <c r="LU85" s="1"/>
      <c r="LV85" s="1"/>
      <c r="LW85" s="1"/>
      <c r="LX85" s="1"/>
      <c r="LY85" s="1"/>
      <c r="LZ85" s="1"/>
      <c r="MA85" s="1"/>
      <c r="MB85" s="1"/>
      <c r="MC85" s="1"/>
      <c r="MD85" s="1"/>
      <c r="ME85" s="1"/>
      <c r="MF85" s="1"/>
      <c r="MG85" s="1"/>
      <c r="MH85" s="1"/>
      <c r="MI85" s="1"/>
      <c r="MJ85" s="1"/>
      <c r="MK85" s="1"/>
      <c r="ML85" s="1"/>
      <c r="MM85" s="1"/>
      <c r="MN85" s="1"/>
      <c r="MO85" s="1"/>
      <c r="MP85" s="1"/>
      <c r="MQ85" s="1"/>
      <c r="MR85" s="1"/>
      <c r="MS85" s="1"/>
      <c r="MT85" s="1"/>
      <c r="MU85" s="1"/>
      <c r="MV85" s="1"/>
      <c r="MW85" s="1"/>
      <c r="MX85" s="1"/>
      <c r="MY85" s="1"/>
      <c r="MZ85" s="1"/>
      <c r="NA85" s="1"/>
      <c r="NB85" s="1"/>
      <c r="ND85" s="53">
        <v>5.09999999999999E-2</v>
      </c>
      <c r="NE85" s="47">
        <v>59617.142018764069</v>
      </c>
      <c r="NF85" s="13">
        <v>0.42</v>
      </c>
      <c r="NG85" s="1">
        <f>Combine!A87</f>
        <v>48390</v>
      </c>
      <c r="NH85" s="14">
        <f>Combine!F87</f>
        <v>302948.456563538</v>
      </c>
    </row>
    <row r="86" spans="1:372" ht="12.75" customHeight="1" x14ac:dyDescent="0.3">
      <c r="A86" s="59"/>
      <c r="D86" s="61"/>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c r="AW86" s="47"/>
      <c r="AX86" s="47"/>
      <c r="AY86" s="47"/>
      <c r="AZ86" s="47"/>
      <c r="BA86" s="47"/>
      <c r="BB86" s="47"/>
      <c r="BC86" s="47"/>
      <c r="BD86" s="47"/>
      <c r="BE86" s="47"/>
      <c r="BF86" s="47"/>
      <c r="BG86" s="47"/>
      <c r="BH86" s="47"/>
      <c r="BI86" s="47"/>
      <c r="BJ86" s="47"/>
      <c r="BK86" s="47"/>
      <c r="BL86" s="47"/>
      <c r="BM86" s="47"/>
      <c r="BN86" s="47"/>
      <c r="BO86" s="47"/>
      <c r="BP86" s="47"/>
      <c r="BQ86" s="47"/>
      <c r="BR86" s="47"/>
      <c r="BS86" s="47"/>
      <c r="BT86" s="47"/>
      <c r="BU86" s="47"/>
      <c r="BV86" s="47"/>
      <c r="BW86" s="47"/>
      <c r="BX86" s="47"/>
      <c r="BY86" s="47"/>
      <c r="BZ86" s="47"/>
      <c r="CA86" s="47"/>
      <c r="CB86" s="47"/>
      <c r="CC86" s="47"/>
      <c r="CD86" s="47"/>
      <c r="CE86" s="47"/>
      <c r="CF86" s="47"/>
      <c r="CG86" s="47"/>
      <c r="CH86" s="47"/>
      <c r="CI86" s="47"/>
      <c r="CJ86" s="47"/>
      <c r="CK86" s="47"/>
      <c r="CL86" s="47"/>
      <c r="CM86" s="47"/>
      <c r="CN86" s="47"/>
      <c r="CO86" s="47"/>
      <c r="CP86" s="47"/>
      <c r="CQ86" s="47"/>
      <c r="CR86" s="47"/>
      <c r="CS86" s="47"/>
      <c r="CT86" s="47"/>
      <c r="CU86" s="47"/>
      <c r="CV86" s="47"/>
      <c r="CW86" s="47"/>
      <c r="CX86" s="47"/>
      <c r="CY86" s="47"/>
      <c r="CZ86" s="47"/>
      <c r="DA86" s="47"/>
      <c r="DB86" s="47"/>
      <c r="DC86" s="47"/>
      <c r="DD86" s="47"/>
      <c r="DE86" s="47"/>
      <c r="DF86" s="47"/>
      <c r="DG86" s="47"/>
      <c r="DH86" s="47"/>
      <c r="DI86" s="47"/>
      <c r="DJ86" s="47"/>
      <c r="DK86" s="47"/>
      <c r="DL86" s="47"/>
      <c r="DM86" s="47"/>
      <c r="DN86" s="47"/>
      <c r="DO86" s="47"/>
      <c r="DP86" s="47"/>
      <c r="DQ86" s="47"/>
      <c r="DR86" s="47"/>
      <c r="DS86" s="47"/>
      <c r="DT86" s="47"/>
      <c r="DU86" s="47"/>
      <c r="DV86" s="47"/>
      <c r="DW86" s="47"/>
      <c r="DX86" s="47"/>
      <c r="DY86" s="47"/>
      <c r="DZ86" s="47"/>
      <c r="EA86" s="47"/>
      <c r="EB86" s="47"/>
      <c r="EC86" s="47"/>
      <c r="ED86" s="47"/>
      <c r="EE86" s="47"/>
      <c r="EF86" s="47"/>
      <c r="EG86" s="47"/>
      <c r="EH86" s="47"/>
      <c r="EI86" s="47"/>
      <c r="EJ86" s="47"/>
      <c r="EK86" s="47"/>
      <c r="EL86" s="47"/>
      <c r="EM86" s="47"/>
      <c r="EN86" s="47"/>
      <c r="EO86" s="47"/>
      <c r="EP86" s="47"/>
      <c r="EQ86" s="47"/>
      <c r="ER86" s="47"/>
      <c r="ES86" s="47"/>
      <c r="ET86" s="47"/>
      <c r="EU86" s="47"/>
      <c r="EV86" s="47"/>
      <c r="EW86" s="47"/>
      <c r="EX86" s="47"/>
      <c r="EY86" s="47"/>
      <c r="EZ86" s="47"/>
      <c r="FA86" s="47"/>
      <c r="FB86" s="47"/>
      <c r="FC86" s="47"/>
      <c r="FD86" s="47"/>
      <c r="FE86" s="47"/>
      <c r="FF86" s="47"/>
      <c r="FG86" s="47"/>
      <c r="FH86" s="47"/>
      <c r="FI86" s="47"/>
      <c r="FJ86" s="47"/>
      <c r="FK86" s="47"/>
      <c r="FL86" s="47"/>
      <c r="FM86" s="47"/>
      <c r="FN86" s="47"/>
      <c r="FO86" s="47"/>
      <c r="FP86" s="47"/>
      <c r="FQ86" s="47"/>
      <c r="FR86" s="47"/>
      <c r="FS86" s="47"/>
      <c r="FT86" s="47"/>
      <c r="FU86" s="47"/>
      <c r="FV86" s="47"/>
      <c r="FW86" s="47"/>
      <c r="FX86" s="47"/>
      <c r="FY86" s="47"/>
      <c r="FZ86" s="47"/>
      <c r="GA86" s="47"/>
      <c r="GB86" s="47"/>
      <c r="GC86" s="47"/>
      <c r="GD86" s="47"/>
      <c r="GE86" s="47"/>
      <c r="GF86" s="47"/>
      <c r="GG86" s="47"/>
      <c r="GH86" s="47"/>
      <c r="GI86" s="47"/>
      <c r="GJ86" s="47"/>
      <c r="GK86" s="47"/>
      <c r="GL86" s="47"/>
      <c r="GM86" s="47"/>
      <c r="GN86" s="47"/>
      <c r="GO86" s="47"/>
      <c r="GP86" s="47"/>
      <c r="GQ86" s="47"/>
      <c r="GR86" s="47"/>
      <c r="GS86" s="47"/>
      <c r="GT86" s="47"/>
      <c r="GU86" s="47"/>
      <c r="GV86" s="47"/>
      <c r="GW86" s="47"/>
      <c r="GX86" s="47"/>
      <c r="GY86" s="47"/>
      <c r="GZ86" s="47"/>
      <c r="HA86" s="47"/>
      <c r="HB86" s="47"/>
      <c r="HC86" s="47"/>
      <c r="HD86" s="47"/>
      <c r="HE86" s="47"/>
      <c r="HF86" s="47"/>
      <c r="HG86" s="47"/>
      <c r="HH86" s="47"/>
      <c r="HI86" s="47"/>
      <c r="HJ86" s="47"/>
      <c r="HK86" s="47"/>
      <c r="HL86" s="47"/>
      <c r="HM86" s="47"/>
      <c r="HN86" s="47"/>
      <c r="HO86" s="47"/>
      <c r="HP86" s="47"/>
      <c r="HQ86" s="47"/>
      <c r="HR86" s="47"/>
      <c r="HS86" s="47"/>
      <c r="HT86" s="47"/>
      <c r="HU86" s="47"/>
      <c r="HV86" s="47"/>
      <c r="HW86" s="47"/>
      <c r="HX86" s="47"/>
      <c r="HY86" s="47"/>
      <c r="HZ86" s="47"/>
      <c r="IA86" s="47"/>
      <c r="IB86" s="47"/>
      <c r="IC86" s="47"/>
      <c r="ID86" s="47"/>
      <c r="IE86" s="47"/>
      <c r="IF86" s="47"/>
      <c r="IG86" s="47"/>
      <c r="IH86" s="47"/>
      <c r="II86" s="47"/>
      <c r="IJ86" s="47"/>
      <c r="IK86" s="47"/>
      <c r="IL86" s="47"/>
      <c r="IM86" s="47"/>
      <c r="IN86" s="47"/>
      <c r="IO86" s="47"/>
      <c r="IP86" s="47"/>
      <c r="IQ86" s="47"/>
      <c r="IR86" s="47"/>
      <c r="IS86" s="47"/>
      <c r="IT86" s="47"/>
      <c r="IU86" s="47"/>
      <c r="IV86" s="47"/>
      <c r="IW86" s="1"/>
      <c r="IX86" s="1"/>
      <c r="IY86" s="1"/>
      <c r="IZ86" s="1"/>
      <c r="JA86" s="1"/>
      <c r="JB86" s="1"/>
      <c r="JC86" s="1"/>
      <c r="JD86" s="1"/>
      <c r="JE86" s="1"/>
      <c r="JF86" s="1"/>
      <c r="JG86" s="1"/>
      <c r="JH86" s="1"/>
      <c r="JI86" s="1"/>
      <c r="JJ86" s="1"/>
      <c r="JK86" s="1"/>
      <c r="JL86" s="1"/>
      <c r="JM86" s="1"/>
      <c r="JN86" s="1"/>
      <c r="JO86" s="1"/>
      <c r="JP86" s="1"/>
      <c r="JQ86" s="1"/>
      <c r="JR86" s="1"/>
      <c r="JS86" s="1"/>
      <c r="JT86" s="1"/>
      <c r="JU86" s="1"/>
      <c r="JV86" s="1"/>
      <c r="JW86" s="1"/>
      <c r="JX86" s="1"/>
      <c r="JY86" s="1"/>
      <c r="JZ86" s="1"/>
      <c r="KA86" s="1"/>
      <c r="KB86" s="1"/>
      <c r="KC86" s="1"/>
      <c r="KD86" s="1"/>
      <c r="KE86" s="1"/>
      <c r="KF86" s="1"/>
      <c r="KG86" s="1"/>
      <c r="KH86" s="1"/>
      <c r="KI86" s="1"/>
      <c r="KJ86" s="1"/>
      <c r="KK86" s="1"/>
      <c r="KL86" s="1"/>
      <c r="KM86" s="1"/>
      <c r="KN86" s="1"/>
      <c r="KO86" s="1"/>
      <c r="KP86" s="1"/>
      <c r="KQ86" s="1"/>
      <c r="KR86" s="1"/>
      <c r="KS86" s="1"/>
      <c r="KT86" s="1"/>
      <c r="KU86" s="1"/>
      <c r="KV86" s="1"/>
      <c r="KW86" s="1"/>
      <c r="KX86" s="1"/>
      <c r="KY86" s="1"/>
      <c r="KZ86" s="1"/>
      <c r="LA86" s="1"/>
      <c r="LB86" s="1"/>
      <c r="LC86" s="1"/>
      <c r="LD86" s="1"/>
      <c r="LE86" s="1"/>
      <c r="LF86" s="1"/>
      <c r="LG86" s="1"/>
      <c r="LH86" s="1"/>
      <c r="LI86" s="1"/>
      <c r="LJ86" s="1"/>
      <c r="LK86" s="1"/>
      <c r="LL86" s="1"/>
      <c r="LM86" s="1"/>
      <c r="LN86" s="1"/>
      <c r="LO86" s="1"/>
      <c r="LP86" s="1"/>
      <c r="LQ86" s="1"/>
      <c r="LR86" s="1"/>
      <c r="LS86" s="1"/>
      <c r="LT86" s="1"/>
      <c r="LU86" s="1"/>
      <c r="LV86" s="1"/>
      <c r="LW86" s="1"/>
      <c r="LX86" s="1"/>
      <c r="LY86" s="1"/>
      <c r="LZ86" s="1"/>
      <c r="MA86" s="1"/>
      <c r="MB86" s="1"/>
      <c r="MC86" s="1"/>
      <c r="MD86" s="1"/>
      <c r="ME86" s="1"/>
      <c r="MF86" s="1"/>
      <c r="MG86" s="1"/>
      <c r="MH86" s="1"/>
      <c r="MI86" s="1"/>
      <c r="MJ86" s="1"/>
      <c r="MK86" s="1"/>
      <c r="ML86" s="1"/>
      <c r="MM86" s="1"/>
      <c r="MN86" s="1"/>
      <c r="MO86" s="1"/>
      <c r="MP86" s="1"/>
      <c r="MQ86" s="1"/>
      <c r="MR86" s="1"/>
      <c r="MS86" s="1"/>
      <c r="MT86" s="1"/>
      <c r="MU86" s="1"/>
      <c r="MV86" s="1"/>
      <c r="MW86" s="1"/>
      <c r="MX86" s="1"/>
      <c r="MY86" s="1"/>
      <c r="MZ86" s="1"/>
      <c r="NA86" s="1"/>
      <c r="NB86" s="1"/>
      <c r="ND86" s="53">
        <v>5.19999999999999E-2</v>
      </c>
      <c r="NE86" s="47">
        <v>57582.618900283131</v>
      </c>
      <c r="NF86" s="13">
        <v>0.42499999999999999</v>
      </c>
      <c r="NG86" s="1">
        <f>Combine!A88</f>
        <v>48067</v>
      </c>
      <c r="NH86" s="14">
        <f>Combine!F88</f>
        <v>293897.57733795798</v>
      </c>
    </row>
    <row r="87" spans="1:372" ht="12.75" customHeight="1" x14ac:dyDescent="0.3">
      <c r="A87" s="59"/>
      <c r="D87" s="61"/>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c r="AW87" s="47"/>
      <c r="AX87" s="47"/>
      <c r="AY87" s="47"/>
      <c r="AZ87" s="47"/>
      <c r="BA87" s="47"/>
      <c r="BB87" s="47"/>
      <c r="BC87" s="47"/>
      <c r="BD87" s="47"/>
      <c r="BE87" s="47"/>
      <c r="BF87" s="47"/>
      <c r="BG87" s="47"/>
      <c r="BH87" s="47"/>
      <c r="BI87" s="47"/>
      <c r="BJ87" s="47"/>
      <c r="BK87" s="47"/>
      <c r="BL87" s="47"/>
      <c r="BM87" s="47"/>
      <c r="BN87" s="47"/>
      <c r="BO87" s="47"/>
      <c r="BP87" s="47"/>
      <c r="BQ87" s="47"/>
      <c r="BR87" s="47"/>
      <c r="BS87" s="47"/>
      <c r="BT87" s="47"/>
      <c r="BU87" s="47"/>
      <c r="BV87" s="47"/>
      <c r="BW87" s="47"/>
      <c r="BX87" s="47"/>
      <c r="BY87" s="47"/>
      <c r="BZ87" s="47"/>
      <c r="CA87" s="47"/>
      <c r="CB87" s="47"/>
      <c r="CC87" s="47"/>
      <c r="CD87" s="47"/>
      <c r="CE87" s="47"/>
      <c r="CF87" s="47"/>
      <c r="CG87" s="47"/>
      <c r="CH87" s="47"/>
      <c r="CI87" s="47"/>
      <c r="CJ87" s="47"/>
      <c r="CK87" s="47"/>
      <c r="CL87" s="47"/>
      <c r="CM87" s="47"/>
      <c r="CN87" s="47"/>
      <c r="CO87" s="47"/>
      <c r="CP87" s="47"/>
      <c r="CQ87" s="47"/>
      <c r="CR87" s="47"/>
      <c r="CS87" s="47"/>
      <c r="CT87" s="47"/>
      <c r="CU87" s="47"/>
      <c r="CV87" s="47"/>
      <c r="CW87" s="47"/>
      <c r="CX87" s="47"/>
      <c r="CY87" s="47"/>
      <c r="CZ87" s="47"/>
      <c r="DA87" s="47"/>
      <c r="DB87" s="47"/>
      <c r="DC87" s="47"/>
      <c r="DD87" s="47"/>
      <c r="DE87" s="47"/>
      <c r="DF87" s="47"/>
      <c r="DG87" s="47"/>
      <c r="DH87" s="47"/>
      <c r="DI87" s="47"/>
      <c r="DJ87" s="47"/>
      <c r="DK87" s="47"/>
      <c r="DL87" s="47"/>
      <c r="DM87" s="47"/>
      <c r="DN87" s="47"/>
      <c r="DO87" s="47"/>
      <c r="DP87" s="47"/>
      <c r="DQ87" s="47"/>
      <c r="DR87" s="47"/>
      <c r="DS87" s="47"/>
      <c r="DT87" s="47"/>
      <c r="DU87" s="47"/>
      <c r="DV87" s="47"/>
      <c r="DW87" s="47"/>
      <c r="DX87" s="47"/>
      <c r="DY87" s="47"/>
      <c r="DZ87" s="47"/>
      <c r="EA87" s="47"/>
      <c r="EB87" s="47"/>
      <c r="EC87" s="47"/>
      <c r="ED87" s="47"/>
      <c r="EE87" s="47"/>
      <c r="EF87" s="47"/>
      <c r="EG87" s="47"/>
      <c r="EH87" s="47"/>
      <c r="EI87" s="47"/>
      <c r="EJ87" s="47"/>
      <c r="EK87" s="47"/>
      <c r="EL87" s="47"/>
      <c r="EM87" s="47"/>
      <c r="EN87" s="47"/>
      <c r="EO87" s="47"/>
      <c r="EP87" s="47"/>
      <c r="EQ87" s="47"/>
      <c r="ER87" s="47"/>
      <c r="ES87" s="47"/>
      <c r="ET87" s="47"/>
      <c r="EU87" s="47"/>
      <c r="EV87" s="47"/>
      <c r="EW87" s="47"/>
      <c r="EX87" s="47"/>
      <c r="EY87" s="47"/>
      <c r="EZ87" s="47"/>
      <c r="FA87" s="47"/>
      <c r="FB87" s="47"/>
      <c r="FC87" s="47"/>
      <c r="FD87" s="47"/>
      <c r="FE87" s="47"/>
      <c r="FF87" s="47"/>
      <c r="FG87" s="47"/>
      <c r="FH87" s="47"/>
      <c r="FI87" s="47"/>
      <c r="FJ87" s="47"/>
      <c r="FK87" s="47"/>
      <c r="FL87" s="47"/>
      <c r="FM87" s="47"/>
      <c r="FN87" s="47"/>
      <c r="FO87" s="47"/>
      <c r="FP87" s="47"/>
      <c r="FQ87" s="47"/>
      <c r="FR87" s="47"/>
      <c r="FS87" s="47"/>
      <c r="FT87" s="47"/>
      <c r="FU87" s="47"/>
      <c r="FV87" s="47"/>
      <c r="FW87" s="47"/>
      <c r="FX87" s="47"/>
      <c r="FY87" s="47"/>
      <c r="FZ87" s="47"/>
      <c r="GA87" s="47"/>
      <c r="GB87" s="47"/>
      <c r="GC87" s="47"/>
      <c r="GD87" s="47"/>
      <c r="GE87" s="47"/>
      <c r="GF87" s="47"/>
      <c r="GG87" s="47"/>
      <c r="GH87" s="47"/>
      <c r="GI87" s="47"/>
      <c r="GJ87" s="47"/>
      <c r="GK87" s="47"/>
      <c r="GL87" s="47"/>
      <c r="GM87" s="47"/>
      <c r="GN87" s="47"/>
      <c r="GO87" s="47"/>
      <c r="GP87" s="47"/>
      <c r="GQ87" s="47"/>
      <c r="GR87" s="47"/>
      <c r="GS87" s="47"/>
      <c r="GT87" s="47"/>
      <c r="GU87" s="47"/>
      <c r="GV87" s="47"/>
      <c r="GW87" s="47"/>
      <c r="GX87" s="47"/>
      <c r="GY87" s="47"/>
      <c r="GZ87" s="47"/>
      <c r="HA87" s="47"/>
      <c r="HB87" s="47"/>
      <c r="HC87" s="47"/>
      <c r="HD87" s="47"/>
      <c r="HE87" s="47"/>
      <c r="HF87" s="47"/>
      <c r="HG87" s="47"/>
      <c r="HH87" s="47"/>
      <c r="HI87" s="47"/>
      <c r="HJ87" s="47"/>
      <c r="HK87" s="47"/>
      <c r="HL87" s="47"/>
      <c r="HM87" s="47"/>
      <c r="HN87" s="47"/>
      <c r="HO87" s="47"/>
      <c r="HP87" s="47"/>
      <c r="HQ87" s="47"/>
      <c r="HR87" s="47"/>
      <c r="HS87" s="47"/>
      <c r="HT87" s="47"/>
      <c r="HU87" s="47"/>
      <c r="HV87" s="47"/>
      <c r="HW87" s="47"/>
      <c r="HX87" s="47"/>
      <c r="HY87" s="47"/>
      <c r="HZ87" s="47"/>
      <c r="IA87" s="47"/>
      <c r="IB87" s="47"/>
      <c r="IC87" s="47"/>
      <c r="ID87" s="47"/>
      <c r="IE87" s="47"/>
      <c r="IF87" s="47"/>
      <c r="IG87" s="47"/>
      <c r="IH87" s="47"/>
      <c r="II87" s="47"/>
      <c r="IJ87" s="47"/>
      <c r="IK87" s="47"/>
      <c r="IL87" s="47"/>
      <c r="IM87" s="47"/>
      <c r="IN87" s="47"/>
      <c r="IO87" s="47"/>
      <c r="IP87" s="47"/>
      <c r="IQ87" s="47"/>
      <c r="IR87" s="47"/>
      <c r="IS87" s="47"/>
      <c r="IT87" s="47"/>
      <c r="IU87" s="47"/>
      <c r="IV87" s="47"/>
      <c r="IW87" s="1"/>
      <c r="IX87" s="1"/>
      <c r="IY87" s="1"/>
      <c r="IZ87" s="1"/>
      <c r="JA87" s="1"/>
      <c r="JB87" s="1"/>
      <c r="JC87" s="1"/>
      <c r="JD87" s="1"/>
      <c r="JE87" s="1"/>
      <c r="JF87" s="1"/>
      <c r="JG87" s="1"/>
      <c r="JH87" s="1"/>
      <c r="JI87" s="1"/>
      <c r="JJ87" s="1"/>
      <c r="JK87" s="1"/>
      <c r="JL87" s="1"/>
      <c r="JM87" s="1"/>
      <c r="JN87" s="1"/>
      <c r="JO87" s="1"/>
      <c r="JP87" s="1"/>
      <c r="JQ87" s="1"/>
      <c r="JR87" s="1"/>
      <c r="JS87" s="1"/>
      <c r="JT87" s="1"/>
      <c r="JU87" s="1"/>
      <c r="JV87" s="1"/>
      <c r="JW87" s="1"/>
      <c r="JX87" s="1"/>
      <c r="JY87" s="1"/>
      <c r="JZ87" s="1"/>
      <c r="KA87" s="1"/>
      <c r="KB87" s="1"/>
      <c r="KC87" s="1"/>
      <c r="KD87" s="1"/>
      <c r="KE87" s="1"/>
      <c r="KF87" s="1"/>
      <c r="KG87" s="1"/>
      <c r="KH87" s="1"/>
      <c r="KI87" s="1"/>
      <c r="KJ87" s="1"/>
      <c r="KK87" s="1"/>
      <c r="KL87" s="1"/>
      <c r="KM87" s="1"/>
      <c r="KN87" s="1"/>
      <c r="KO87" s="1"/>
      <c r="KP87" s="1"/>
      <c r="KQ87" s="1"/>
      <c r="KR87" s="1"/>
      <c r="KS87" s="1"/>
      <c r="KT87" s="1"/>
      <c r="KU87" s="1"/>
      <c r="KV87" s="1"/>
      <c r="KW87" s="1"/>
      <c r="KX87" s="1"/>
      <c r="KY87" s="1"/>
      <c r="KZ87" s="1"/>
      <c r="LA87" s="1"/>
      <c r="LB87" s="1"/>
      <c r="LC87" s="1"/>
      <c r="LD87" s="1"/>
      <c r="LE87" s="1"/>
      <c r="LF87" s="1"/>
      <c r="LG87" s="1"/>
      <c r="LH87" s="1"/>
      <c r="LI87" s="1"/>
      <c r="LJ87" s="1"/>
      <c r="LK87" s="1"/>
      <c r="LL87" s="1"/>
      <c r="LM87" s="1"/>
      <c r="LN87" s="1"/>
      <c r="LO87" s="1"/>
      <c r="LP87" s="1"/>
      <c r="LQ87" s="1"/>
      <c r="LR87" s="1"/>
      <c r="LS87" s="1"/>
      <c r="LT87" s="1"/>
      <c r="LU87" s="1"/>
      <c r="LV87" s="1"/>
      <c r="LW87" s="1"/>
      <c r="LX87" s="1"/>
      <c r="LY87" s="1"/>
      <c r="LZ87" s="1"/>
      <c r="MA87" s="1"/>
      <c r="MB87" s="1"/>
      <c r="MC87" s="1"/>
      <c r="MD87" s="1"/>
      <c r="ME87" s="1"/>
      <c r="MF87" s="1"/>
      <c r="MG87" s="1"/>
      <c r="MH87" s="1"/>
      <c r="MI87" s="1"/>
      <c r="MJ87" s="1"/>
      <c r="MK87" s="1"/>
      <c r="ML87" s="1"/>
      <c r="MM87" s="1"/>
      <c r="MN87" s="1"/>
      <c r="MO87" s="1"/>
      <c r="MP87" s="1"/>
      <c r="MQ87" s="1"/>
      <c r="MR87" s="1"/>
      <c r="MS87" s="1"/>
      <c r="MT87" s="1"/>
      <c r="MU87" s="1"/>
      <c r="MV87" s="1"/>
      <c r="MW87" s="1"/>
      <c r="MX87" s="1"/>
      <c r="MY87" s="1"/>
      <c r="MZ87" s="1"/>
      <c r="NA87" s="1"/>
      <c r="NB87" s="1"/>
      <c r="ND87" s="53">
        <v>5.2999999999999901E-2</v>
      </c>
      <c r="NE87" s="47">
        <v>55542.366853192267</v>
      </c>
      <c r="NF87" s="13">
        <v>0.43</v>
      </c>
      <c r="NG87" s="1">
        <f>Combine!A89</f>
        <v>48204</v>
      </c>
      <c r="NH87" s="14">
        <f>Combine!F89</f>
        <v>41610.708178330802</v>
      </c>
    </row>
    <row r="88" spans="1:372" ht="12.75" customHeight="1" x14ac:dyDescent="0.3">
      <c r="A88" s="59"/>
      <c r="D88" s="61"/>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c r="FI88" s="47"/>
      <c r="FJ88" s="47"/>
      <c r="FK88" s="47"/>
      <c r="FL88" s="47"/>
      <c r="FM88" s="47"/>
      <c r="FN88" s="47"/>
      <c r="FO88" s="47"/>
      <c r="FP88" s="47"/>
      <c r="FQ88" s="47"/>
      <c r="FR88" s="47"/>
      <c r="FS88" s="47"/>
      <c r="FT88" s="47"/>
      <c r="FU88" s="47"/>
      <c r="FV88" s="47"/>
      <c r="FW88" s="47"/>
      <c r="FX88" s="47"/>
      <c r="FY88" s="47"/>
      <c r="FZ88" s="47"/>
      <c r="GA88" s="47"/>
      <c r="GB88" s="47"/>
      <c r="GC88" s="47"/>
      <c r="GD88" s="47"/>
      <c r="GE88" s="47"/>
      <c r="GF88" s="47"/>
      <c r="GG88" s="47"/>
      <c r="GH88" s="47"/>
      <c r="GI88" s="47"/>
      <c r="GJ88" s="47"/>
      <c r="GK88" s="47"/>
      <c r="GL88" s="47"/>
      <c r="GM88" s="47"/>
      <c r="GN88" s="47"/>
      <c r="GO88" s="47"/>
      <c r="GP88" s="47"/>
      <c r="GQ88" s="47"/>
      <c r="GR88" s="47"/>
      <c r="GS88" s="47"/>
      <c r="GT88" s="47"/>
      <c r="GU88" s="47"/>
      <c r="GV88" s="47"/>
      <c r="GW88" s="47"/>
      <c r="GX88" s="47"/>
      <c r="GY88" s="47"/>
      <c r="GZ88" s="47"/>
      <c r="HA88" s="47"/>
      <c r="HB88" s="47"/>
      <c r="HC88" s="47"/>
      <c r="HD88" s="47"/>
      <c r="HE88" s="47"/>
      <c r="HF88" s="47"/>
      <c r="HG88" s="47"/>
      <c r="HH88" s="47"/>
      <c r="HI88" s="47"/>
      <c r="HJ88" s="47"/>
      <c r="HK88" s="47"/>
      <c r="HL88" s="47"/>
      <c r="HM88" s="47"/>
      <c r="HN88" s="47"/>
      <c r="HO88" s="47"/>
      <c r="HP88" s="47"/>
      <c r="HQ88" s="47"/>
      <c r="HR88" s="47"/>
      <c r="HS88" s="47"/>
      <c r="HT88" s="47"/>
      <c r="HU88" s="47"/>
      <c r="HV88" s="47"/>
      <c r="HW88" s="47"/>
      <c r="HX88" s="47"/>
      <c r="HY88" s="47"/>
      <c r="HZ88" s="47"/>
      <c r="IA88" s="47"/>
      <c r="IB88" s="47"/>
      <c r="IC88" s="47"/>
      <c r="ID88" s="47"/>
      <c r="IE88" s="47"/>
      <c r="IF88" s="47"/>
      <c r="IG88" s="47"/>
      <c r="IH88" s="47"/>
      <c r="II88" s="47"/>
      <c r="IJ88" s="47"/>
      <c r="IK88" s="47"/>
      <c r="IL88" s="47"/>
      <c r="IM88" s="47"/>
      <c r="IN88" s="47"/>
      <c r="IO88" s="47"/>
      <c r="IP88" s="47"/>
      <c r="IQ88" s="47"/>
      <c r="IR88" s="47"/>
      <c r="IS88" s="47"/>
      <c r="IT88" s="47"/>
      <c r="IU88" s="47"/>
      <c r="IV88" s="47"/>
      <c r="IW88" s="1"/>
      <c r="IX88" s="1"/>
      <c r="IY88" s="1"/>
      <c r="IZ88" s="1"/>
      <c r="JA88" s="1"/>
      <c r="JB88" s="1"/>
      <c r="JC88" s="1"/>
      <c r="JD88" s="1"/>
      <c r="JE88" s="1"/>
      <c r="JF88" s="1"/>
      <c r="JG88" s="1"/>
      <c r="JH88" s="1"/>
      <c r="JI88" s="1"/>
      <c r="JJ88" s="1"/>
      <c r="JK88" s="1"/>
      <c r="JL88" s="1"/>
      <c r="JM88" s="1"/>
      <c r="JN88" s="1"/>
      <c r="JO88" s="1"/>
      <c r="JP88" s="1"/>
      <c r="JQ88" s="1"/>
      <c r="JR88" s="1"/>
      <c r="JS88" s="1"/>
      <c r="JT88" s="1"/>
      <c r="JU88" s="1"/>
      <c r="JV88" s="1"/>
      <c r="JW88" s="1"/>
      <c r="JX88" s="1"/>
      <c r="JY88" s="1"/>
      <c r="JZ88" s="1"/>
      <c r="KA88" s="1"/>
      <c r="KB88" s="1"/>
      <c r="KC88" s="1"/>
      <c r="KD88" s="1"/>
      <c r="KE88" s="1"/>
      <c r="KF88" s="1"/>
      <c r="KG88" s="1"/>
      <c r="KH88" s="1"/>
      <c r="KI88" s="1"/>
      <c r="KJ88" s="1"/>
      <c r="KK88" s="1"/>
      <c r="KL88" s="1"/>
      <c r="KM88" s="1"/>
      <c r="KN88" s="1"/>
      <c r="KO88" s="1"/>
      <c r="KP88" s="1"/>
      <c r="KQ88" s="1"/>
      <c r="KR88" s="1"/>
      <c r="KS88" s="1"/>
      <c r="KT88" s="1"/>
      <c r="KU88" s="1"/>
      <c r="KV88" s="1"/>
      <c r="KW88" s="1"/>
      <c r="KX88" s="1"/>
      <c r="KY88" s="1"/>
      <c r="KZ88" s="1"/>
      <c r="LA88" s="1"/>
      <c r="LB88" s="1"/>
      <c r="LC88" s="1"/>
      <c r="LD88" s="1"/>
      <c r="LE88" s="1"/>
      <c r="LF88" s="1"/>
      <c r="LG88" s="1"/>
      <c r="LH88" s="1"/>
      <c r="LI88" s="1"/>
      <c r="LJ88" s="1"/>
      <c r="LK88" s="1"/>
      <c r="LL88" s="1"/>
      <c r="LM88" s="1"/>
      <c r="LN88" s="1"/>
      <c r="LO88" s="1"/>
      <c r="LP88" s="1"/>
      <c r="LQ88" s="1"/>
      <c r="LR88" s="1"/>
      <c r="LS88" s="1"/>
      <c r="LT88" s="1"/>
      <c r="LU88" s="1"/>
      <c r="LV88" s="1"/>
      <c r="LW88" s="1"/>
      <c r="LX88" s="1"/>
      <c r="LY88" s="1"/>
      <c r="LZ88" s="1"/>
      <c r="MA88" s="1"/>
      <c r="MB88" s="1"/>
      <c r="MC88" s="1"/>
      <c r="MD88" s="1"/>
      <c r="ME88" s="1"/>
      <c r="MF88" s="1"/>
      <c r="MG88" s="1"/>
      <c r="MH88" s="1"/>
      <c r="MI88" s="1"/>
      <c r="MJ88" s="1"/>
      <c r="MK88" s="1"/>
      <c r="ML88" s="1"/>
      <c r="MM88" s="1"/>
      <c r="MN88" s="1"/>
      <c r="MO88" s="1"/>
      <c r="MP88" s="1"/>
      <c r="MQ88" s="1"/>
      <c r="MR88" s="1"/>
      <c r="MS88" s="1"/>
      <c r="MT88" s="1"/>
      <c r="MU88" s="1"/>
      <c r="MV88" s="1"/>
      <c r="MW88" s="1"/>
      <c r="MX88" s="1"/>
      <c r="MY88" s="1"/>
      <c r="MZ88" s="1"/>
      <c r="NA88" s="1"/>
      <c r="NB88" s="1"/>
      <c r="ND88" s="53">
        <v>5.3999999999999902E-2</v>
      </c>
      <c r="NE88" s="47">
        <v>53496.472402363099</v>
      </c>
      <c r="NF88" s="13">
        <v>0.435</v>
      </c>
      <c r="NG88" s="1">
        <f>Combine!A90</f>
        <v>48335</v>
      </c>
      <c r="NH88" s="14">
        <f>Combine!F90</f>
        <v>388811.01839375898</v>
      </c>
    </row>
    <row r="89" spans="1:372" ht="12.75" customHeight="1" x14ac:dyDescent="0.3">
      <c r="A89" s="59"/>
      <c r="D89" s="61"/>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c r="AW89" s="47"/>
      <c r="AX89" s="47"/>
      <c r="AY89" s="47"/>
      <c r="AZ89" s="47"/>
      <c r="BA89" s="47"/>
      <c r="BB89" s="47"/>
      <c r="BC89" s="47"/>
      <c r="BD89" s="47"/>
      <c r="BE89" s="47"/>
      <c r="BF89" s="47"/>
      <c r="BG89" s="47"/>
      <c r="BH89" s="47"/>
      <c r="BI89" s="47"/>
      <c r="BJ89" s="47"/>
      <c r="BK89" s="47"/>
      <c r="BL89" s="47"/>
      <c r="BM89" s="47"/>
      <c r="BN89" s="47"/>
      <c r="BO89" s="47"/>
      <c r="BP89" s="47"/>
      <c r="BQ89" s="47"/>
      <c r="BR89" s="47"/>
      <c r="BS89" s="47"/>
      <c r="BT89" s="47"/>
      <c r="BU89" s="47"/>
      <c r="BV89" s="47"/>
      <c r="BW89" s="47"/>
      <c r="BX89" s="47"/>
      <c r="BY89" s="47"/>
      <c r="BZ89" s="47"/>
      <c r="CA89" s="47"/>
      <c r="CB89" s="47"/>
      <c r="CC89" s="47"/>
      <c r="CD89" s="47"/>
      <c r="CE89" s="47"/>
      <c r="CF89" s="47"/>
      <c r="CG89" s="47"/>
      <c r="CH89" s="47"/>
      <c r="CI89" s="47"/>
      <c r="CJ89" s="47"/>
      <c r="CK89" s="47"/>
      <c r="CL89" s="47"/>
      <c r="CM89" s="47"/>
      <c r="CN89" s="47"/>
      <c r="CO89" s="47"/>
      <c r="CP89" s="47"/>
      <c r="CQ89" s="47"/>
      <c r="CR89" s="47"/>
      <c r="CS89" s="47"/>
      <c r="CT89" s="47"/>
      <c r="CU89" s="47"/>
      <c r="CV89" s="47"/>
      <c r="CW89" s="47"/>
      <c r="CX89" s="47"/>
      <c r="CY89" s="47"/>
      <c r="CZ89" s="47"/>
      <c r="DA89" s="47"/>
      <c r="DB89" s="47"/>
      <c r="DC89" s="47"/>
      <c r="DD89" s="47"/>
      <c r="DE89" s="47"/>
      <c r="DF89" s="47"/>
      <c r="DG89" s="47"/>
      <c r="DH89" s="47"/>
      <c r="DI89" s="47"/>
      <c r="DJ89" s="47"/>
      <c r="DK89" s="47"/>
      <c r="DL89" s="47"/>
      <c r="DM89" s="47"/>
      <c r="DN89" s="47"/>
      <c r="DO89" s="47"/>
      <c r="DP89" s="47"/>
      <c r="DQ89" s="47"/>
      <c r="DR89" s="47"/>
      <c r="DS89" s="47"/>
      <c r="DT89" s="47"/>
      <c r="DU89" s="47"/>
      <c r="DV89" s="47"/>
      <c r="DW89" s="47"/>
      <c r="DX89" s="47"/>
      <c r="DY89" s="47"/>
      <c r="DZ89" s="47"/>
      <c r="EA89" s="47"/>
      <c r="EB89" s="47"/>
      <c r="EC89" s="47"/>
      <c r="ED89" s="47"/>
      <c r="EE89" s="47"/>
      <c r="EF89" s="47"/>
      <c r="EG89" s="47"/>
      <c r="EH89" s="47"/>
      <c r="EI89" s="47"/>
      <c r="EJ89" s="47"/>
      <c r="EK89" s="47"/>
      <c r="EL89" s="47"/>
      <c r="EM89" s="47"/>
      <c r="EN89" s="47"/>
      <c r="EO89" s="47"/>
      <c r="EP89" s="47"/>
      <c r="EQ89" s="47"/>
      <c r="ER89" s="47"/>
      <c r="ES89" s="47"/>
      <c r="ET89" s="47"/>
      <c r="EU89" s="47"/>
      <c r="EV89" s="47"/>
      <c r="EW89" s="47"/>
      <c r="EX89" s="47"/>
      <c r="EY89" s="47"/>
      <c r="EZ89" s="47"/>
      <c r="FA89" s="47"/>
      <c r="FB89" s="47"/>
      <c r="FC89" s="47"/>
      <c r="FD89" s="47"/>
      <c r="FE89" s="47"/>
      <c r="FF89" s="47"/>
      <c r="FG89" s="47"/>
      <c r="FH89" s="47"/>
      <c r="FI89" s="47"/>
      <c r="FJ89" s="47"/>
      <c r="FK89" s="47"/>
      <c r="FL89" s="47"/>
      <c r="FM89" s="47"/>
      <c r="FN89" s="47"/>
      <c r="FO89" s="47"/>
      <c r="FP89" s="47"/>
      <c r="FQ89" s="47"/>
      <c r="FR89" s="47"/>
      <c r="FS89" s="47"/>
      <c r="FT89" s="47"/>
      <c r="FU89" s="47"/>
      <c r="FV89" s="47"/>
      <c r="FW89" s="47"/>
      <c r="FX89" s="47"/>
      <c r="FY89" s="47"/>
      <c r="FZ89" s="47"/>
      <c r="GA89" s="47"/>
      <c r="GB89" s="47"/>
      <c r="GC89" s="47"/>
      <c r="GD89" s="47"/>
      <c r="GE89" s="47"/>
      <c r="GF89" s="47"/>
      <c r="GG89" s="47"/>
      <c r="GH89" s="47"/>
      <c r="GI89" s="47"/>
      <c r="GJ89" s="47"/>
      <c r="GK89" s="47"/>
      <c r="GL89" s="47"/>
      <c r="GM89" s="47"/>
      <c r="GN89" s="47"/>
      <c r="GO89" s="47"/>
      <c r="GP89" s="47"/>
      <c r="GQ89" s="47"/>
      <c r="GR89" s="47"/>
      <c r="GS89" s="47"/>
      <c r="GT89" s="47"/>
      <c r="GU89" s="47"/>
      <c r="GV89" s="47"/>
      <c r="GW89" s="47"/>
      <c r="GX89" s="47"/>
      <c r="GY89" s="47"/>
      <c r="GZ89" s="47"/>
      <c r="HA89" s="47"/>
      <c r="HB89" s="47"/>
      <c r="HC89" s="47"/>
      <c r="HD89" s="47"/>
      <c r="HE89" s="47"/>
      <c r="HF89" s="47"/>
      <c r="HG89" s="47"/>
      <c r="HH89" s="47"/>
      <c r="HI89" s="47"/>
      <c r="HJ89" s="47"/>
      <c r="HK89" s="47"/>
      <c r="HL89" s="47"/>
      <c r="HM89" s="47"/>
      <c r="HN89" s="47"/>
      <c r="HO89" s="47"/>
      <c r="HP89" s="47"/>
      <c r="HQ89" s="47"/>
      <c r="HR89" s="47"/>
      <c r="HS89" s="47"/>
      <c r="HT89" s="47"/>
      <c r="HU89" s="47"/>
      <c r="HV89" s="47"/>
      <c r="HW89" s="47"/>
      <c r="HX89" s="47"/>
      <c r="HY89" s="47"/>
      <c r="HZ89" s="47"/>
      <c r="IA89" s="47"/>
      <c r="IB89" s="47"/>
      <c r="IC89" s="47"/>
      <c r="ID89" s="47"/>
      <c r="IE89" s="47"/>
      <c r="IF89" s="47"/>
      <c r="IG89" s="47"/>
      <c r="IH89" s="47"/>
      <c r="II89" s="47"/>
      <c r="IJ89" s="47"/>
      <c r="IK89" s="47"/>
      <c r="IL89" s="47"/>
      <c r="IM89" s="47"/>
      <c r="IN89" s="47"/>
      <c r="IO89" s="47"/>
      <c r="IP89" s="47"/>
      <c r="IQ89" s="47"/>
      <c r="IR89" s="47"/>
      <c r="IS89" s="47"/>
      <c r="IT89" s="47"/>
      <c r="IU89" s="47"/>
      <c r="IV89" s="47"/>
      <c r="IW89" s="1"/>
      <c r="IX89" s="1"/>
      <c r="IY89" s="1"/>
      <c r="IZ89" s="1"/>
      <c r="JA89" s="1"/>
      <c r="JB89" s="1"/>
      <c r="JC89" s="1"/>
      <c r="JD89" s="1"/>
      <c r="JE89" s="1"/>
      <c r="JF89" s="1"/>
      <c r="JG89" s="1"/>
      <c r="JH89" s="1"/>
      <c r="JI89" s="1"/>
      <c r="JJ89" s="1"/>
      <c r="JK89" s="1"/>
      <c r="JL89" s="1"/>
      <c r="JM89" s="1"/>
      <c r="JN89" s="1"/>
      <c r="JO89" s="1"/>
      <c r="JP89" s="1"/>
      <c r="JQ89" s="1"/>
      <c r="JR89" s="1"/>
      <c r="JS89" s="1"/>
      <c r="JT89" s="1"/>
      <c r="JU89" s="1"/>
      <c r="JV89" s="1"/>
      <c r="JW89" s="1"/>
      <c r="JX89" s="1"/>
      <c r="JY89" s="1"/>
      <c r="JZ89" s="1"/>
      <c r="KA89" s="1"/>
      <c r="KB89" s="1"/>
      <c r="KC89" s="1"/>
      <c r="KD89" s="1"/>
      <c r="KE89" s="1"/>
      <c r="KF89" s="1"/>
      <c r="KG89" s="1"/>
      <c r="KH89" s="1"/>
      <c r="KI89" s="1"/>
      <c r="KJ89" s="1"/>
      <c r="KK89" s="1"/>
      <c r="KL89" s="1"/>
      <c r="KM89" s="1"/>
      <c r="KN89" s="1"/>
      <c r="KO89" s="1"/>
      <c r="KP89" s="1"/>
      <c r="KQ89" s="1"/>
      <c r="KR89" s="1"/>
      <c r="KS89" s="1"/>
      <c r="KT89" s="1"/>
      <c r="KU89" s="1"/>
      <c r="KV89" s="1"/>
      <c r="KW89" s="1"/>
      <c r="KX89" s="1"/>
      <c r="KY89" s="1"/>
      <c r="KZ89" s="1"/>
      <c r="LA89" s="1"/>
      <c r="LB89" s="1"/>
      <c r="LC89" s="1"/>
      <c r="LD89" s="1"/>
      <c r="LE89" s="1"/>
      <c r="LF89" s="1"/>
      <c r="LG89" s="1"/>
      <c r="LH89" s="1"/>
      <c r="LI89" s="1"/>
      <c r="LJ89" s="1"/>
      <c r="LK89" s="1"/>
      <c r="LL89" s="1"/>
      <c r="LM89" s="1"/>
      <c r="LN89" s="1"/>
      <c r="LO89" s="1"/>
      <c r="LP89" s="1"/>
      <c r="LQ89" s="1"/>
      <c r="LR89" s="1"/>
      <c r="LS89" s="1"/>
      <c r="LT89" s="1"/>
      <c r="LU89" s="1"/>
      <c r="LV89" s="1"/>
      <c r="LW89" s="1"/>
      <c r="LX89" s="1"/>
      <c r="LY89" s="1"/>
      <c r="LZ89" s="1"/>
      <c r="MA89" s="1"/>
      <c r="MB89" s="1"/>
      <c r="MC89" s="1"/>
      <c r="MD89" s="1"/>
      <c r="ME89" s="1"/>
      <c r="MF89" s="1"/>
      <c r="MG89" s="1"/>
      <c r="MH89" s="1"/>
      <c r="MI89" s="1"/>
      <c r="MJ89" s="1"/>
      <c r="MK89" s="1"/>
      <c r="ML89" s="1"/>
      <c r="MM89" s="1"/>
      <c r="MN89" s="1"/>
      <c r="MO89" s="1"/>
      <c r="MP89" s="1"/>
      <c r="MQ89" s="1"/>
      <c r="MR89" s="1"/>
      <c r="MS89" s="1"/>
      <c r="MT89" s="1"/>
      <c r="MU89" s="1"/>
      <c r="MV89" s="1"/>
      <c r="MW89" s="1"/>
      <c r="MX89" s="1"/>
      <c r="MY89" s="1"/>
      <c r="MZ89" s="1"/>
      <c r="NA89" s="1"/>
      <c r="NB89" s="1"/>
      <c r="ND89" s="53">
        <v>5.4999999999999903E-2</v>
      </c>
      <c r="NE89" s="47">
        <v>51445.021847968877</v>
      </c>
      <c r="NF89" s="13">
        <v>0.44</v>
      </c>
      <c r="NG89" s="1">
        <f>Combine!A91</f>
        <v>48167</v>
      </c>
      <c r="NH89" s="14">
        <f>Combine!F91</f>
        <v>486499.458049462</v>
      </c>
    </row>
    <row r="90" spans="1:372" ht="12.75" customHeight="1" x14ac:dyDescent="0.3">
      <c r="A90" s="59"/>
      <c r="D90" s="61"/>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47"/>
      <c r="BL90" s="47"/>
      <c r="BM90" s="47"/>
      <c r="BN90" s="47"/>
      <c r="BO90" s="47"/>
      <c r="BP90" s="47"/>
      <c r="BQ90" s="47"/>
      <c r="BR90" s="47"/>
      <c r="BS90" s="47"/>
      <c r="BT90" s="47"/>
      <c r="BU90" s="47"/>
      <c r="BV90" s="47"/>
      <c r="BW90" s="47"/>
      <c r="BX90" s="47"/>
      <c r="BY90" s="47"/>
      <c r="BZ90" s="47"/>
      <c r="CA90" s="47"/>
      <c r="CB90" s="47"/>
      <c r="CC90" s="47"/>
      <c r="CD90" s="47"/>
      <c r="CE90" s="47"/>
      <c r="CF90" s="47"/>
      <c r="CG90" s="47"/>
      <c r="CH90" s="47"/>
      <c r="CI90" s="47"/>
      <c r="CJ90" s="47"/>
      <c r="CK90" s="47"/>
      <c r="CL90" s="47"/>
      <c r="CM90" s="47"/>
      <c r="CN90" s="47"/>
      <c r="CO90" s="47"/>
      <c r="CP90" s="47"/>
      <c r="CQ90" s="47"/>
      <c r="CR90" s="47"/>
      <c r="CS90" s="47"/>
      <c r="CT90" s="47"/>
      <c r="CU90" s="47"/>
      <c r="CV90" s="47"/>
      <c r="CW90" s="47"/>
      <c r="CX90" s="47"/>
      <c r="CY90" s="47"/>
      <c r="CZ90" s="47"/>
      <c r="DA90" s="47"/>
      <c r="DB90" s="47"/>
      <c r="DC90" s="47"/>
      <c r="DD90" s="47"/>
      <c r="DE90" s="47"/>
      <c r="DF90" s="47"/>
      <c r="DG90" s="47"/>
      <c r="DH90" s="47"/>
      <c r="DI90" s="47"/>
      <c r="DJ90" s="47"/>
      <c r="DK90" s="47"/>
      <c r="DL90" s="47"/>
      <c r="DM90" s="47"/>
      <c r="DN90" s="47"/>
      <c r="DO90" s="47"/>
      <c r="DP90" s="47"/>
      <c r="DQ90" s="47"/>
      <c r="DR90" s="47"/>
      <c r="DS90" s="47"/>
      <c r="DT90" s="47"/>
      <c r="DU90" s="47"/>
      <c r="DV90" s="47"/>
      <c r="DW90" s="47"/>
      <c r="DX90" s="47"/>
      <c r="DY90" s="47"/>
      <c r="DZ90" s="47"/>
      <c r="EA90" s="47"/>
      <c r="EB90" s="47"/>
      <c r="EC90" s="47"/>
      <c r="ED90" s="47"/>
      <c r="EE90" s="47"/>
      <c r="EF90" s="47"/>
      <c r="EG90" s="47"/>
      <c r="EH90" s="47"/>
      <c r="EI90" s="47"/>
      <c r="EJ90" s="47"/>
      <c r="EK90" s="47"/>
      <c r="EL90" s="47"/>
      <c r="EM90" s="47"/>
      <c r="EN90" s="47"/>
      <c r="EO90" s="47"/>
      <c r="EP90" s="47"/>
      <c r="EQ90" s="47"/>
      <c r="ER90" s="47"/>
      <c r="ES90" s="47"/>
      <c r="ET90" s="47"/>
      <c r="EU90" s="47"/>
      <c r="EV90" s="47"/>
      <c r="EW90" s="47"/>
      <c r="EX90" s="47"/>
      <c r="EY90" s="47"/>
      <c r="EZ90" s="47"/>
      <c r="FA90" s="47"/>
      <c r="FB90" s="47"/>
      <c r="FC90" s="47"/>
      <c r="FD90" s="47"/>
      <c r="FE90" s="47"/>
      <c r="FF90" s="47"/>
      <c r="FG90" s="47"/>
      <c r="FH90" s="47"/>
      <c r="FI90" s="47"/>
      <c r="FJ90" s="47"/>
      <c r="FK90" s="47"/>
      <c r="FL90" s="47"/>
      <c r="FM90" s="47"/>
      <c r="FN90" s="47"/>
      <c r="FO90" s="47"/>
      <c r="FP90" s="47"/>
      <c r="FQ90" s="47"/>
      <c r="FR90" s="47"/>
      <c r="FS90" s="47"/>
      <c r="FT90" s="47"/>
      <c r="FU90" s="47"/>
      <c r="FV90" s="47"/>
      <c r="FW90" s="47"/>
      <c r="FX90" s="47"/>
      <c r="FY90" s="47"/>
      <c r="FZ90" s="47"/>
      <c r="GA90" s="47"/>
      <c r="GB90" s="47"/>
      <c r="GC90" s="47"/>
      <c r="GD90" s="47"/>
      <c r="GE90" s="47"/>
      <c r="GF90" s="47"/>
      <c r="GG90" s="47"/>
      <c r="GH90" s="47"/>
      <c r="GI90" s="47"/>
      <c r="GJ90" s="47"/>
      <c r="GK90" s="47"/>
      <c r="GL90" s="47"/>
      <c r="GM90" s="47"/>
      <c r="GN90" s="47"/>
      <c r="GO90" s="47"/>
      <c r="GP90" s="47"/>
      <c r="GQ90" s="47"/>
      <c r="GR90" s="47"/>
      <c r="GS90" s="47"/>
      <c r="GT90" s="47"/>
      <c r="GU90" s="47"/>
      <c r="GV90" s="47"/>
      <c r="GW90" s="47"/>
      <c r="GX90" s="47"/>
      <c r="GY90" s="47"/>
      <c r="GZ90" s="47"/>
      <c r="HA90" s="47"/>
      <c r="HB90" s="47"/>
      <c r="HC90" s="47"/>
      <c r="HD90" s="47"/>
      <c r="HE90" s="47"/>
      <c r="HF90" s="47"/>
      <c r="HG90" s="47"/>
      <c r="HH90" s="47"/>
      <c r="HI90" s="47"/>
      <c r="HJ90" s="47"/>
      <c r="HK90" s="47"/>
      <c r="HL90" s="47"/>
      <c r="HM90" s="47"/>
      <c r="HN90" s="47"/>
      <c r="HO90" s="47"/>
      <c r="HP90" s="47"/>
      <c r="HQ90" s="47"/>
      <c r="HR90" s="47"/>
      <c r="HS90" s="47"/>
      <c r="HT90" s="47"/>
      <c r="HU90" s="47"/>
      <c r="HV90" s="47"/>
      <c r="HW90" s="47"/>
      <c r="HX90" s="47"/>
      <c r="HY90" s="47"/>
      <c r="HZ90" s="47"/>
      <c r="IA90" s="47"/>
      <c r="IB90" s="47"/>
      <c r="IC90" s="47"/>
      <c r="ID90" s="47"/>
      <c r="IE90" s="47"/>
      <c r="IF90" s="47"/>
      <c r="IG90" s="47"/>
      <c r="IH90" s="47"/>
      <c r="II90" s="47"/>
      <c r="IJ90" s="47"/>
      <c r="IK90" s="47"/>
      <c r="IL90" s="47"/>
      <c r="IM90" s="47"/>
      <c r="IN90" s="47"/>
      <c r="IO90" s="47"/>
      <c r="IP90" s="47"/>
      <c r="IQ90" s="47"/>
      <c r="IR90" s="47"/>
      <c r="IS90" s="47"/>
      <c r="IT90" s="47"/>
      <c r="IU90" s="47"/>
      <c r="IV90" s="47"/>
      <c r="IW90" s="1"/>
      <c r="IX90" s="1"/>
      <c r="IY90" s="1"/>
      <c r="IZ90" s="1"/>
      <c r="JA90" s="1"/>
      <c r="JB90" s="1"/>
      <c r="JC90" s="1"/>
      <c r="JD90" s="1"/>
      <c r="JE90" s="1"/>
      <c r="JF90" s="1"/>
      <c r="JG90" s="1"/>
      <c r="JH90" s="1"/>
      <c r="JI90" s="1"/>
      <c r="JJ90" s="1"/>
      <c r="JK90" s="1"/>
      <c r="JL90" s="1"/>
      <c r="JM90" s="1"/>
      <c r="JN90" s="1"/>
      <c r="JO90" s="1"/>
      <c r="JP90" s="1"/>
      <c r="JQ90" s="1"/>
      <c r="JR90" s="1"/>
      <c r="JS90" s="1"/>
      <c r="JT90" s="1"/>
      <c r="JU90" s="1"/>
      <c r="JV90" s="1"/>
      <c r="JW90" s="1"/>
      <c r="JX90" s="1"/>
      <c r="JY90" s="1"/>
      <c r="JZ90" s="1"/>
      <c r="KA90" s="1"/>
      <c r="KB90" s="1"/>
      <c r="KC90" s="1"/>
      <c r="KD90" s="1"/>
      <c r="KE90" s="1"/>
      <c r="KF90" s="1"/>
      <c r="KG90" s="1"/>
      <c r="KH90" s="1"/>
      <c r="KI90" s="1"/>
      <c r="KJ90" s="1"/>
      <c r="KK90" s="1"/>
      <c r="KL90" s="1"/>
      <c r="KM90" s="1"/>
      <c r="KN90" s="1"/>
      <c r="KO90" s="1"/>
      <c r="KP90" s="1"/>
      <c r="KQ90" s="1"/>
      <c r="KR90" s="1"/>
      <c r="KS90" s="1"/>
      <c r="KT90" s="1"/>
      <c r="KU90" s="1"/>
      <c r="KV90" s="1"/>
      <c r="KW90" s="1"/>
      <c r="KX90" s="1"/>
      <c r="KY90" s="1"/>
      <c r="KZ90" s="1"/>
      <c r="LA90" s="1"/>
      <c r="LB90" s="1"/>
      <c r="LC90" s="1"/>
      <c r="LD90" s="1"/>
      <c r="LE90" s="1"/>
      <c r="LF90" s="1"/>
      <c r="LG90" s="1"/>
      <c r="LH90" s="1"/>
      <c r="LI90" s="1"/>
      <c r="LJ90" s="1"/>
      <c r="LK90" s="1"/>
      <c r="LL90" s="1"/>
      <c r="LM90" s="1"/>
      <c r="LN90" s="1"/>
      <c r="LO90" s="1"/>
      <c r="LP90" s="1"/>
      <c r="LQ90" s="1"/>
      <c r="LR90" s="1"/>
      <c r="LS90" s="1"/>
      <c r="LT90" s="1"/>
      <c r="LU90" s="1"/>
      <c r="LV90" s="1"/>
      <c r="LW90" s="1"/>
      <c r="LX90" s="1"/>
      <c r="LY90" s="1"/>
      <c r="LZ90" s="1"/>
      <c r="MA90" s="1"/>
      <c r="MB90" s="1"/>
      <c r="MC90" s="1"/>
      <c r="MD90" s="1"/>
      <c r="ME90" s="1"/>
      <c r="MF90" s="1"/>
      <c r="MG90" s="1"/>
      <c r="MH90" s="1"/>
      <c r="MI90" s="1"/>
      <c r="MJ90" s="1"/>
      <c r="MK90" s="1"/>
      <c r="ML90" s="1"/>
      <c r="MM90" s="1"/>
      <c r="MN90" s="1"/>
      <c r="MO90" s="1"/>
      <c r="MP90" s="1"/>
      <c r="MQ90" s="1"/>
      <c r="MR90" s="1"/>
      <c r="MS90" s="1"/>
      <c r="MT90" s="1"/>
      <c r="MU90" s="1"/>
      <c r="MV90" s="1"/>
      <c r="MW90" s="1"/>
      <c r="MX90" s="1"/>
      <c r="MY90" s="1"/>
      <c r="MZ90" s="1"/>
      <c r="NA90" s="1"/>
      <c r="NB90" s="1"/>
      <c r="ND90" s="53">
        <v>5.5999999999999897E-2</v>
      </c>
      <c r="NE90" s="47">
        <v>49388.101236406772</v>
      </c>
      <c r="NF90" s="13">
        <v>0.44500000000000001</v>
      </c>
      <c r="NG90" s="1">
        <f>Combine!A92</f>
        <v>48346</v>
      </c>
      <c r="NH90" s="14">
        <f>Combine!F92</f>
        <v>307776.68297754898</v>
      </c>
    </row>
    <row r="91" spans="1:372" ht="12.75" customHeight="1" x14ac:dyDescent="0.3">
      <c r="A91" s="59"/>
      <c r="D91" s="61"/>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c r="AW91" s="47"/>
      <c r="AX91" s="47"/>
      <c r="AY91" s="47"/>
      <c r="AZ91" s="47"/>
      <c r="BA91" s="47"/>
      <c r="BB91" s="47"/>
      <c r="BC91" s="47"/>
      <c r="BD91" s="47"/>
      <c r="BE91" s="47"/>
      <c r="BF91" s="47"/>
      <c r="BG91" s="47"/>
      <c r="BH91" s="47"/>
      <c r="BI91" s="47"/>
      <c r="BJ91" s="47"/>
      <c r="BK91" s="47"/>
      <c r="BL91" s="47"/>
      <c r="BM91" s="47"/>
      <c r="BN91" s="47"/>
      <c r="BO91" s="47"/>
      <c r="BP91" s="47"/>
      <c r="BQ91" s="47"/>
      <c r="BR91" s="47"/>
      <c r="BS91" s="47"/>
      <c r="BT91" s="47"/>
      <c r="BU91" s="47"/>
      <c r="BV91" s="47"/>
      <c r="BW91" s="47"/>
      <c r="BX91" s="47"/>
      <c r="BY91" s="47"/>
      <c r="BZ91" s="47"/>
      <c r="CA91" s="47"/>
      <c r="CB91" s="47"/>
      <c r="CC91" s="47"/>
      <c r="CD91" s="47"/>
      <c r="CE91" s="47"/>
      <c r="CF91" s="47"/>
      <c r="CG91" s="47"/>
      <c r="CH91" s="47"/>
      <c r="CI91" s="47"/>
      <c r="CJ91" s="47"/>
      <c r="CK91" s="47"/>
      <c r="CL91" s="47"/>
      <c r="CM91" s="47"/>
      <c r="CN91" s="47"/>
      <c r="CO91" s="47"/>
      <c r="CP91" s="47"/>
      <c r="CQ91" s="47"/>
      <c r="CR91" s="47"/>
      <c r="CS91" s="47"/>
      <c r="CT91" s="47"/>
      <c r="CU91" s="47"/>
      <c r="CV91" s="47"/>
      <c r="CW91" s="47"/>
      <c r="CX91" s="47"/>
      <c r="CY91" s="47"/>
      <c r="CZ91" s="47"/>
      <c r="DA91" s="47"/>
      <c r="DB91" s="47"/>
      <c r="DC91" s="47"/>
      <c r="DD91" s="47"/>
      <c r="DE91" s="47"/>
      <c r="DF91" s="47"/>
      <c r="DG91" s="47"/>
      <c r="DH91" s="47"/>
      <c r="DI91" s="47"/>
      <c r="DJ91" s="47"/>
      <c r="DK91" s="47"/>
      <c r="DL91" s="47"/>
      <c r="DM91" s="47"/>
      <c r="DN91" s="47"/>
      <c r="DO91" s="47"/>
      <c r="DP91" s="47"/>
      <c r="DQ91" s="47"/>
      <c r="DR91" s="47"/>
      <c r="DS91" s="47"/>
      <c r="DT91" s="47"/>
      <c r="DU91" s="47"/>
      <c r="DV91" s="47"/>
      <c r="DW91" s="47"/>
      <c r="DX91" s="47"/>
      <c r="DY91" s="47"/>
      <c r="DZ91" s="47"/>
      <c r="EA91" s="47"/>
      <c r="EB91" s="47"/>
      <c r="EC91" s="47"/>
      <c r="ED91" s="47"/>
      <c r="EE91" s="47"/>
      <c r="EF91" s="47"/>
      <c r="EG91" s="47"/>
      <c r="EH91" s="47"/>
      <c r="EI91" s="47"/>
      <c r="EJ91" s="47"/>
      <c r="EK91" s="47"/>
      <c r="EL91" s="47"/>
      <c r="EM91" s="47"/>
      <c r="EN91" s="47"/>
      <c r="EO91" s="47"/>
      <c r="EP91" s="47"/>
      <c r="EQ91" s="47"/>
      <c r="ER91" s="47"/>
      <c r="ES91" s="47"/>
      <c r="ET91" s="47"/>
      <c r="EU91" s="47"/>
      <c r="EV91" s="47"/>
      <c r="EW91" s="47"/>
      <c r="EX91" s="47"/>
      <c r="EY91" s="47"/>
      <c r="EZ91" s="47"/>
      <c r="FA91" s="47"/>
      <c r="FB91" s="47"/>
      <c r="FC91" s="47"/>
      <c r="FD91" s="47"/>
      <c r="FE91" s="47"/>
      <c r="FF91" s="47"/>
      <c r="FG91" s="47"/>
      <c r="FH91" s="47"/>
      <c r="FI91" s="47"/>
      <c r="FJ91" s="47"/>
      <c r="FK91" s="47"/>
      <c r="FL91" s="47"/>
      <c r="FM91" s="47"/>
      <c r="FN91" s="47"/>
      <c r="FO91" s="47"/>
      <c r="FP91" s="47"/>
      <c r="FQ91" s="47"/>
      <c r="FR91" s="47"/>
      <c r="FS91" s="47"/>
      <c r="FT91" s="47"/>
      <c r="FU91" s="47"/>
      <c r="FV91" s="47"/>
      <c r="FW91" s="47"/>
      <c r="FX91" s="47"/>
      <c r="FY91" s="47"/>
      <c r="FZ91" s="47"/>
      <c r="GA91" s="47"/>
      <c r="GB91" s="47"/>
      <c r="GC91" s="47"/>
      <c r="GD91" s="47"/>
      <c r="GE91" s="47"/>
      <c r="GF91" s="47"/>
      <c r="GG91" s="47"/>
      <c r="GH91" s="47"/>
      <c r="GI91" s="47"/>
      <c r="GJ91" s="47"/>
      <c r="GK91" s="47"/>
      <c r="GL91" s="47"/>
      <c r="GM91" s="47"/>
      <c r="GN91" s="47"/>
      <c r="GO91" s="47"/>
      <c r="GP91" s="47"/>
      <c r="GQ91" s="47"/>
      <c r="GR91" s="47"/>
      <c r="GS91" s="47"/>
      <c r="GT91" s="47"/>
      <c r="GU91" s="47"/>
      <c r="GV91" s="47"/>
      <c r="GW91" s="47"/>
      <c r="GX91" s="47"/>
      <c r="GY91" s="47"/>
      <c r="GZ91" s="47"/>
      <c r="HA91" s="47"/>
      <c r="HB91" s="47"/>
      <c r="HC91" s="47"/>
      <c r="HD91" s="47"/>
      <c r="HE91" s="47"/>
      <c r="HF91" s="47"/>
      <c r="HG91" s="47"/>
      <c r="HH91" s="47"/>
      <c r="HI91" s="47"/>
      <c r="HJ91" s="47"/>
      <c r="HK91" s="47"/>
      <c r="HL91" s="47"/>
      <c r="HM91" s="47"/>
      <c r="HN91" s="47"/>
      <c r="HO91" s="47"/>
      <c r="HP91" s="47"/>
      <c r="HQ91" s="47"/>
      <c r="HR91" s="47"/>
      <c r="HS91" s="47"/>
      <c r="HT91" s="47"/>
      <c r="HU91" s="47"/>
      <c r="HV91" s="47"/>
      <c r="HW91" s="47"/>
      <c r="HX91" s="47"/>
      <c r="HY91" s="47"/>
      <c r="HZ91" s="47"/>
      <c r="IA91" s="47"/>
      <c r="IB91" s="47"/>
      <c r="IC91" s="47"/>
      <c r="ID91" s="47"/>
      <c r="IE91" s="47"/>
      <c r="IF91" s="47"/>
      <c r="IG91" s="47"/>
      <c r="IH91" s="47"/>
      <c r="II91" s="47"/>
      <c r="IJ91" s="47"/>
      <c r="IK91" s="47"/>
      <c r="IL91" s="47"/>
      <c r="IM91" s="47"/>
      <c r="IN91" s="47"/>
      <c r="IO91" s="47"/>
      <c r="IP91" s="47"/>
      <c r="IQ91" s="47"/>
      <c r="IR91" s="47"/>
      <c r="IS91" s="47"/>
      <c r="IT91" s="47"/>
      <c r="IU91" s="47"/>
      <c r="IV91" s="47"/>
      <c r="IW91" s="1"/>
      <c r="IX91" s="1"/>
      <c r="IY91" s="1"/>
      <c r="IZ91" s="1"/>
      <c r="JA91" s="1"/>
      <c r="JB91" s="1"/>
      <c r="JC91" s="1"/>
      <c r="JD91" s="1"/>
      <c r="JE91" s="1"/>
      <c r="JF91" s="1"/>
      <c r="JG91" s="1"/>
      <c r="JH91" s="1"/>
      <c r="JI91" s="1"/>
      <c r="JJ91" s="1"/>
      <c r="JK91" s="1"/>
      <c r="JL91" s="1"/>
      <c r="JM91" s="1"/>
      <c r="JN91" s="1"/>
      <c r="JO91" s="1"/>
      <c r="JP91" s="1"/>
      <c r="JQ91" s="1"/>
      <c r="JR91" s="1"/>
      <c r="JS91" s="1"/>
      <c r="JT91" s="1"/>
      <c r="JU91" s="1"/>
      <c r="JV91" s="1"/>
      <c r="JW91" s="1"/>
      <c r="JX91" s="1"/>
      <c r="JY91" s="1"/>
      <c r="JZ91" s="1"/>
      <c r="KA91" s="1"/>
      <c r="KB91" s="1"/>
      <c r="KC91" s="1"/>
      <c r="KD91" s="1"/>
      <c r="KE91" s="1"/>
      <c r="KF91" s="1"/>
      <c r="KG91" s="1"/>
      <c r="KH91" s="1"/>
      <c r="KI91" s="1"/>
      <c r="KJ91" s="1"/>
      <c r="KK91" s="1"/>
      <c r="KL91" s="1"/>
      <c r="KM91" s="1"/>
      <c r="KN91" s="1"/>
      <c r="KO91" s="1"/>
      <c r="KP91" s="1"/>
      <c r="KQ91" s="1"/>
      <c r="KR91" s="1"/>
      <c r="KS91" s="1"/>
      <c r="KT91" s="1"/>
      <c r="KU91" s="1"/>
      <c r="KV91" s="1"/>
      <c r="KW91" s="1"/>
      <c r="KX91" s="1"/>
      <c r="KY91" s="1"/>
      <c r="KZ91" s="1"/>
      <c r="LA91" s="1"/>
      <c r="LB91" s="1"/>
      <c r="LC91" s="1"/>
      <c r="LD91" s="1"/>
      <c r="LE91" s="1"/>
      <c r="LF91" s="1"/>
      <c r="LG91" s="1"/>
      <c r="LH91" s="1"/>
      <c r="LI91" s="1"/>
      <c r="LJ91" s="1"/>
      <c r="LK91" s="1"/>
      <c r="LL91" s="1"/>
      <c r="LM91" s="1"/>
      <c r="LN91" s="1"/>
      <c r="LO91" s="1"/>
      <c r="LP91" s="1"/>
      <c r="LQ91" s="1"/>
      <c r="LR91" s="1"/>
      <c r="LS91" s="1"/>
      <c r="LT91" s="1"/>
      <c r="LU91" s="1"/>
      <c r="LV91" s="1"/>
      <c r="LW91" s="1"/>
      <c r="LX91" s="1"/>
      <c r="LY91" s="1"/>
      <c r="LZ91" s="1"/>
      <c r="MA91" s="1"/>
      <c r="MB91" s="1"/>
      <c r="MC91" s="1"/>
      <c r="MD91" s="1"/>
      <c r="ME91" s="1"/>
      <c r="MF91" s="1"/>
      <c r="MG91" s="1"/>
      <c r="MH91" s="1"/>
      <c r="MI91" s="1"/>
      <c r="MJ91" s="1"/>
      <c r="MK91" s="1"/>
      <c r="ML91" s="1"/>
      <c r="MM91" s="1"/>
      <c r="MN91" s="1"/>
      <c r="MO91" s="1"/>
      <c r="MP91" s="1"/>
      <c r="MQ91" s="1"/>
      <c r="MR91" s="1"/>
      <c r="MS91" s="1"/>
      <c r="MT91" s="1"/>
      <c r="MU91" s="1"/>
      <c r="MV91" s="1"/>
      <c r="MW91" s="1"/>
      <c r="MX91" s="1"/>
      <c r="MY91" s="1"/>
      <c r="MZ91" s="1"/>
      <c r="NA91" s="1"/>
      <c r="NB91" s="1"/>
      <c r="ND91" s="53">
        <v>5.6999999999999898E-2</v>
      </c>
      <c r="NE91" s="47">
        <v>47325.796331834339</v>
      </c>
      <c r="NF91" s="13">
        <v>0.45</v>
      </c>
      <c r="NG91" s="1">
        <f>Combine!A93</f>
        <v>48326</v>
      </c>
      <c r="NH91" s="14">
        <f>Combine!F93</f>
        <v>234600.73221117401</v>
      </c>
    </row>
    <row r="92" spans="1:372" ht="12.75" customHeight="1" x14ac:dyDescent="0.3">
      <c r="A92" s="59"/>
      <c r="D92" s="61"/>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c r="AW92" s="47"/>
      <c r="AX92" s="47"/>
      <c r="AY92" s="47"/>
      <c r="AZ92" s="47"/>
      <c r="BA92" s="47"/>
      <c r="BB92" s="47"/>
      <c r="BC92" s="47"/>
      <c r="BD92" s="47"/>
      <c r="BE92" s="47"/>
      <c r="BF92" s="47"/>
      <c r="BG92" s="47"/>
      <c r="BH92" s="47"/>
      <c r="BI92" s="47"/>
      <c r="BJ92" s="47"/>
      <c r="BK92" s="47"/>
      <c r="BL92" s="47"/>
      <c r="BM92" s="47"/>
      <c r="BN92" s="47"/>
      <c r="BO92" s="47"/>
      <c r="BP92" s="47"/>
      <c r="BQ92" s="47"/>
      <c r="BR92" s="47"/>
      <c r="BS92" s="47"/>
      <c r="BT92" s="47"/>
      <c r="BU92" s="47"/>
      <c r="BV92" s="47"/>
      <c r="BW92" s="47"/>
      <c r="BX92" s="47"/>
      <c r="BY92" s="47"/>
      <c r="BZ92" s="47"/>
      <c r="CA92" s="47"/>
      <c r="CB92" s="47"/>
      <c r="CC92" s="47"/>
      <c r="CD92" s="47"/>
      <c r="CE92" s="47"/>
      <c r="CF92" s="47"/>
      <c r="CG92" s="47"/>
      <c r="CH92" s="47"/>
      <c r="CI92" s="47"/>
      <c r="CJ92" s="47"/>
      <c r="CK92" s="47"/>
      <c r="CL92" s="47"/>
      <c r="CM92" s="47"/>
      <c r="CN92" s="47"/>
      <c r="CO92" s="47"/>
      <c r="CP92" s="47"/>
      <c r="CQ92" s="47"/>
      <c r="CR92" s="47"/>
      <c r="CS92" s="47"/>
      <c r="CT92" s="47"/>
      <c r="CU92" s="47"/>
      <c r="CV92" s="47"/>
      <c r="CW92" s="47"/>
      <c r="CX92" s="47"/>
      <c r="CY92" s="47"/>
      <c r="CZ92" s="47"/>
      <c r="DA92" s="47"/>
      <c r="DB92" s="47"/>
      <c r="DC92" s="47"/>
      <c r="DD92" s="47"/>
      <c r="DE92" s="47"/>
      <c r="DF92" s="47"/>
      <c r="DG92" s="47"/>
      <c r="DH92" s="47"/>
      <c r="DI92" s="47"/>
      <c r="DJ92" s="47"/>
      <c r="DK92" s="47"/>
      <c r="DL92" s="47"/>
      <c r="DM92" s="47"/>
      <c r="DN92" s="47"/>
      <c r="DO92" s="47"/>
      <c r="DP92" s="47"/>
      <c r="DQ92" s="47"/>
      <c r="DR92" s="47"/>
      <c r="DS92" s="47"/>
      <c r="DT92" s="47"/>
      <c r="DU92" s="47"/>
      <c r="DV92" s="47"/>
      <c r="DW92" s="47"/>
      <c r="DX92" s="47"/>
      <c r="DY92" s="47"/>
      <c r="DZ92" s="47"/>
      <c r="EA92" s="47"/>
      <c r="EB92" s="47"/>
      <c r="EC92" s="47"/>
      <c r="ED92" s="47"/>
      <c r="EE92" s="47"/>
      <c r="EF92" s="47"/>
      <c r="EG92" s="47"/>
      <c r="EH92" s="47"/>
      <c r="EI92" s="47"/>
      <c r="EJ92" s="47"/>
      <c r="EK92" s="47"/>
      <c r="EL92" s="47"/>
      <c r="EM92" s="47"/>
      <c r="EN92" s="47"/>
      <c r="EO92" s="47"/>
      <c r="EP92" s="47"/>
      <c r="EQ92" s="47"/>
      <c r="ER92" s="47"/>
      <c r="ES92" s="47"/>
      <c r="ET92" s="47"/>
      <c r="EU92" s="47"/>
      <c r="EV92" s="47"/>
      <c r="EW92" s="47"/>
      <c r="EX92" s="47"/>
      <c r="EY92" s="47"/>
      <c r="EZ92" s="47"/>
      <c r="FA92" s="47"/>
      <c r="FB92" s="47"/>
      <c r="FC92" s="47"/>
      <c r="FD92" s="47"/>
      <c r="FE92" s="47"/>
      <c r="FF92" s="47"/>
      <c r="FG92" s="47"/>
      <c r="FH92" s="47"/>
      <c r="FI92" s="47"/>
      <c r="FJ92" s="47"/>
      <c r="FK92" s="47"/>
      <c r="FL92" s="47"/>
      <c r="FM92" s="47"/>
      <c r="FN92" s="47"/>
      <c r="FO92" s="47"/>
      <c r="FP92" s="47"/>
      <c r="FQ92" s="47"/>
      <c r="FR92" s="47"/>
      <c r="FS92" s="47"/>
      <c r="FT92" s="47"/>
      <c r="FU92" s="47"/>
      <c r="FV92" s="47"/>
      <c r="FW92" s="47"/>
      <c r="FX92" s="47"/>
      <c r="FY92" s="47"/>
      <c r="FZ92" s="47"/>
      <c r="GA92" s="47"/>
      <c r="GB92" s="47"/>
      <c r="GC92" s="47"/>
      <c r="GD92" s="47"/>
      <c r="GE92" s="47"/>
      <c r="GF92" s="47"/>
      <c r="GG92" s="47"/>
      <c r="GH92" s="47"/>
      <c r="GI92" s="47"/>
      <c r="GJ92" s="47"/>
      <c r="GK92" s="47"/>
      <c r="GL92" s="47"/>
      <c r="GM92" s="47"/>
      <c r="GN92" s="47"/>
      <c r="GO92" s="47"/>
      <c r="GP92" s="47"/>
      <c r="GQ92" s="47"/>
      <c r="GR92" s="47"/>
      <c r="GS92" s="47"/>
      <c r="GT92" s="47"/>
      <c r="GU92" s="47"/>
      <c r="GV92" s="47"/>
      <c r="GW92" s="47"/>
      <c r="GX92" s="47"/>
      <c r="GY92" s="47"/>
      <c r="GZ92" s="47"/>
      <c r="HA92" s="47"/>
      <c r="HB92" s="47"/>
      <c r="HC92" s="47"/>
      <c r="HD92" s="47"/>
      <c r="HE92" s="47"/>
      <c r="HF92" s="47"/>
      <c r="HG92" s="47"/>
      <c r="HH92" s="47"/>
      <c r="HI92" s="47"/>
      <c r="HJ92" s="47"/>
      <c r="HK92" s="47"/>
      <c r="HL92" s="47"/>
      <c r="HM92" s="47"/>
      <c r="HN92" s="47"/>
      <c r="HO92" s="47"/>
      <c r="HP92" s="47"/>
      <c r="HQ92" s="47"/>
      <c r="HR92" s="47"/>
      <c r="HS92" s="47"/>
      <c r="HT92" s="47"/>
      <c r="HU92" s="47"/>
      <c r="HV92" s="47"/>
      <c r="HW92" s="47"/>
      <c r="HX92" s="47"/>
      <c r="HY92" s="47"/>
      <c r="HZ92" s="47"/>
      <c r="IA92" s="47"/>
      <c r="IB92" s="47"/>
      <c r="IC92" s="47"/>
      <c r="ID92" s="47"/>
      <c r="IE92" s="47"/>
      <c r="IF92" s="47"/>
      <c r="IG92" s="47"/>
      <c r="IH92" s="47"/>
      <c r="II92" s="47"/>
      <c r="IJ92" s="47"/>
      <c r="IK92" s="47"/>
      <c r="IL92" s="47"/>
      <c r="IM92" s="47"/>
      <c r="IN92" s="47"/>
      <c r="IO92" s="47"/>
      <c r="IP92" s="47"/>
      <c r="IQ92" s="47"/>
      <c r="IR92" s="47"/>
      <c r="IS92" s="47"/>
      <c r="IT92" s="47"/>
      <c r="IU92" s="47"/>
      <c r="IV92" s="47"/>
      <c r="IW92" s="1"/>
      <c r="IX92" s="1"/>
      <c r="IY92" s="1"/>
      <c r="IZ92" s="1"/>
      <c r="JA92" s="1"/>
      <c r="JB92" s="1"/>
      <c r="JC92" s="1"/>
      <c r="JD92" s="1"/>
      <c r="JE92" s="1"/>
      <c r="JF92" s="1"/>
      <c r="JG92" s="1"/>
      <c r="JH92" s="1"/>
      <c r="JI92" s="1"/>
      <c r="JJ92" s="1"/>
      <c r="JK92" s="1"/>
      <c r="JL92" s="1"/>
      <c r="JM92" s="1"/>
      <c r="JN92" s="1"/>
      <c r="JO92" s="1"/>
      <c r="JP92" s="1"/>
      <c r="JQ92" s="1"/>
      <c r="JR92" s="1"/>
      <c r="JS92" s="1"/>
      <c r="JT92" s="1"/>
      <c r="JU92" s="1"/>
      <c r="JV92" s="1"/>
      <c r="JW92" s="1"/>
      <c r="JX92" s="1"/>
      <c r="JY92" s="1"/>
      <c r="JZ92" s="1"/>
      <c r="KA92" s="1"/>
      <c r="KB92" s="1"/>
      <c r="KC92" s="1"/>
      <c r="KD92" s="1"/>
      <c r="KE92" s="1"/>
      <c r="KF92" s="1"/>
      <c r="KG92" s="1"/>
      <c r="KH92" s="1"/>
      <c r="KI92" s="1"/>
      <c r="KJ92" s="1"/>
      <c r="KK92" s="1"/>
      <c r="KL92" s="1"/>
      <c r="KM92" s="1"/>
      <c r="KN92" s="1"/>
      <c r="KO92" s="1"/>
      <c r="KP92" s="1"/>
      <c r="KQ92" s="1"/>
      <c r="KR92" s="1"/>
      <c r="KS92" s="1"/>
      <c r="KT92" s="1"/>
      <c r="KU92" s="1"/>
      <c r="KV92" s="1"/>
      <c r="KW92" s="1"/>
      <c r="KX92" s="1"/>
      <c r="KY92" s="1"/>
      <c r="KZ92" s="1"/>
      <c r="LA92" s="1"/>
      <c r="LB92" s="1"/>
      <c r="LC92" s="1"/>
      <c r="LD92" s="1"/>
      <c r="LE92" s="1"/>
      <c r="LF92" s="1"/>
      <c r="LG92" s="1"/>
      <c r="LH92" s="1"/>
      <c r="LI92" s="1"/>
      <c r="LJ92" s="1"/>
      <c r="LK92" s="1"/>
      <c r="LL92" s="1"/>
      <c r="LM92" s="1"/>
      <c r="LN92" s="1"/>
      <c r="LO92" s="1"/>
      <c r="LP92" s="1"/>
      <c r="LQ92" s="1"/>
      <c r="LR92" s="1"/>
      <c r="LS92" s="1"/>
      <c r="LT92" s="1"/>
      <c r="LU92" s="1"/>
      <c r="LV92" s="1"/>
      <c r="LW92" s="1"/>
      <c r="LX92" s="1"/>
      <c r="LY92" s="1"/>
      <c r="LZ92" s="1"/>
      <c r="MA92" s="1"/>
      <c r="MB92" s="1"/>
      <c r="MC92" s="1"/>
      <c r="MD92" s="1"/>
      <c r="ME92" s="1"/>
      <c r="MF92" s="1"/>
      <c r="MG92" s="1"/>
      <c r="MH92" s="1"/>
      <c r="MI92" s="1"/>
      <c r="MJ92" s="1"/>
      <c r="MK92" s="1"/>
      <c r="ML92" s="1"/>
      <c r="MM92" s="1"/>
      <c r="MN92" s="1"/>
      <c r="MO92" s="1"/>
      <c r="MP92" s="1"/>
      <c r="MQ92" s="1"/>
      <c r="MR92" s="1"/>
      <c r="MS92" s="1"/>
      <c r="MT92" s="1"/>
      <c r="MU92" s="1"/>
      <c r="MV92" s="1"/>
      <c r="MW92" s="1"/>
      <c r="MX92" s="1"/>
      <c r="MY92" s="1"/>
      <c r="MZ92" s="1"/>
      <c r="NA92" s="1"/>
      <c r="NB92" s="1"/>
      <c r="ND92" s="53">
        <v>5.7999999999999899E-2</v>
      </c>
      <c r="NE92" s="47">
        <v>45258.192588335864</v>
      </c>
      <c r="NF92" s="13">
        <v>0.45500000000000002</v>
      </c>
      <c r="NG92" s="1">
        <f>Combine!A94</f>
        <v>49085</v>
      </c>
      <c r="NH92" s="14">
        <f>Combine!F94</f>
        <v>283947.47968695499</v>
      </c>
    </row>
    <row r="93" spans="1:372" ht="12.75" customHeight="1" x14ac:dyDescent="0.3">
      <c r="A93" s="59"/>
      <c r="D93" s="61"/>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c r="AW93" s="47"/>
      <c r="AX93" s="47"/>
      <c r="AY93" s="47"/>
      <c r="AZ93" s="47"/>
      <c r="BA93" s="47"/>
      <c r="BB93" s="47"/>
      <c r="BC93" s="47"/>
      <c r="BD93" s="47"/>
      <c r="BE93" s="47"/>
      <c r="BF93" s="47"/>
      <c r="BG93" s="47"/>
      <c r="BH93" s="47"/>
      <c r="BI93" s="47"/>
      <c r="BJ93" s="47"/>
      <c r="BK93" s="47"/>
      <c r="BL93" s="47"/>
      <c r="BM93" s="47"/>
      <c r="BN93" s="47"/>
      <c r="BO93" s="47"/>
      <c r="BP93" s="47"/>
      <c r="BQ93" s="47"/>
      <c r="BR93" s="47"/>
      <c r="BS93" s="47"/>
      <c r="BT93" s="47"/>
      <c r="BU93" s="47"/>
      <c r="BV93" s="47"/>
      <c r="BW93" s="47"/>
      <c r="BX93" s="47"/>
      <c r="BY93" s="47"/>
      <c r="BZ93" s="47"/>
      <c r="CA93" s="47"/>
      <c r="CB93" s="47"/>
      <c r="CC93" s="47"/>
      <c r="CD93" s="47"/>
      <c r="CE93" s="47"/>
      <c r="CF93" s="47"/>
      <c r="CG93" s="47"/>
      <c r="CH93" s="47"/>
      <c r="CI93" s="47"/>
      <c r="CJ93" s="47"/>
      <c r="CK93" s="47"/>
      <c r="CL93" s="47"/>
      <c r="CM93" s="47"/>
      <c r="CN93" s="47"/>
      <c r="CO93" s="47"/>
      <c r="CP93" s="47"/>
      <c r="CQ93" s="47"/>
      <c r="CR93" s="47"/>
      <c r="CS93" s="47"/>
      <c r="CT93" s="47"/>
      <c r="CU93" s="47"/>
      <c r="CV93" s="47"/>
      <c r="CW93" s="47"/>
      <c r="CX93" s="47"/>
      <c r="CY93" s="47"/>
      <c r="CZ93" s="47"/>
      <c r="DA93" s="47"/>
      <c r="DB93" s="47"/>
      <c r="DC93" s="47"/>
      <c r="DD93" s="47"/>
      <c r="DE93" s="47"/>
      <c r="DF93" s="47"/>
      <c r="DG93" s="47"/>
      <c r="DH93" s="47"/>
      <c r="DI93" s="47"/>
      <c r="DJ93" s="47"/>
      <c r="DK93" s="47"/>
      <c r="DL93" s="47"/>
      <c r="DM93" s="47"/>
      <c r="DN93" s="47"/>
      <c r="DO93" s="47"/>
      <c r="DP93" s="47"/>
      <c r="DQ93" s="47"/>
      <c r="DR93" s="47"/>
      <c r="DS93" s="47"/>
      <c r="DT93" s="47"/>
      <c r="DU93" s="47"/>
      <c r="DV93" s="47"/>
      <c r="DW93" s="47"/>
      <c r="DX93" s="47"/>
      <c r="DY93" s="47"/>
      <c r="DZ93" s="47"/>
      <c r="EA93" s="47"/>
      <c r="EB93" s="47"/>
      <c r="EC93" s="47"/>
      <c r="ED93" s="47"/>
      <c r="EE93" s="47"/>
      <c r="EF93" s="47"/>
      <c r="EG93" s="47"/>
      <c r="EH93" s="47"/>
      <c r="EI93" s="47"/>
      <c r="EJ93" s="47"/>
      <c r="EK93" s="47"/>
      <c r="EL93" s="47"/>
      <c r="EM93" s="47"/>
      <c r="EN93" s="47"/>
      <c r="EO93" s="47"/>
      <c r="EP93" s="47"/>
      <c r="EQ93" s="47"/>
      <c r="ER93" s="47"/>
      <c r="ES93" s="47"/>
      <c r="ET93" s="47"/>
      <c r="EU93" s="47"/>
      <c r="EV93" s="47"/>
      <c r="EW93" s="47"/>
      <c r="EX93" s="47"/>
      <c r="EY93" s="47"/>
      <c r="EZ93" s="47"/>
      <c r="FA93" s="47"/>
      <c r="FB93" s="47"/>
      <c r="FC93" s="47"/>
      <c r="FD93" s="47"/>
      <c r="FE93" s="47"/>
      <c r="FF93" s="47"/>
      <c r="FG93" s="47"/>
      <c r="FH93" s="47"/>
      <c r="FI93" s="47"/>
      <c r="FJ93" s="47"/>
      <c r="FK93" s="47"/>
      <c r="FL93" s="47"/>
      <c r="FM93" s="47"/>
      <c r="FN93" s="47"/>
      <c r="FO93" s="47"/>
      <c r="FP93" s="47"/>
      <c r="FQ93" s="47"/>
      <c r="FR93" s="47"/>
      <c r="FS93" s="47"/>
      <c r="FT93" s="47"/>
      <c r="FU93" s="47"/>
      <c r="FV93" s="47"/>
      <c r="FW93" s="47"/>
      <c r="FX93" s="47"/>
      <c r="FY93" s="47"/>
      <c r="FZ93" s="47"/>
      <c r="GA93" s="47"/>
      <c r="GB93" s="47"/>
      <c r="GC93" s="47"/>
      <c r="GD93" s="47"/>
      <c r="GE93" s="47"/>
      <c r="GF93" s="47"/>
      <c r="GG93" s="47"/>
      <c r="GH93" s="47"/>
      <c r="GI93" s="47"/>
      <c r="GJ93" s="47"/>
      <c r="GK93" s="47"/>
      <c r="GL93" s="47"/>
      <c r="GM93" s="47"/>
      <c r="GN93" s="47"/>
      <c r="GO93" s="47"/>
      <c r="GP93" s="47"/>
      <c r="GQ93" s="47"/>
      <c r="GR93" s="47"/>
      <c r="GS93" s="47"/>
      <c r="GT93" s="47"/>
      <c r="GU93" s="47"/>
      <c r="GV93" s="47"/>
      <c r="GW93" s="47"/>
      <c r="GX93" s="47"/>
      <c r="GY93" s="47"/>
      <c r="GZ93" s="47"/>
      <c r="HA93" s="47"/>
      <c r="HB93" s="47"/>
      <c r="HC93" s="47"/>
      <c r="HD93" s="47"/>
      <c r="HE93" s="47"/>
      <c r="HF93" s="47"/>
      <c r="HG93" s="47"/>
      <c r="HH93" s="47"/>
      <c r="HI93" s="47"/>
      <c r="HJ93" s="47"/>
      <c r="HK93" s="47"/>
      <c r="HL93" s="47"/>
      <c r="HM93" s="47"/>
      <c r="HN93" s="47"/>
      <c r="HO93" s="47"/>
      <c r="HP93" s="47"/>
      <c r="HQ93" s="47"/>
      <c r="HR93" s="47"/>
      <c r="HS93" s="47"/>
      <c r="HT93" s="47"/>
      <c r="HU93" s="47"/>
      <c r="HV93" s="47"/>
      <c r="HW93" s="47"/>
      <c r="HX93" s="47"/>
      <c r="HY93" s="47"/>
      <c r="HZ93" s="47"/>
      <c r="IA93" s="47"/>
      <c r="IB93" s="47"/>
      <c r="IC93" s="47"/>
      <c r="ID93" s="47"/>
      <c r="IE93" s="47"/>
      <c r="IF93" s="47"/>
      <c r="IG93" s="47"/>
      <c r="IH93" s="47"/>
      <c r="II93" s="47"/>
      <c r="IJ93" s="47"/>
      <c r="IK93" s="47"/>
      <c r="IL93" s="47"/>
      <c r="IM93" s="47"/>
      <c r="IN93" s="47"/>
      <c r="IO93" s="47"/>
      <c r="IP93" s="47"/>
      <c r="IQ93" s="47"/>
      <c r="IR93" s="47"/>
      <c r="IS93" s="47"/>
      <c r="IT93" s="47"/>
      <c r="IU93" s="47"/>
      <c r="IV93" s="47"/>
      <c r="IW93" s="1"/>
      <c r="IX93" s="1"/>
      <c r="IY93" s="1"/>
      <c r="IZ93" s="1"/>
      <c r="JA93" s="1"/>
      <c r="JB93" s="1"/>
      <c r="JC93" s="1"/>
      <c r="JD93" s="1"/>
      <c r="JE93" s="1"/>
      <c r="JF93" s="1"/>
      <c r="JG93" s="1"/>
      <c r="JH93" s="1"/>
      <c r="JI93" s="1"/>
      <c r="JJ93" s="1"/>
      <c r="JK93" s="1"/>
      <c r="JL93" s="1"/>
      <c r="JM93" s="1"/>
      <c r="JN93" s="1"/>
      <c r="JO93" s="1"/>
      <c r="JP93" s="1"/>
      <c r="JQ93" s="1"/>
      <c r="JR93" s="1"/>
      <c r="JS93" s="1"/>
      <c r="JT93" s="1"/>
      <c r="JU93" s="1"/>
      <c r="JV93" s="1"/>
      <c r="JW93" s="1"/>
      <c r="JX93" s="1"/>
      <c r="JY93" s="1"/>
      <c r="JZ93" s="1"/>
      <c r="KA93" s="1"/>
      <c r="KB93" s="1"/>
      <c r="KC93" s="1"/>
      <c r="KD93" s="1"/>
      <c r="KE93" s="1"/>
      <c r="KF93" s="1"/>
      <c r="KG93" s="1"/>
      <c r="KH93" s="1"/>
      <c r="KI93" s="1"/>
      <c r="KJ93" s="1"/>
      <c r="KK93" s="1"/>
      <c r="KL93" s="1"/>
      <c r="KM93" s="1"/>
      <c r="KN93" s="1"/>
      <c r="KO93" s="1"/>
      <c r="KP93" s="1"/>
      <c r="KQ93" s="1"/>
      <c r="KR93" s="1"/>
      <c r="KS93" s="1"/>
      <c r="KT93" s="1"/>
      <c r="KU93" s="1"/>
      <c r="KV93" s="1"/>
      <c r="KW93" s="1"/>
      <c r="KX93" s="1"/>
      <c r="KY93" s="1"/>
      <c r="KZ93" s="1"/>
      <c r="LA93" s="1"/>
      <c r="LB93" s="1"/>
      <c r="LC93" s="1"/>
      <c r="LD93" s="1"/>
      <c r="LE93" s="1"/>
      <c r="LF93" s="1"/>
      <c r="LG93" s="1"/>
      <c r="LH93" s="1"/>
      <c r="LI93" s="1"/>
      <c r="LJ93" s="1"/>
      <c r="LK93" s="1"/>
      <c r="LL93" s="1"/>
      <c r="LM93" s="1"/>
      <c r="LN93" s="1"/>
      <c r="LO93" s="1"/>
      <c r="LP93" s="1"/>
      <c r="LQ93" s="1"/>
      <c r="LR93" s="1"/>
      <c r="LS93" s="1"/>
      <c r="LT93" s="1"/>
      <c r="LU93" s="1"/>
      <c r="LV93" s="1"/>
      <c r="LW93" s="1"/>
      <c r="LX93" s="1"/>
      <c r="LY93" s="1"/>
      <c r="LZ93" s="1"/>
      <c r="MA93" s="1"/>
      <c r="MB93" s="1"/>
      <c r="MC93" s="1"/>
      <c r="MD93" s="1"/>
      <c r="ME93" s="1"/>
      <c r="MF93" s="1"/>
      <c r="MG93" s="1"/>
      <c r="MH93" s="1"/>
      <c r="MI93" s="1"/>
      <c r="MJ93" s="1"/>
      <c r="MK93" s="1"/>
      <c r="ML93" s="1"/>
      <c r="MM93" s="1"/>
      <c r="MN93" s="1"/>
      <c r="MO93" s="1"/>
      <c r="MP93" s="1"/>
      <c r="MQ93" s="1"/>
      <c r="MR93" s="1"/>
      <c r="MS93" s="1"/>
      <c r="MT93" s="1"/>
      <c r="MU93" s="1"/>
      <c r="MV93" s="1"/>
      <c r="MW93" s="1"/>
      <c r="MX93" s="1"/>
      <c r="MY93" s="1"/>
      <c r="MZ93" s="1"/>
      <c r="NA93" s="1"/>
      <c r="NB93" s="1"/>
      <c r="ND93" s="53">
        <v>5.89999999999999E-2</v>
      </c>
      <c r="NE93" s="47">
        <v>43185.37512273118</v>
      </c>
      <c r="NF93" s="13">
        <v>0.46</v>
      </c>
      <c r="NG93" s="1">
        <f>Combine!A95</f>
        <v>48220</v>
      </c>
      <c r="NH93" s="14">
        <f>Combine!F95</f>
        <v>219801.539191919</v>
      </c>
    </row>
    <row r="94" spans="1:372" ht="12.75" customHeight="1" x14ac:dyDescent="0.3">
      <c r="A94" s="59"/>
      <c r="D94" s="61"/>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c r="AW94" s="47"/>
      <c r="AX94" s="47"/>
      <c r="AY94" s="47"/>
      <c r="AZ94" s="47"/>
      <c r="BA94" s="47"/>
      <c r="BB94" s="47"/>
      <c r="BC94" s="47"/>
      <c r="BD94" s="47"/>
      <c r="BE94" s="47"/>
      <c r="BF94" s="47"/>
      <c r="BG94" s="47"/>
      <c r="BH94" s="47"/>
      <c r="BI94" s="47"/>
      <c r="BJ94" s="47"/>
      <c r="BK94" s="47"/>
      <c r="BL94" s="47"/>
      <c r="BM94" s="47"/>
      <c r="BN94" s="47"/>
      <c r="BO94" s="47"/>
      <c r="BP94" s="47"/>
      <c r="BQ94" s="47"/>
      <c r="BR94" s="47"/>
      <c r="BS94" s="47"/>
      <c r="BT94" s="47"/>
      <c r="BU94" s="47"/>
      <c r="BV94" s="47"/>
      <c r="BW94" s="47"/>
      <c r="BX94" s="47"/>
      <c r="BY94" s="47"/>
      <c r="BZ94" s="47"/>
      <c r="CA94" s="47"/>
      <c r="CB94" s="47"/>
      <c r="CC94" s="47"/>
      <c r="CD94" s="47"/>
      <c r="CE94" s="47"/>
      <c r="CF94" s="47"/>
      <c r="CG94" s="47"/>
      <c r="CH94" s="47"/>
      <c r="CI94" s="47"/>
      <c r="CJ94" s="47"/>
      <c r="CK94" s="47"/>
      <c r="CL94" s="47"/>
      <c r="CM94" s="47"/>
      <c r="CN94" s="47"/>
      <c r="CO94" s="47"/>
      <c r="CP94" s="47"/>
      <c r="CQ94" s="47"/>
      <c r="CR94" s="47"/>
      <c r="CS94" s="47"/>
      <c r="CT94" s="47"/>
      <c r="CU94" s="47"/>
      <c r="CV94" s="47"/>
      <c r="CW94" s="47"/>
      <c r="CX94" s="47"/>
      <c r="CY94" s="47"/>
      <c r="CZ94" s="47"/>
      <c r="DA94" s="47"/>
      <c r="DB94" s="47"/>
      <c r="DC94" s="47"/>
      <c r="DD94" s="47"/>
      <c r="DE94" s="47"/>
      <c r="DF94" s="47"/>
      <c r="DG94" s="47"/>
      <c r="DH94" s="47"/>
      <c r="DI94" s="47"/>
      <c r="DJ94" s="47"/>
      <c r="DK94" s="47"/>
      <c r="DL94" s="47"/>
      <c r="DM94" s="47"/>
      <c r="DN94" s="47"/>
      <c r="DO94" s="47"/>
      <c r="DP94" s="47"/>
      <c r="DQ94" s="47"/>
      <c r="DR94" s="47"/>
      <c r="DS94" s="47"/>
      <c r="DT94" s="47"/>
      <c r="DU94" s="47"/>
      <c r="DV94" s="47"/>
      <c r="DW94" s="47"/>
      <c r="DX94" s="47"/>
      <c r="DY94" s="47"/>
      <c r="DZ94" s="47"/>
      <c r="EA94" s="47"/>
      <c r="EB94" s="47"/>
      <c r="EC94" s="47"/>
      <c r="ED94" s="47"/>
      <c r="EE94" s="47"/>
      <c r="EF94" s="47"/>
      <c r="EG94" s="47"/>
      <c r="EH94" s="47"/>
      <c r="EI94" s="47"/>
      <c r="EJ94" s="47"/>
      <c r="EK94" s="47"/>
      <c r="EL94" s="47"/>
      <c r="EM94" s="47"/>
      <c r="EN94" s="47"/>
      <c r="EO94" s="47"/>
      <c r="EP94" s="47"/>
      <c r="EQ94" s="47"/>
      <c r="ER94" s="47"/>
      <c r="ES94" s="47"/>
      <c r="ET94" s="47"/>
      <c r="EU94" s="47"/>
      <c r="EV94" s="47"/>
      <c r="EW94" s="47"/>
      <c r="EX94" s="47"/>
      <c r="EY94" s="47"/>
      <c r="EZ94" s="47"/>
      <c r="FA94" s="47"/>
      <c r="FB94" s="47"/>
      <c r="FC94" s="47"/>
      <c r="FD94" s="47"/>
      <c r="FE94" s="47"/>
      <c r="FF94" s="47"/>
      <c r="FG94" s="47"/>
      <c r="FH94" s="47"/>
      <c r="FI94" s="47"/>
      <c r="FJ94" s="47"/>
      <c r="FK94" s="47"/>
      <c r="FL94" s="47"/>
      <c r="FM94" s="47"/>
      <c r="FN94" s="47"/>
      <c r="FO94" s="47"/>
      <c r="FP94" s="47"/>
      <c r="FQ94" s="47"/>
      <c r="FR94" s="47"/>
      <c r="FS94" s="47"/>
      <c r="FT94" s="47"/>
      <c r="FU94" s="47"/>
      <c r="FV94" s="47"/>
      <c r="FW94" s="47"/>
      <c r="FX94" s="47"/>
      <c r="FY94" s="47"/>
      <c r="FZ94" s="47"/>
      <c r="GA94" s="47"/>
      <c r="GB94" s="47"/>
      <c r="GC94" s="47"/>
      <c r="GD94" s="47"/>
      <c r="GE94" s="47"/>
      <c r="GF94" s="47"/>
      <c r="GG94" s="47"/>
      <c r="GH94" s="47"/>
      <c r="GI94" s="47"/>
      <c r="GJ94" s="47"/>
      <c r="GK94" s="47"/>
      <c r="GL94" s="47"/>
      <c r="GM94" s="47"/>
      <c r="GN94" s="47"/>
      <c r="GO94" s="47"/>
      <c r="GP94" s="47"/>
      <c r="GQ94" s="47"/>
      <c r="GR94" s="47"/>
      <c r="GS94" s="47"/>
      <c r="GT94" s="47"/>
      <c r="GU94" s="47"/>
      <c r="GV94" s="47"/>
      <c r="GW94" s="47"/>
      <c r="GX94" s="47"/>
      <c r="GY94" s="47"/>
      <c r="GZ94" s="47"/>
      <c r="HA94" s="47"/>
      <c r="HB94" s="47"/>
      <c r="HC94" s="47"/>
      <c r="HD94" s="47"/>
      <c r="HE94" s="47"/>
      <c r="HF94" s="47"/>
      <c r="HG94" s="47"/>
      <c r="HH94" s="47"/>
      <c r="HI94" s="47"/>
      <c r="HJ94" s="47"/>
      <c r="HK94" s="47"/>
      <c r="HL94" s="47"/>
      <c r="HM94" s="47"/>
      <c r="HN94" s="47"/>
      <c r="HO94" s="47"/>
      <c r="HP94" s="47"/>
      <c r="HQ94" s="47"/>
      <c r="HR94" s="47"/>
      <c r="HS94" s="47"/>
      <c r="HT94" s="47"/>
      <c r="HU94" s="47"/>
      <c r="HV94" s="47"/>
      <c r="HW94" s="47"/>
      <c r="HX94" s="47"/>
      <c r="HY94" s="47"/>
      <c r="HZ94" s="47"/>
      <c r="IA94" s="47"/>
      <c r="IB94" s="47"/>
      <c r="IC94" s="47"/>
      <c r="ID94" s="47"/>
      <c r="IE94" s="47"/>
      <c r="IF94" s="47"/>
      <c r="IG94" s="47"/>
      <c r="IH94" s="47"/>
      <c r="II94" s="47"/>
      <c r="IJ94" s="47"/>
      <c r="IK94" s="47"/>
      <c r="IL94" s="47"/>
      <c r="IM94" s="47"/>
      <c r="IN94" s="47"/>
      <c r="IO94" s="47"/>
      <c r="IP94" s="47"/>
      <c r="IQ94" s="47"/>
      <c r="IR94" s="47"/>
      <c r="IS94" s="47"/>
      <c r="IT94" s="47"/>
      <c r="IU94" s="47"/>
      <c r="IV94" s="47"/>
      <c r="IW94" s="1"/>
      <c r="IX94" s="1"/>
      <c r="IY94" s="1"/>
      <c r="IZ94" s="1"/>
      <c r="JA94" s="1"/>
      <c r="JB94" s="1"/>
      <c r="JC94" s="1"/>
      <c r="JD94" s="1"/>
      <c r="JE94" s="1"/>
      <c r="JF94" s="1"/>
      <c r="JG94" s="1"/>
      <c r="JH94" s="1"/>
      <c r="JI94" s="1"/>
      <c r="JJ94" s="1"/>
      <c r="JK94" s="1"/>
      <c r="JL94" s="1"/>
      <c r="JM94" s="1"/>
      <c r="JN94" s="1"/>
      <c r="JO94" s="1"/>
      <c r="JP94" s="1"/>
      <c r="JQ94" s="1"/>
      <c r="JR94" s="1"/>
      <c r="JS94" s="1"/>
      <c r="JT94" s="1"/>
      <c r="JU94" s="1"/>
      <c r="JV94" s="1"/>
      <c r="JW94" s="1"/>
      <c r="JX94" s="1"/>
      <c r="JY94" s="1"/>
      <c r="JZ94" s="1"/>
      <c r="KA94" s="1"/>
      <c r="KB94" s="1"/>
      <c r="KC94" s="1"/>
      <c r="KD94" s="1"/>
      <c r="KE94" s="1"/>
      <c r="KF94" s="1"/>
      <c r="KG94" s="1"/>
      <c r="KH94" s="1"/>
      <c r="KI94" s="1"/>
      <c r="KJ94" s="1"/>
      <c r="KK94" s="1"/>
      <c r="KL94" s="1"/>
      <c r="KM94" s="1"/>
      <c r="KN94" s="1"/>
      <c r="KO94" s="1"/>
      <c r="KP94" s="1"/>
      <c r="KQ94" s="1"/>
      <c r="KR94" s="1"/>
      <c r="KS94" s="1"/>
      <c r="KT94" s="1"/>
      <c r="KU94" s="1"/>
      <c r="KV94" s="1"/>
      <c r="KW94" s="1"/>
      <c r="KX94" s="1"/>
      <c r="KY94" s="1"/>
      <c r="KZ94" s="1"/>
      <c r="LA94" s="1"/>
      <c r="LB94" s="1"/>
      <c r="LC94" s="1"/>
      <c r="LD94" s="1"/>
      <c r="LE94" s="1"/>
      <c r="LF94" s="1"/>
      <c r="LG94" s="1"/>
      <c r="LH94" s="1"/>
      <c r="LI94" s="1"/>
      <c r="LJ94" s="1"/>
      <c r="LK94" s="1"/>
      <c r="LL94" s="1"/>
      <c r="LM94" s="1"/>
      <c r="LN94" s="1"/>
      <c r="LO94" s="1"/>
      <c r="LP94" s="1"/>
      <c r="LQ94" s="1"/>
      <c r="LR94" s="1"/>
      <c r="LS94" s="1"/>
      <c r="LT94" s="1"/>
      <c r="LU94" s="1"/>
      <c r="LV94" s="1"/>
      <c r="LW94" s="1"/>
      <c r="LX94" s="1"/>
      <c r="LY94" s="1"/>
      <c r="LZ94" s="1"/>
      <c r="MA94" s="1"/>
      <c r="MB94" s="1"/>
      <c r="MC94" s="1"/>
      <c r="MD94" s="1"/>
      <c r="ME94" s="1"/>
      <c r="MF94" s="1"/>
      <c r="MG94" s="1"/>
      <c r="MH94" s="1"/>
      <c r="MI94" s="1"/>
      <c r="MJ94" s="1"/>
      <c r="MK94" s="1"/>
      <c r="ML94" s="1"/>
      <c r="MM94" s="1"/>
      <c r="MN94" s="1"/>
      <c r="MO94" s="1"/>
      <c r="MP94" s="1"/>
      <c r="MQ94" s="1"/>
      <c r="MR94" s="1"/>
      <c r="MS94" s="1"/>
      <c r="MT94" s="1"/>
      <c r="MU94" s="1"/>
      <c r="MV94" s="1"/>
      <c r="MW94" s="1"/>
      <c r="MX94" s="1"/>
      <c r="MY94" s="1"/>
      <c r="MZ94" s="1"/>
      <c r="NA94" s="1"/>
      <c r="NB94" s="1"/>
      <c r="ND94" s="53">
        <v>5.9999999999999901E-2</v>
      </c>
      <c r="NE94" s="47">
        <v>41107.428688034102</v>
      </c>
      <c r="NF94" s="13">
        <v>0.46500000000000002</v>
      </c>
      <c r="NG94" s="1">
        <f>Combine!A96</f>
        <v>48375</v>
      </c>
      <c r="NH94" s="14">
        <f>Combine!F96</f>
        <v>395862.68001912697</v>
      </c>
    </row>
    <row r="95" spans="1:372" ht="12.75" customHeight="1" x14ac:dyDescent="0.3">
      <c r="A95" s="59"/>
      <c r="D95" s="61"/>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c r="AW95" s="47"/>
      <c r="AX95" s="47"/>
      <c r="AY95" s="47"/>
      <c r="AZ95" s="47"/>
      <c r="BA95" s="47"/>
      <c r="BB95" s="47"/>
      <c r="BC95" s="47"/>
      <c r="BD95" s="47"/>
      <c r="BE95" s="47"/>
      <c r="BF95" s="47"/>
      <c r="BG95" s="47"/>
      <c r="BH95" s="47"/>
      <c r="BI95" s="47"/>
      <c r="BJ95" s="47"/>
      <c r="BK95" s="47"/>
      <c r="BL95" s="47"/>
      <c r="BM95" s="47"/>
      <c r="BN95" s="47"/>
      <c r="BO95" s="47"/>
      <c r="BP95" s="47"/>
      <c r="BQ95" s="47"/>
      <c r="BR95" s="47"/>
      <c r="BS95" s="47"/>
      <c r="BT95" s="47"/>
      <c r="BU95" s="47"/>
      <c r="BV95" s="47"/>
      <c r="BW95" s="47"/>
      <c r="BX95" s="47"/>
      <c r="BY95" s="47"/>
      <c r="BZ95" s="47"/>
      <c r="CA95" s="47"/>
      <c r="CB95" s="47"/>
      <c r="CC95" s="47"/>
      <c r="CD95" s="47"/>
      <c r="CE95" s="47"/>
      <c r="CF95" s="47"/>
      <c r="CG95" s="47"/>
      <c r="CH95" s="47"/>
      <c r="CI95" s="47"/>
      <c r="CJ95" s="47"/>
      <c r="CK95" s="47"/>
      <c r="CL95" s="47"/>
      <c r="CM95" s="47"/>
      <c r="CN95" s="47"/>
      <c r="CO95" s="47"/>
      <c r="CP95" s="47"/>
      <c r="CQ95" s="47"/>
      <c r="CR95" s="47"/>
      <c r="CS95" s="47"/>
      <c r="CT95" s="47"/>
      <c r="CU95" s="47"/>
      <c r="CV95" s="47"/>
      <c r="CW95" s="47"/>
      <c r="CX95" s="47"/>
      <c r="CY95" s="47"/>
      <c r="CZ95" s="47"/>
      <c r="DA95" s="47"/>
      <c r="DB95" s="47"/>
      <c r="DC95" s="47"/>
      <c r="DD95" s="47"/>
      <c r="DE95" s="47"/>
      <c r="DF95" s="47"/>
      <c r="DG95" s="47"/>
      <c r="DH95" s="47"/>
      <c r="DI95" s="47"/>
      <c r="DJ95" s="47"/>
      <c r="DK95" s="47"/>
      <c r="DL95" s="47"/>
      <c r="DM95" s="47"/>
      <c r="DN95" s="47"/>
      <c r="DO95" s="47"/>
      <c r="DP95" s="47"/>
      <c r="DQ95" s="47"/>
      <c r="DR95" s="47"/>
      <c r="DS95" s="47"/>
      <c r="DT95" s="47"/>
      <c r="DU95" s="47"/>
      <c r="DV95" s="47"/>
      <c r="DW95" s="47"/>
      <c r="DX95" s="47"/>
      <c r="DY95" s="47"/>
      <c r="DZ95" s="47"/>
      <c r="EA95" s="47"/>
      <c r="EB95" s="47"/>
      <c r="EC95" s="47"/>
      <c r="ED95" s="47"/>
      <c r="EE95" s="47"/>
      <c r="EF95" s="47"/>
      <c r="EG95" s="47"/>
      <c r="EH95" s="47"/>
      <c r="EI95" s="47"/>
      <c r="EJ95" s="47"/>
      <c r="EK95" s="47"/>
      <c r="EL95" s="47"/>
      <c r="EM95" s="47"/>
      <c r="EN95" s="47"/>
      <c r="EO95" s="47"/>
      <c r="EP95" s="47"/>
      <c r="EQ95" s="47"/>
      <c r="ER95" s="47"/>
      <c r="ES95" s="47"/>
      <c r="ET95" s="47"/>
      <c r="EU95" s="47"/>
      <c r="EV95" s="47"/>
      <c r="EW95" s="47"/>
      <c r="EX95" s="47"/>
      <c r="EY95" s="47"/>
      <c r="EZ95" s="47"/>
      <c r="FA95" s="47"/>
      <c r="FB95" s="47"/>
      <c r="FC95" s="47"/>
      <c r="FD95" s="47"/>
      <c r="FE95" s="47"/>
      <c r="FF95" s="47"/>
      <c r="FG95" s="47"/>
      <c r="FH95" s="47"/>
      <c r="FI95" s="47"/>
      <c r="FJ95" s="47"/>
      <c r="FK95" s="47"/>
      <c r="FL95" s="47"/>
      <c r="FM95" s="47"/>
      <c r="FN95" s="47"/>
      <c r="FO95" s="47"/>
      <c r="FP95" s="47"/>
      <c r="FQ95" s="47"/>
      <c r="FR95" s="47"/>
      <c r="FS95" s="47"/>
      <c r="FT95" s="47"/>
      <c r="FU95" s="47"/>
      <c r="FV95" s="47"/>
      <c r="FW95" s="47"/>
      <c r="FX95" s="47"/>
      <c r="FY95" s="47"/>
      <c r="FZ95" s="47"/>
      <c r="GA95" s="47"/>
      <c r="GB95" s="47"/>
      <c r="GC95" s="47"/>
      <c r="GD95" s="47"/>
      <c r="GE95" s="47"/>
      <c r="GF95" s="47"/>
      <c r="GG95" s="47"/>
      <c r="GH95" s="47"/>
      <c r="GI95" s="47"/>
      <c r="GJ95" s="47"/>
      <c r="GK95" s="47"/>
      <c r="GL95" s="47"/>
      <c r="GM95" s="47"/>
      <c r="GN95" s="47"/>
      <c r="GO95" s="47"/>
      <c r="GP95" s="47"/>
      <c r="GQ95" s="47"/>
      <c r="GR95" s="47"/>
      <c r="GS95" s="47"/>
      <c r="GT95" s="47"/>
      <c r="GU95" s="47"/>
      <c r="GV95" s="47"/>
      <c r="GW95" s="47"/>
      <c r="GX95" s="47"/>
      <c r="GY95" s="47"/>
      <c r="GZ95" s="47"/>
      <c r="HA95" s="47"/>
      <c r="HB95" s="47"/>
      <c r="HC95" s="47"/>
      <c r="HD95" s="47"/>
      <c r="HE95" s="47"/>
      <c r="HF95" s="47"/>
      <c r="HG95" s="47"/>
      <c r="HH95" s="47"/>
      <c r="HI95" s="47"/>
      <c r="HJ95" s="47"/>
      <c r="HK95" s="47"/>
      <c r="HL95" s="47"/>
      <c r="HM95" s="47"/>
      <c r="HN95" s="47"/>
      <c r="HO95" s="47"/>
      <c r="HP95" s="47"/>
      <c r="HQ95" s="47"/>
      <c r="HR95" s="47"/>
      <c r="HS95" s="47"/>
      <c r="HT95" s="47"/>
      <c r="HU95" s="47"/>
      <c r="HV95" s="47"/>
      <c r="HW95" s="47"/>
      <c r="HX95" s="47"/>
      <c r="HY95" s="47"/>
      <c r="HZ95" s="47"/>
      <c r="IA95" s="47"/>
      <c r="IB95" s="47"/>
      <c r="IC95" s="47"/>
      <c r="ID95" s="47"/>
      <c r="IE95" s="47"/>
      <c r="IF95" s="47"/>
      <c r="IG95" s="47"/>
      <c r="IH95" s="47"/>
      <c r="II95" s="47"/>
      <c r="IJ95" s="47"/>
      <c r="IK95" s="47"/>
      <c r="IL95" s="47"/>
      <c r="IM95" s="47"/>
      <c r="IN95" s="47"/>
      <c r="IO95" s="47"/>
      <c r="IP95" s="47"/>
      <c r="IQ95" s="47"/>
      <c r="IR95" s="47"/>
      <c r="IS95" s="47"/>
      <c r="IT95" s="47"/>
      <c r="IU95" s="47"/>
      <c r="IV95" s="47"/>
      <c r="IW95" s="1"/>
      <c r="IX95" s="1"/>
      <c r="IY95" s="1"/>
      <c r="IZ95" s="1"/>
      <c r="JA95" s="1"/>
      <c r="JB95" s="1"/>
      <c r="JC95" s="1"/>
      <c r="JD95" s="1"/>
      <c r="JE95" s="1"/>
      <c r="JF95" s="1"/>
      <c r="JG95" s="1"/>
      <c r="JH95" s="1"/>
      <c r="JI95" s="1"/>
      <c r="JJ95" s="1"/>
      <c r="JK95" s="1"/>
      <c r="JL95" s="1"/>
      <c r="JM95" s="1"/>
      <c r="JN95" s="1"/>
      <c r="JO95" s="1"/>
      <c r="JP95" s="1"/>
      <c r="JQ95" s="1"/>
      <c r="JR95" s="1"/>
      <c r="JS95" s="1"/>
      <c r="JT95" s="1"/>
      <c r="JU95" s="1"/>
      <c r="JV95" s="1"/>
      <c r="JW95" s="1"/>
      <c r="JX95" s="1"/>
      <c r="JY95" s="1"/>
      <c r="JZ95" s="1"/>
      <c r="KA95" s="1"/>
      <c r="KB95" s="1"/>
      <c r="KC95" s="1"/>
      <c r="KD95" s="1"/>
      <c r="KE95" s="1"/>
      <c r="KF95" s="1"/>
      <c r="KG95" s="1"/>
      <c r="KH95" s="1"/>
      <c r="KI95" s="1"/>
      <c r="KJ95" s="1"/>
      <c r="KK95" s="1"/>
      <c r="KL95" s="1"/>
      <c r="KM95" s="1"/>
      <c r="KN95" s="1"/>
      <c r="KO95" s="1"/>
      <c r="KP95" s="1"/>
      <c r="KQ95" s="1"/>
      <c r="KR95" s="1"/>
      <c r="KS95" s="1"/>
      <c r="KT95" s="1"/>
      <c r="KU95" s="1"/>
      <c r="KV95" s="1"/>
      <c r="KW95" s="1"/>
      <c r="KX95" s="1"/>
      <c r="KY95" s="1"/>
      <c r="KZ95" s="1"/>
      <c r="LA95" s="1"/>
      <c r="LB95" s="1"/>
      <c r="LC95" s="1"/>
      <c r="LD95" s="1"/>
      <c r="LE95" s="1"/>
      <c r="LF95" s="1"/>
      <c r="LG95" s="1"/>
      <c r="LH95" s="1"/>
      <c r="LI95" s="1"/>
      <c r="LJ95" s="1"/>
      <c r="LK95" s="1"/>
      <c r="LL95" s="1"/>
      <c r="LM95" s="1"/>
      <c r="LN95" s="1"/>
      <c r="LO95" s="1"/>
      <c r="LP95" s="1"/>
      <c r="LQ95" s="1"/>
      <c r="LR95" s="1"/>
      <c r="LS95" s="1"/>
      <c r="LT95" s="1"/>
      <c r="LU95" s="1"/>
      <c r="LV95" s="1"/>
      <c r="LW95" s="1"/>
      <c r="LX95" s="1"/>
      <c r="LY95" s="1"/>
      <c r="LZ95" s="1"/>
      <c r="MA95" s="1"/>
      <c r="MB95" s="1"/>
      <c r="MC95" s="1"/>
      <c r="MD95" s="1"/>
      <c r="ME95" s="1"/>
      <c r="MF95" s="1"/>
      <c r="MG95" s="1"/>
      <c r="MH95" s="1"/>
      <c r="MI95" s="1"/>
      <c r="MJ95" s="1"/>
      <c r="MK95" s="1"/>
      <c r="ML95" s="1"/>
      <c r="MM95" s="1"/>
      <c r="MN95" s="1"/>
      <c r="MO95" s="1"/>
      <c r="MP95" s="1"/>
      <c r="MQ95" s="1"/>
      <c r="MR95" s="1"/>
      <c r="MS95" s="1"/>
      <c r="MT95" s="1"/>
      <c r="MU95" s="1"/>
      <c r="MV95" s="1"/>
      <c r="MW95" s="1"/>
      <c r="MX95" s="1"/>
      <c r="MY95" s="1"/>
      <c r="MZ95" s="1"/>
      <c r="NA95" s="1"/>
      <c r="NB95" s="1"/>
      <c r="ND95" s="53">
        <v>6.0999999999999902E-2</v>
      </c>
      <c r="NE95" s="47">
        <v>39024.437647581741</v>
      </c>
      <c r="NF95" s="13">
        <v>0.47</v>
      </c>
      <c r="NG95" s="1">
        <f>Combine!A97</f>
        <v>48083</v>
      </c>
      <c r="NH95" s="14">
        <f>Combine!F97</f>
        <v>305891.59250394598</v>
      </c>
    </row>
    <row r="96" spans="1:372" ht="12.75" customHeight="1" x14ac:dyDescent="0.3">
      <c r="A96" s="59"/>
      <c r="D96" s="61"/>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c r="AW96" s="47"/>
      <c r="AX96" s="47"/>
      <c r="AY96" s="47"/>
      <c r="AZ96" s="47"/>
      <c r="BA96" s="47"/>
      <c r="BB96" s="47"/>
      <c r="BC96" s="47"/>
      <c r="BD96" s="47"/>
      <c r="BE96" s="47"/>
      <c r="BF96" s="47"/>
      <c r="BG96" s="47"/>
      <c r="BH96" s="47"/>
      <c r="BI96" s="47"/>
      <c r="BJ96" s="47"/>
      <c r="BK96" s="47"/>
      <c r="BL96" s="47"/>
      <c r="BM96" s="47"/>
      <c r="BN96" s="47"/>
      <c r="BO96" s="47"/>
      <c r="BP96" s="47"/>
      <c r="BQ96" s="47"/>
      <c r="BR96" s="47"/>
      <c r="BS96" s="47"/>
      <c r="BT96" s="47"/>
      <c r="BU96" s="47"/>
      <c r="BV96" s="47"/>
      <c r="BW96" s="47"/>
      <c r="BX96" s="47"/>
      <c r="BY96" s="47"/>
      <c r="BZ96" s="47"/>
      <c r="CA96" s="47"/>
      <c r="CB96" s="47"/>
      <c r="CC96" s="47"/>
      <c r="CD96" s="47"/>
      <c r="CE96" s="47"/>
      <c r="CF96" s="47"/>
      <c r="CG96" s="47"/>
      <c r="CH96" s="47"/>
      <c r="CI96" s="47"/>
      <c r="CJ96" s="47"/>
      <c r="CK96" s="47"/>
      <c r="CL96" s="47"/>
      <c r="CM96" s="47"/>
      <c r="CN96" s="47"/>
      <c r="CO96" s="47"/>
      <c r="CP96" s="47"/>
      <c r="CQ96" s="47"/>
      <c r="CR96" s="47"/>
      <c r="CS96" s="47"/>
      <c r="CT96" s="47"/>
      <c r="CU96" s="47"/>
      <c r="CV96" s="47"/>
      <c r="CW96" s="47"/>
      <c r="CX96" s="47"/>
      <c r="CY96" s="47"/>
      <c r="CZ96" s="47"/>
      <c r="DA96" s="47"/>
      <c r="DB96" s="47"/>
      <c r="DC96" s="47"/>
      <c r="DD96" s="47"/>
      <c r="DE96" s="47"/>
      <c r="DF96" s="47"/>
      <c r="DG96" s="47"/>
      <c r="DH96" s="47"/>
      <c r="DI96" s="47"/>
      <c r="DJ96" s="47"/>
      <c r="DK96" s="47"/>
      <c r="DL96" s="47"/>
      <c r="DM96" s="47"/>
      <c r="DN96" s="47"/>
      <c r="DO96" s="47"/>
      <c r="DP96" s="47"/>
      <c r="DQ96" s="47"/>
      <c r="DR96" s="47"/>
      <c r="DS96" s="47"/>
      <c r="DT96" s="47"/>
      <c r="DU96" s="47"/>
      <c r="DV96" s="47"/>
      <c r="DW96" s="47"/>
      <c r="DX96" s="47"/>
      <c r="DY96" s="47"/>
      <c r="DZ96" s="47"/>
      <c r="EA96" s="47"/>
      <c r="EB96" s="47"/>
      <c r="EC96" s="47"/>
      <c r="ED96" s="47"/>
      <c r="EE96" s="47"/>
      <c r="EF96" s="47"/>
      <c r="EG96" s="47"/>
      <c r="EH96" s="47"/>
      <c r="EI96" s="47"/>
      <c r="EJ96" s="47"/>
      <c r="EK96" s="47"/>
      <c r="EL96" s="47"/>
      <c r="EM96" s="47"/>
      <c r="EN96" s="47"/>
      <c r="EO96" s="47"/>
      <c r="EP96" s="47"/>
      <c r="EQ96" s="47"/>
      <c r="ER96" s="47"/>
      <c r="ES96" s="47"/>
      <c r="ET96" s="47"/>
      <c r="EU96" s="47"/>
      <c r="EV96" s="47"/>
      <c r="EW96" s="47"/>
      <c r="EX96" s="47"/>
      <c r="EY96" s="47"/>
      <c r="EZ96" s="47"/>
      <c r="FA96" s="47"/>
      <c r="FB96" s="47"/>
      <c r="FC96" s="47"/>
      <c r="FD96" s="47"/>
      <c r="FE96" s="47"/>
      <c r="FF96" s="47"/>
      <c r="FG96" s="47"/>
      <c r="FH96" s="47"/>
      <c r="FI96" s="47"/>
      <c r="FJ96" s="47"/>
      <c r="FK96" s="47"/>
      <c r="FL96" s="47"/>
      <c r="FM96" s="47"/>
      <c r="FN96" s="47"/>
      <c r="FO96" s="47"/>
      <c r="FP96" s="47"/>
      <c r="FQ96" s="47"/>
      <c r="FR96" s="47"/>
      <c r="FS96" s="47"/>
      <c r="FT96" s="47"/>
      <c r="FU96" s="47"/>
      <c r="FV96" s="47"/>
      <c r="FW96" s="47"/>
      <c r="FX96" s="47"/>
      <c r="FY96" s="47"/>
      <c r="FZ96" s="47"/>
      <c r="GA96" s="47"/>
      <c r="GB96" s="47"/>
      <c r="GC96" s="47"/>
      <c r="GD96" s="47"/>
      <c r="GE96" s="47"/>
      <c r="GF96" s="47"/>
      <c r="GG96" s="47"/>
      <c r="GH96" s="47"/>
      <c r="GI96" s="47"/>
      <c r="GJ96" s="47"/>
      <c r="GK96" s="47"/>
      <c r="GL96" s="47"/>
      <c r="GM96" s="47"/>
      <c r="GN96" s="47"/>
      <c r="GO96" s="47"/>
      <c r="GP96" s="47"/>
      <c r="GQ96" s="47"/>
      <c r="GR96" s="47"/>
      <c r="GS96" s="47"/>
      <c r="GT96" s="47"/>
      <c r="GU96" s="47"/>
      <c r="GV96" s="47"/>
      <c r="GW96" s="47"/>
      <c r="GX96" s="47"/>
      <c r="GY96" s="47"/>
      <c r="GZ96" s="47"/>
      <c r="HA96" s="47"/>
      <c r="HB96" s="47"/>
      <c r="HC96" s="47"/>
      <c r="HD96" s="47"/>
      <c r="HE96" s="47"/>
      <c r="HF96" s="47"/>
      <c r="HG96" s="47"/>
      <c r="HH96" s="47"/>
      <c r="HI96" s="47"/>
      <c r="HJ96" s="47"/>
      <c r="HK96" s="47"/>
      <c r="HL96" s="47"/>
      <c r="HM96" s="47"/>
      <c r="HN96" s="47"/>
      <c r="HO96" s="47"/>
      <c r="HP96" s="47"/>
      <c r="HQ96" s="47"/>
      <c r="HR96" s="47"/>
      <c r="HS96" s="47"/>
      <c r="HT96" s="47"/>
      <c r="HU96" s="47"/>
      <c r="HV96" s="47"/>
      <c r="HW96" s="47"/>
      <c r="HX96" s="47"/>
      <c r="HY96" s="47"/>
      <c r="HZ96" s="47"/>
      <c r="IA96" s="47"/>
      <c r="IB96" s="47"/>
      <c r="IC96" s="47"/>
      <c r="ID96" s="47"/>
      <c r="IE96" s="47"/>
      <c r="IF96" s="47"/>
      <c r="IG96" s="47"/>
      <c r="IH96" s="47"/>
      <c r="II96" s="47"/>
      <c r="IJ96" s="47"/>
      <c r="IK96" s="47"/>
      <c r="IL96" s="47"/>
      <c r="IM96" s="47"/>
      <c r="IN96" s="47"/>
      <c r="IO96" s="47"/>
      <c r="IP96" s="47"/>
      <c r="IQ96" s="47"/>
      <c r="IR96" s="47"/>
      <c r="IS96" s="47"/>
      <c r="IT96" s="47"/>
      <c r="IU96" s="47"/>
      <c r="IV96" s="47"/>
      <c r="IW96" s="1"/>
      <c r="IX96" s="1"/>
      <c r="IY96" s="1"/>
      <c r="IZ96" s="1"/>
      <c r="JA96" s="1"/>
      <c r="JB96" s="1"/>
      <c r="JC96" s="1"/>
      <c r="JD96" s="1"/>
      <c r="JE96" s="1"/>
      <c r="JF96" s="1"/>
      <c r="JG96" s="1"/>
      <c r="JH96" s="1"/>
      <c r="JI96" s="1"/>
      <c r="JJ96" s="1"/>
      <c r="JK96" s="1"/>
      <c r="JL96" s="1"/>
      <c r="JM96" s="1"/>
      <c r="JN96" s="1"/>
      <c r="JO96" s="1"/>
      <c r="JP96" s="1"/>
      <c r="JQ96" s="1"/>
      <c r="JR96" s="1"/>
      <c r="JS96" s="1"/>
      <c r="JT96" s="1"/>
      <c r="JU96" s="1"/>
      <c r="JV96" s="1"/>
      <c r="JW96" s="1"/>
      <c r="JX96" s="1"/>
      <c r="JY96" s="1"/>
      <c r="JZ96" s="1"/>
      <c r="KA96" s="1"/>
      <c r="KB96" s="1"/>
      <c r="KC96" s="1"/>
      <c r="KD96" s="1"/>
      <c r="KE96" s="1"/>
      <c r="KF96" s="1"/>
      <c r="KG96" s="1"/>
      <c r="KH96" s="1"/>
      <c r="KI96" s="1"/>
      <c r="KJ96" s="1"/>
      <c r="KK96" s="1"/>
      <c r="KL96" s="1"/>
      <c r="KM96" s="1"/>
      <c r="KN96" s="1"/>
      <c r="KO96" s="1"/>
      <c r="KP96" s="1"/>
      <c r="KQ96" s="1"/>
      <c r="KR96" s="1"/>
      <c r="KS96" s="1"/>
      <c r="KT96" s="1"/>
      <c r="KU96" s="1"/>
      <c r="KV96" s="1"/>
      <c r="KW96" s="1"/>
      <c r="KX96" s="1"/>
      <c r="KY96" s="1"/>
      <c r="KZ96" s="1"/>
      <c r="LA96" s="1"/>
      <c r="LB96" s="1"/>
      <c r="LC96" s="1"/>
      <c r="LD96" s="1"/>
      <c r="LE96" s="1"/>
      <c r="LF96" s="1"/>
      <c r="LG96" s="1"/>
      <c r="LH96" s="1"/>
      <c r="LI96" s="1"/>
      <c r="LJ96" s="1"/>
      <c r="LK96" s="1"/>
      <c r="LL96" s="1"/>
      <c r="LM96" s="1"/>
      <c r="LN96" s="1"/>
      <c r="LO96" s="1"/>
      <c r="LP96" s="1"/>
      <c r="LQ96" s="1"/>
      <c r="LR96" s="1"/>
      <c r="LS96" s="1"/>
      <c r="LT96" s="1"/>
      <c r="LU96" s="1"/>
      <c r="LV96" s="1"/>
      <c r="LW96" s="1"/>
      <c r="LX96" s="1"/>
      <c r="LY96" s="1"/>
      <c r="LZ96" s="1"/>
      <c r="MA96" s="1"/>
      <c r="MB96" s="1"/>
      <c r="MC96" s="1"/>
      <c r="MD96" s="1"/>
      <c r="ME96" s="1"/>
      <c r="MF96" s="1"/>
      <c r="MG96" s="1"/>
      <c r="MH96" s="1"/>
      <c r="MI96" s="1"/>
      <c r="MJ96" s="1"/>
      <c r="MK96" s="1"/>
      <c r="ML96" s="1"/>
      <c r="MM96" s="1"/>
      <c r="MN96" s="1"/>
      <c r="MO96" s="1"/>
      <c r="MP96" s="1"/>
      <c r="MQ96" s="1"/>
      <c r="MR96" s="1"/>
      <c r="MS96" s="1"/>
      <c r="MT96" s="1"/>
      <c r="MU96" s="1"/>
      <c r="MV96" s="1"/>
      <c r="MW96" s="1"/>
      <c r="MX96" s="1"/>
      <c r="MY96" s="1"/>
      <c r="MZ96" s="1"/>
      <c r="NA96" s="1"/>
      <c r="NB96" s="1"/>
      <c r="ND96" s="53">
        <v>6.1999999999999902E-2</v>
      </c>
      <c r="NE96" s="47">
        <v>36936.485949833615</v>
      </c>
      <c r="NF96" s="13">
        <v>0.47499999999999998</v>
      </c>
      <c r="NG96" s="1">
        <f>Combine!A98</f>
        <v>48214</v>
      </c>
      <c r="NH96" s="14">
        <f>Combine!F98</f>
        <v>59504.007791886099</v>
      </c>
    </row>
    <row r="97" spans="1:372" ht="12.75" customHeight="1" x14ac:dyDescent="0.3">
      <c r="A97" s="59"/>
      <c r="D97" s="61"/>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c r="AW97" s="47"/>
      <c r="AX97" s="47"/>
      <c r="AY97" s="47"/>
      <c r="AZ97" s="47"/>
      <c r="BA97" s="47"/>
      <c r="BB97" s="47"/>
      <c r="BC97" s="47"/>
      <c r="BD97" s="47"/>
      <c r="BE97" s="47"/>
      <c r="BF97" s="47"/>
      <c r="BG97" s="47"/>
      <c r="BH97" s="47"/>
      <c r="BI97" s="47"/>
      <c r="BJ97" s="47"/>
      <c r="BK97" s="47"/>
      <c r="BL97" s="47"/>
      <c r="BM97" s="47"/>
      <c r="BN97" s="47"/>
      <c r="BO97" s="47"/>
      <c r="BP97" s="47"/>
      <c r="BQ97" s="47"/>
      <c r="BR97" s="47"/>
      <c r="BS97" s="47"/>
      <c r="BT97" s="47"/>
      <c r="BU97" s="47"/>
      <c r="BV97" s="47"/>
      <c r="BW97" s="47"/>
      <c r="BX97" s="47"/>
      <c r="BY97" s="47"/>
      <c r="BZ97" s="47"/>
      <c r="CA97" s="47"/>
      <c r="CB97" s="47"/>
      <c r="CC97" s="47"/>
      <c r="CD97" s="47"/>
      <c r="CE97" s="47"/>
      <c r="CF97" s="47"/>
      <c r="CG97" s="47"/>
      <c r="CH97" s="47"/>
      <c r="CI97" s="47"/>
      <c r="CJ97" s="47"/>
      <c r="CK97" s="47"/>
      <c r="CL97" s="47"/>
      <c r="CM97" s="47"/>
      <c r="CN97" s="47"/>
      <c r="CO97" s="47"/>
      <c r="CP97" s="47"/>
      <c r="CQ97" s="47"/>
      <c r="CR97" s="47"/>
      <c r="CS97" s="47"/>
      <c r="CT97" s="47"/>
      <c r="CU97" s="47"/>
      <c r="CV97" s="47"/>
      <c r="CW97" s="47"/>
      <c r="CX97" s="47"/>
      <c r="CY97" s="47"/>
      <c r="CZ97" s="47"/>
      <c r="DA97" s="47"/>
      <c r="DB97" s="47"/>
      <c r="DC97" s="47"/>
      <c r="DD97" s="47"/>
      <c r="DE97" s="47"/>
      <c r="DF97" s="47"/>
      <c r="DG97" s="47"/>
      <c r="DH97" s="47"/>
      <c r="DI97" s="47"/>
      <c r="DJ97" s="47"/>
      <c r="DK97" s="47"/>
      <c r="DL97" s="47"/>
      <c r="DM97" s="47"/>
      <c r="DN97" s="47"/>
      <c r="DO97" s="47"/>
      <c r="DP97" s="47"/>
      <c r="DQ97" s="47"/>
      <c r="DR97" s="47"/>
      <c r="DS97" s="47"/>
      <c r="DT97" s="47"/>
      <c r="DU97" s="47"/>
      <c r="DV97" s="47"/>
      <c r="DW97" s="47"/>
      <c r="DX97" s="47"/>
      <c r="DY97" s="47"/>
      <c r="DZ97" s="47"/>
      <c r="EA97" s="47"/>
      <c r="EB97" s="47"/>
      <c r="EC97" s="47"/>
      <c r="ED97" s="47"/>
      <c r="EE97" s="47"/>
      <c r="EF97" s="47"/>
      <c r="EG97" s="47"/>
      <c r="EH97" s="47"/>
      <c r="EI97" s="47"/>
      <c r="EJ97" s="47"/>
      <c r="EK97" s="47"/>
      <c r="EL97" s="47"/>
      <c r="EM97" s="47"/>
      <c r="EN97" s="47"/>
      <c r="EO97" s="47"/>
      <c r="EP97" s="47"/>
      <c r="EQ97" s="47"/>
      <c r="ER97" s="47"/>
      <c r="ES97" s="47"/>
      <c r="ET97" s="47"/>
      <c r="EU97" s="47"/>
      <c r="EV97" s="47"/>
      <c r="EW97" s="47"/>
      <c r="EX97" s="47"/>
      <c r="EY97" s="47"/>
      <c r="EZ97" s="47"/>
      <c r="FA97" s="47"/>
      <c r="FB97" s="47"/>
      <c r="FC97" s="47"/>
      <c r="FD97" s="47"/>
      <c r="FE97" s="47"/>
      <c r="FF97" s="47"/>
      <c r="FG97" s="47"/>
      <c r="FH97" s="47"/>
      <c r="FI97" s="47"/>
      <c r="FJ97" s="47"/>
      <c r="FK97" s="47"/>
      <c r="FL97" s="47"/>
      <c r="FM97" s="47"/>
      <c r="FN97" s="47"/>
      <c r="FO97" s="47"/>
      <c r="FP97" s="47"/>
      <c r="FQ97" s="47"/>
      <c r="FR97" s="47"/>
      <c r="FS97" s="47"/>
      <c r="FT97" s="47"/>
      <c r="FU97" s="47"/>
      <c r="FV97" s="47"/>
      <c r="FW97" s="47"/>
      <c r="FX97" s="47"/>
      <c r="FY97" s="47"/>
      <c r="FZ97" s="47"/>
      <c r="GA97" s="47"/>
      <c r="GB97" s="47"/>
      <c r="GC97" s="47"/>
      <c r="GD97" s="47"/>
      <c r="GE97" s="47"/>
      <c r="GF97" s="47"/>
      <c r="GG97" s="47"/>
      <c r="GH97" s="47"/>
      <c r="GI97" s="47"/>
      <c r="GJ97" s="47"/>
      <c r="GK97" s="47"/>
      <c r="GL97" s="47"/>
      <c r="GM97" s="47"/>
      <c r="GN97" s="47"/>
      <c r="GO97" s="47"/>
      <c r="GP97" s="47"/>
      <c r="GQ97" s="47"/>
      <c r="GR97" s="47"/>
      <c r="GS97" s="47"/>
      <c r="GT97" s="47"/>
      <c r="GU97" s="47"/>
      <c r="GV97" s="47"/>
      <c r="GW97" s="47"/>
      <c r="GX97" s="47"/>
      <c r="GY97" s="47"/>
      <c r="GZ97" s="47"/>
      <c r="HA97" s="47"/>
      <c r="HB97" s="47"/>
      <c r="HC97" s="47"/>
      <c r="HD97" s="47"/>
      <c r="HE97" s="47"/>
      <c r="HF97" s="47"/>
      <c r="HG97" s="47"/>
      <c r="HH97" s="47"/>
      <c r="HI97" s="47"/>
      <c r="HJ97" s="47"/>
      <c r="HK97" s="47"/>
      <c r="HL97" s="47"/>
      <c r="HM97" s="47"/>
      <c r="HN97" s="47"/>
      <c r="HO97" s="47"/>
      <c r="HP97" s="47"/>
      <c r="HQ97" s="47"/>
      <c r="HR97" s="47"/>
      <c r="HS97" s="47"/>
      <c r="HT97" s="47"/>
      <c r="HU97" s="47"/>
      <c r="HV97" s="47"/>
      <c r="HW97" s="47"/>
      <c r="HX97" s="47"/>
      <c r="HY97" s="47"/>
      <c r="HZ97" s="47"/>
      <c r="IA97" s="47"/>
      <c r="IB97" s="47"/>
      <c r="IC97" s="47"/>
      <c r="ID97" s="47"/>
      <c r="IE97" s="47"/>
      <c r="IF97" s="47"/>
      <c r="IG97" s="47"/>
      <c r="IH97" s="47"/>
      <c r="II97" s="47"/>
      <c r="IJ97" s="47"/>
      <c r="IK97" s="47"/>
      <c r="IL97" s="47"/>
      <c r="IM97" s="47"/>
      <c r="IN97" s="47"/>
      <c r="IO97" s="47"/>
      <c r="IP97" s="47"/>
      <c r="IQ97" s="47"/>
      <c r="IR97" s="47"/>
      <c r="IS97" s="47"/>
      <c r="IT97" s="47"/>
      <c r="IU97" s="47"/>
      <c r="IV97" s="47"/>
      <c r="IW97" s="1"/>
      <c r="IX97" s="1"/>
      <c r="IY97" s="1"/>
      <c r="IZ97" s="1"/>
      <c r="JA97" s="1"/>
      <c r="JB97" s="1"/>
      <c r="JC97" s="1"/>
      <c r="JD97" s="1"/>
      <c r="JE97" s="1"/>
      <c r="JF97" s="1"/>
      <c r="JG97" s="1"/>
      <c r="JH97" s="1"/>
      <c r="JI97" s="1"/>
      <c r="JJ97" s="1"/>
      <c r="JK97" s="1"/>
      <c r="JL97" s="1"/>
      <c r="JM97" s="1"/>
      <c r="JN97" s="1"/>
      <c r="JO97" s="1"/>
      <c r="JP97" s="1"/>
      <c r="JQ97" s="1"/>
      <c r="JR97" s="1"/>
      <c r="JS97" s="1"/>
      <c r="JT97" s="1"/>
      <c r="JU97" s="1"/>
      <c r="JV97" s="1"/>
      <c r="JW97" s="1"/>
      <c r="JX97" s="1"/>
      <c r="JY97" s="1"/>
      <c r="JZ97" s="1"/>
      <c r="KA97" s="1"/>
      <c r="KB97" s="1"/>
      <c r="KC97" s="1"/>
      <c r="KD97" s="1"/>
      <c r="KE97" s="1"/>
      <c r="KF97" s="1"/>
      <c r="KG97" s="1"/>
      <c r="KH97" s="1"/>
      <c r="KI97" s="1"/>
      <c r="KJ97" s="1"/>
      <c r="KK97" s="1"/>
      <c r="KL97" s="1"/>
      <c r="KM97" s="1"/>
      <c r="KN97" s="1"/>
      <c r="KO97" s="1"/>
      <c r="KP97" s="1"/>
      <c r="KQ97" s="1"/>
      <c r="KR97" s="1"/>
      <c r="KS97" s="1"/>
      <c r="KT97" s="1"/>
      <c r="KU97" s="1"/>
      <c r="KV97" s="1"/>
      <c r="KW97" s="1"/>
      <c r="KX97" s="1"/>
      <c r="KY97" s="1"/>
      <c r="KZ97" s="1"/>
      <c r="LA97" s="1"/>
      <c r="LB97" s="1"/>
      <c r="LC97" s="1"/>
      <c r="LD97" s="1"/>
      <c r="LE97" s="1"/>
      <c r="LF97" s="1"/>
      <c r="LG97" s="1"/>
      <c r="LH97" s="1"/>
      <c r="LI97" s="1"/>
      <c r="LJ97" s="1"/>
      <c r="LK97" s="1"/>
      <c r="LL97" s="1"/>
      <c r="LM97" s="1"/>
      <c r="LN97" s="1"/>
      <c r="LO97" s="1"/>
      <c r="LP97" s="1"/>
      <c r="LQ97" s="1"/>
      <c r="LR97" s="1"/>
      <c r="LS97" s="1"/>
      <c r="LT97" s="1"/>
      <c r="LU97" s="1"/>
      <c r="LV97" s="1"/>
      <c r="LW97" s="1"/>
      <c r="LX97" s="1"/>
      <c r="LY97" s="1"/>
      <c r="LZ97" s="1"/>
      <c r="MA97" s="1"/>
      <c r="MB97" s="1"/>
      <c r="MC97" s="1"/>
      <c r="MD97" s="1"/>
      <c r="ME97" s="1"/>
      <c r="MF97" s="1"/>
      <c r="MG97" s="1"/>
      <c r="MH97" s="1"/>
      <c r="MI97" s="1"/>
      <c r="MJ97" s="1"/>
      <c r="MK97" s="1"/>
      <c r="ML97" s="1"/>
      <c r="MM97" s="1"/>
      <c r="MN97" s="1"/>
      <c r="MO97" s="1"/>
      <c r="MP97" s="1"/>
      <c r="MQ97" s="1"/>
      <c r="MR97" s="1"/>
      <c r="MS97" s="1"/>
      <c r="MT97" s="1"/>
      <c r="MU97" s="1"/>
      <c r="MV97" s="1"/>
      <c r="MW97" s="1"/>
      <c r="MX97" s="1"/>
      <c r="MY97" s="1"/>
      <c r="MZ97" s="1"/>
      <c r="NA97" s="1"/>
      <c r="NB97" s="1"/>
      <c r="ND97" s="53">
        <v>6.2999999999999903E-2</v>
      </c>
      <c r="NE97" s="47">
        <v>34843.657103853926</v>
      </c>
      <c r="NF97" s="13">
        <v>0.48</v>
      </c>
      <c r="NG97" s="1">
        <f>Combine!A99</f>
        <v>48331</v>
      </c>
      <c r="NH97" s="14">
        <f>Combine!F99</f>
        <v>413023.466462554</v>
      </c>
    </row>
    <row r="98" spans="1:372" ht="12.75" customHeight="1" x14ac:dyDescent="0.3">
      <c r="A98" s="59"/>
      <c r="D98" s="61"/>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c r="AW98" s="47"/>
      <c r="AX98" s="47"/>
      <c r="AY98" s="47"/>
      <c r="AZ98" s="47"/>
      <c r="BA98" s="47"/>
      <c r="BB98" s="47"/>
      <c r="BC98" s="47"/>
      <c r="BD98" s="47"/>
      <c r="BE98" s="47"/>
      <c r="BF98" s="47"/>
      <c r="BG98" s="47"/>
      <c r="BH98" s="47"/>
      <c r="BI98" s="47"/>
      <c r="BJ98" s="47"/>
      <c r="BK98" s="47"/>
      <c r="BL98" s="47"/>
      <c r="BM98" s="47"/>
      <c r="BN98" s="47"/>
      <c r="BO98" s="47"/>
      <c r="BP98" s="47"/>
      <c r="BQ98" s="47"/>
      <c r="BR98" s="47"/>
      <c r="BS98" s="47"/>
      <c r="BT98" s="47"/>
      <c r="BU98" s="47"/>
      <c r="BV98" s="47"/>
      <c r="BW98" s="47"/>
      <c r="BX98" s="47"/>
      <c r="BY98" s="47"/>
      <c r="BZ98" s="47"/>
      <c r="CA98" s="47"/>
      <c r="CB98" s="47"/>
      <c r="CC98" s="47"/>
      <c r="CD98" s="47"/>
      <c r="CE98" s="47"/>
      <c r="CF98" s="47"/>
      <c r="CG98" s="47"/>
      <c r="CH98" s="47"/>
      <c r="CI98" s="47"/>
      <c r="CJ98" s="47"/>
      <c r="CK98" s="47"/>
      <c r="CL98" s="47"/>
      <c r="CM98" s="47"/>
      <c r="CN98" s="47"/>
      <c r="CO98" s="47"/>
      <c r="CP98" s="47"/>
      <c r="CQ98" s="47"/>
      <c r="CR98" s="47"/>
      <c r="CS98" s="47"/>
      <c r="CT98" s="47"/>
      <c r="CU98" s="47"/>
      <c r="CV98" s="47"/>
      <c r="CW98" s="47"/>
      <c r="CX98" s="47"/>
      <c r="CY98" s="47"/>
      <c r="CZ98" s="47"/>
      <c r="DA98" s="47"/>
      <c r="DB98" s="47"/>
      <c r="DC98" s="47"/>
      <c r="DD98" s="47"/>
      <c r="DE98" s="47"/>
      <c r="DF98" s="47"/>
      <c r="DG98" s="47"/>
      <c r="DH98" s="47"/>
      <c r="DI98" s="47"/>
      <c r="DJ98" s="47"/>
      <c r="DK98" s="47"/>
      <c r="DL98" s="47"/>
      <c r="DM98" s="47"/>
      <c r="DN98" s="47"/>
      <c r="DO98" s="47"/>
      <c r="DP98" s="47"/>
      <c r="DQ98" s="47"/>
      <c r="DR98" s="47"/>
      <c r="DS98" s="47"/>
      <c r="DT98" s="47"/>
      <c r="DU98" s="47"/>
      <c r="DV98" s="47"/>
      <c r="DW98" s="47"/>
      <c r="DX98" s="47"/>
      <c r="DY98" s="47"/>
      <c r="DZ98" s="47"/>
      <c r="EA98" s="47"/>
      <c r="EB98" s="47"/>
      <c r="EC98" s="47"/>
      <c r="ED98" s="47"/>
      <c r="EE98" s="47"/>
      <c r="EF98" s="47"/>
      <c r="EG98" s="47"/>
      <c r="EH98" s="47"/>
      <c r="EI98" s="47"/>
      <c r="EJ98" s="47"/>
      <c r="EK98" s="47"/>
      <c r="EL98" s="47"/>
      <c r="EM98" s="47"/>
      <c r="EN98" s="47"/>
      <c r="EO98" s="47"/>
      <c r="EP98" s="47"/>
      <c r="EQ98" s="47"/>
      <c r="ER98" s="47"/>
      <c r="ES98" s="47"/>
      <c r="ET98" s="47"/>
      <c r="EU98" s="47"/>
      <c r="EV98" s="47"/>
      <c r="EW98" s="47"/>
      <c r="EX98" s="47"/>
      <c r="EY98" s="47"/>
      <c r="EZ98" s="47"/>
      <c r="FA98" s="47"/>
      <c r="FB98" s="47"/>
      <c r="FC98" s="47"/>
      <c r="FD98" s="47"/>
      <c r="FE98" s="47"/>
      <c r="FF98" s="47"/>
      <c r="FG98" s="47"/>
      <c r="FH98" s="47"/>
      <c r="FI98" s="47"/>
      <c r="FJ98" s="47"/>
      <c r="FK98" s="47"/>
      <c r="FL98" s="47"/>
      <c r="FM98" s="47"/>
      <c r="FN98" s="47"/>
      <c r="FO98" s="47"/>
      <c r="FP98" s="47"/>
      <c r="FQ98" s="47"/>
      <c r="FR98" s="47"/>
      <c r="FS98" s="47"/>
      <c r="FT98" s="47"/>
      <c r="FU98" s="47"/>
      <c r="FV98" s="47"/>
      <c r="FW98" s="47"/>
      <c r="FX98" s="47"/>
      <c r="FY98" s="47"/>
      <c r="FZ98" s="47"/>
      <c r="GA98" s="47"/>
      <c r="GB98" s="47"/>
      <c r="GC98" s="47"/>
      <c r="GD98" s="47"/>
      <c r="GE98" s="47"/>
      <c r="GF98" s="47"/>
      <c r="GG98" s="47"/>
      <c r="GH98" s="47"/>
      <c r="GI98" s="47"/>
      <c r="GJ98" s="47"/>
      <c r="GK98" s="47"/>
      <c r="GL98" s="47"/>
      <c r="GM98" s="47"/>
      <c r="GN98" s="47"/>
      <c r="GO98" s="47"/>
      <c r="GP98" s="47"/>
      <c r="GQ98" s="47"/>
      <c r="GR98" s="47"/>
      <c r="GS98" s="47"/>
      <c r="GT98" s="47"/>
      <c r="GU98" s="47"/>
      <c r="GV98" s="47"/>
      <c r="GW98" s="47"/>
      <c r="GX98" s="47"/>
      <c r="GY98" s="47"/>
      <c r="GZ98" s="47"/>
      <c r="HA98" s="47"/>
      <c r="HB98" s="47"/>
      <c r="HC98" s="47"/>
      <c r="HD98" s="47"/>
      <c r="HE98" s="47"/>
      <c r="HF98" s="47"/>
      <c r="HG98" s="47"/>
      <c r="HH98" s="47"/>
      <c r="HI98" s="47"/>
      <c r="HJ98" s="47"/>
      <c r="HK98" s="47"/>
      <c r="HL98" s="47"/>
      <c r="HM98" s="47"/>
      <c r="HN98" s="47"/>
      <c r="HO98" s="47"/>
      <c r="HP98" s="47"/>
      <c r="HQ98" s="47"/>
      <c r="HR98" s="47"/>
      <c r="HS98" s="47"/>
      <c r="HT98" s="47"/>
      <c r="HU98" s="47"/>
      <c r="HV98" s="47"/>
      <c r="HW98" s="47"/>
      <c r="HX98" s="47"/>
      <c r="HY98" s="47"/>
      <c r="HZ98" s="47"/>
      <c r="IA98" s="47"/>
      <c r="IB98" s="47"/>
      <c r="IC98" s="47"/>
      <c r="ID98" s="47"/>
      <c r="IE98" s="47"/>
      <c r="IF98" s="47"/>
      <c r="IG98" s="47"/>
      <c r="IH98" s="47"/>
      <c r="II98" s="47"/>
      <c r="IJ98" s="47"/>
      <c r="IK98" s="47"/>
      <c r="IL98" s="47"/>
      <c r="IM98" s="47"/>
      <c r="IN98" s="47"/>
      <c r="IO98" s="47"/>
      <c r="IP98" s="47"/>
      <c r="IQ98" s="47"/>
      <c r="IR98" s="47"/>
      <c r="IS98" s="47"/>
      <c r="IT98" s="47"/>
      <c r="IU98" s="47"/>
      <c r="IV98" s="47"/>
      <c r="IW98" s="1"/>
      <c r="IX98" s="1"/>
      <c r="IY98" s="1"/>
      <c r="IZ98" s="1"/>
      <c r="JA98" s="1"/>
      <c r="JB98" s="1"/>
      <c r="JC98" s="1"/>
      <c r="JD98" s="1"/>
      <c r="JE98" s="1"/>
      <c r="JF98" s="1"/>
      <c r="JG98" s="1"/>
      <c r="JH98" s="1"/>
      <c r="JI98" s="1"/>
      <c r="JJ98" s="1"/>
      <c r="JK98" s="1"/>
      <c r="JL98" s="1"/>
      <c r="JM98" s="1"/>
      <c r="JN98" s="1"/>
      <c r="JO98" s="1"/>
      <c r="JP98" s="1"/>
      <c r="JQ98" s="1"/>
      <c r="JR98" s="1"/>
      <c r="JS98" s="1"/>
      <c r="JT98" s="1"/>
      <c r="JU98" s="1"/>
      <c r="JV98" s="1"/>
      <c r="JW98" s="1"/>
      <c r="JX98" s="1"/>
      <c r="JY98" s="1"/>
      <c r="JZ98" s="1"/>
      <c r="KA98" s="1"/>
      <c r="KB98" s="1"/>
      <c r="KC98" s="1"/>
      <c r="KD98" s="1"/>
      <c r="KE98" s="1"/>
      <c r="KF98" s="1"/>
      <c r="KG98" s="1"/>
      <c r="KH98" s="1"/>
      <c r="KI98" s="1"/>
      <c r="KJ98" s="1"/>
      <c r="KK98" s="1"/>
      <c r="KL98" s="1"/>
      <c r="KM98" s="1"/>
      <c r="KN98" s="1"/>
      <c r="KO98" s="1"/>
      <c r="KP98" s="1"/>
      <c r="KQ98" s="1"/>
      <c r="KR98" s="1"/>
      <c r="KS98" s="1"/>
      <c r="KT98" s="1"/>
      <c r="KU98" s="1"/>
      <c r="KV98" s="1"/>
      <c r="KW98" s="1"/>
      <c r="KX98" s="1"/>
      <c r="KY98" s="1"/>
      <c r="KZ98" s="1"/>
      <c r="LA98" s="1"/>
      <c r="LB98" s="1"/>
      <c r="LC98" s="1"/>
      <c r="LD98" s="1"/>
      <c r="LE98" s="1"/>
      <c r="LF98" s="1"/>
      <c r="LG98" s="1"/>
      <c r="LH98" s="1"/>
      <c r="LI98" s="1"/>
      <c r="LJ98" s="1"/>
      <c r="LK98" s="1"/>
      <c r="LL98" s="1"/>
      <c r="LM98" s="1"/>
      <c r="LN98" s="1"/>
      <c r="LO98" s="1"/>
      <c r="LP98" s="1"/>
      <c r="LQ98" s="1"/>
      <c r="LR98" s="1"/>
      <c r="LS98" s="1"/>
      <c r="LT98" s="1"/>
      <c r="LU98" s="1"/>
      <c r="LV98" s="1"/>
      <c r="LW98" s="1"/>
      <c r="LX98" s="1"/>
      <c r="LY98" s="1"/>
      <c r="LZ98" s="1"/>
      <c r="MA98" s="1"/>
      <c r="MB98" s="1"/>
      <c r="MC98" s="1"/>
      <c r="MD98" s="1"/>
      <c r="ME98" s="1"/>
      <c r="MF98" s="1"/>
      <c r="MG98" s="1"/>
      <c r="MH98" s="1"/>
      <c r="MI98" s="1"/>
      <c r="MJ98" s="1"/>
      <c r="MK98" s="1"/>
      <c r="ML98" s="1"/>
      <c r="MM98" s="1"/>
      <c r="MN98" s="1"/>
      <c r="MO98" s="1"/>
      <c r="MP98" s="1"/>
      <c r="MQ98" s="1"/>
      <c r="MR98" s="1"/>
      <c r="MS98" s="1"/>
      <c r="MT98" s="1"/>
      <c r="MU98" s="1"/>
      <c r="MV98" s="1"/>
      <c r="MW98" s="1"/>
      <c r="MX98" s="1"/>
      <c r="MY98" s="1"/>
      <c r="MZ98" s="1"/>
      <c r="NA98" s="1"/>
      <c r="NB98" s="1"/>
      <c r="ND98" s="53">
        <v>6.3999999999999904E-2</v>
      </c>
      <c r="NE98" s="47">
        <v>32746.034155490775</v>
      </c>
      <c r="NF98" s="13">
        <v>0.48499999999999999</v>
      </c>
      <c r="NG98" s="1">
        <f>Combine!A100</f>
        <v>48081</v>
      </c>
      <c r="NH98" s="14">
        <f>Combine!F100</f>
        <v>206290.8513791</v>
      </c>
    </row>
    <row r="99" spans="1:372" ht="12.75" customHeight="1" x14ac:dyDescent="0.3">
      <c r="A99" s="59"/>
      <c r="D99" s="61"/>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c r="AW99" s="47"/>
      <c r="AX99" s="47"/>
      <c r="AY99" s="47"/>
      <c r="AZ99" s="47"/>
      <c r="BA99" s="47"/>
      <c r="BB99" s="47"/>
      <c r="BC99" s="47"/>
      <c r="BD99" s="47"/>
      <c r="BE99" s="47"/>
      <c r="BF99" s="47"/>
      <c r="BG99" s="47"/>
      <c r="BH99" s="47"/>
      <c r="BI99" s="47"/>
      <c r="BJ99" s="47"/>
      <c r="BK99" s="47"/>
      <c r="BL99" s="47"/>
      <c r="BM99" s="47"/>
      <c r="BN99" s="47"/>
      <c r="BO99" s="47"/>
      <c r="BP99" s="47"/>
      <c r="BQ99" s="47"/>
      <c r="BR99" s="47"/>
      <c r="BS99" s="47"/>
      <c r="BT99" s="47"/>
      <c r="BU99" s="47"/>
      <c r="BV99" s="47"/>
      <c r="BW99" s="47"/>
      <c r="BX99" s="47"/>
      <c r="BY99" s="47"/>
      <c r="BZ99" s="47"/>
      <c r="CA99" s="47"/>
      <c r="CB99" s="47"/>
      <c r="CC99" s="47"/>
      <c r="CD99" s="47"/>
      <c r="CE99" s="47"/>
      <c r="CF99" s="47"/>
      <c r="CG99" s="47"/>
      <c r="CH99" s="47"/>
      <c r="CI99" s="47"/>
      <c r="CJ99" s="47"/>
      <c r="CK99" s="47"/>
      <c r="CL99" s="47"/>
      <c r="CM99" s="47"/>
      <c r="CN99" s="47"/>
      <c r="CO99" s="47"/>
      <c r="CP99" s="47"/>
      <c r="CQ99" s="47"/>
      <c r="CR99" s="47"/>
      <c r="CS99" s="47"/>
      <c r="CT99" s="47"/>
      <c r="CU99" s="47"/>
      <c r="CV99" s="47"/>
      <c r="CW99" s="47"/>
      <c r="CX99" s="47"/>
      <c r="CY99" s="47"/>
      <c r="CZ99" s="47"/>
      <c r="DA99" s="47"/>
      <c r="DB99" s="47"/>
      <c r="DC99" s="47"/>
      <c r="DD99" s="47"/>
      <c r="DE99" s="47"/>
      <c r="DF99" s="47"/>
      <c r="DG99" s="47"/>
      <c r="DH99" s="47"/>
      <c r="DI99" s="47"/>
      <c r="DJ99" s="47"/>
      <c r="DK99" s="47"/>
      <c r="DL99" s="47"/>
      <c r="DM99" s="47"/>
      <c r="DN99" s="47"/>
      <c r="DO99" s="47"/>
      <c r="DP99" s="47"/>
      <c r="DQ99" s="47"/>
      <c r="DR99" s="47"/>
      <c r="DS99" s="47"/>
      <c r="DT99" s="47"/>
      <c r="DU99" s="47"/>
      <c r="DV99" s="47"/>
      <c r="DW99" s="47"/>
      <c r="DX99" s="47"/>
      <c r="DY99" s="47"/>
      <c r="DZ99" s="47"/>
      <c r="EA99" s="47"/>
      <c r="EB99" s="47"/>
      <c r="EC99" s="47"/>
      <c r="ED99" s="47"/>
      <c r="EE99" s="47"/>
      <c r="EF99" s="47"/>
      <c r="EG99" s="47"/>
      <c r="EH99" s="47"/>
      <c r="EI99" s="47"/>
      <c r="EJ99" s="47"/>
      <c r="EK99" s="47"/>
      <c r="EL99" s="47"/>
      <c r="EM99" s="47"/>
      <c r="EN99" s="47"/>
      <c r="EO99" s="47"/>
      <c r="EP99" s="47"/>
      <c r="EQ99" s="47"/>
      <c r="ER99" s="47"/>
      <c r="ES99" s="47"/>
      <c r="ET99" s="47"/>
      <c r="EU99" s="47"/>
      <c r="EV99" s="47"/>
      <c r="EW99" s="47"/>
      <c r="EX99" s="47"/>
      <c r="EY99" s="47"/>
      <c r="EZ99" s="47"/>
      <c r="FA99" s="47"/>
      <c r="FB99" s="47"/>
      <c r="FC99" s="47"/>
      <c r="FD99" s="47"/>
      <c r="FE99" s="47"/>
      <c r="FF99" s="47"/>
      <c r="FG99" s="47"/>
      <c r="FH99" s="47"/>
      <c r="FI99" s="47"/>
      <c r="FJ99" s="47"/>
      <c r="FK99" s="47"/>
      <c r="FL99" s="47"/>
      <c r="FM99" s="47"/>
      <c r="FN99" s="47"/>
      <c r="FO99" s="47"/>
      <c r="FP99" s="47"/>
      <c r="FQ99" s="47"/>
      <c r="FR99" s="47"/>
      <c r="FS99" s="47"/>
      <c r="FT99" s="47"/>
      <c r="FU99" s="47"/>
      <c r="FV99" s="47"/>
      <c r="FW99" s="47"/>
      <c r="FX99" s="47"/>
      <c r="FY99" s="47"/>
      <c r="FZ99" s="47"/>
      <c r="GA99" s="47"/>
      <c r="GB99" s="47"/>
      <c r="GC99" s="47"/>
      <c r="GD99" s="47"/>
      <c r="GE99" s="47"/>
      <c r="GF99" s="47"/>
      <c r="GG99" s="47"/>
      <c r="GH99" s="47"/>
      <c r="GI99" s="47"/>
      <c r="GJ99" s="47"/>
      <c r="GK99" s="47"/>
      <c r="GL99" s="47"/>
      <c r="GM99" s="47"/>
      <c r="GN99" s="47"/>
      <c r="GO99" s="47"/>
      <c r="GP99" s="47"/>
      <c r="GQ99" s="47"/>
      <c r="GR99" s="47"/>
      <c r="GS99" s="47"/>
      <c r="GT99" s="47"/>
      <c r="GU99" s="47"/>
      <c r="GV99" s="47"/>
      <c r="GW99" s="47"/>
      <c r="GX99" s="47"/>
      <c r="GY99" s="47"/>
      <c r="GZ99" s="47"/>
      <c r="HA99" s="47"/>
      <c r="HB99" s="47"/>
      <c r="HC99" s="47"/>
      <c r="HD99" s="47"/>
      <c r="HE99" s="47"/>
      <c r="HF99" s="47"/>
      <c r="HG99" s="47"/>
      <c r="HH99" s="47"/>
      <c r="HI99" s="47"/>
      <c r="HJ99" s="47"/>
      <c r="HK99" s="47"/>
      <c r="HL99" s="47"/>
      <c r="HM99" s="47"/>
      <c r="HN99" s="47"/>
      <c r="HO99" s="47"/>
      <c r="HP99" s="47"/>
      <c r="HQ99" s="47"/>
      <c r="HR99" s="47"/>
      <c r="HS99" s="47"/>
      <c r="HT99" s="47"/>
      <c r="HU99" s="47"/>
      <c r="HV99" s="47"/>
      <c r="HW99" s="47"/>
      <c r="HX99" s="47"/>
      <c r="HY99" s="47"/>
      <c r="HZ99" s="47"/>
      <c r="IA99" s="47"/>
      <c r="IB99" s="47"/>
      <c r="IC99" s="47"/>
      <c r="ID99" s="47"/>
      <c r="IE99" s="47"/>
      <c r="IF99" s="47"/>
      <c r="IG99" s="47"/>
      <c r="IH99" s="47"/>
      <c r="II99" s="47"/>
      <c r="IJ99" s="47"/>
      <c r="IK99" s="47"/>
      <c r="IL99" s="47"/>
      <c r="IM99" s="47"/>
      <c r="IN99" s="47"/>
      <c r="IO99" s="47"/>
      <c r="IP99" s="47"/>
      <c r="IQ99" s="47"/>
      <c r="IR99" s="47"/>
      <c r="IS99" s="47"/>
      <c r="IT99" s="47"/>
      <c r="IU99" s="47"/>
      <c r="IV99" s="47"/>
      <c r="IW99" s="1"/>
      <c r="IX99" s="1"/>
      <c r="IY99" s="1"/>
      <c r="IZ99" s="1"/>
      <c r="JA99" s="1"/>
      <c r="JB99" s="1"/>
      <c r="JC99" s="1"/>
      <c r="JD99" s="1"/>
      <c r="JE99" s="1"/>
      <c r="JF99" s="1"/>
      <c r="JG99" s="1"/>
      <c r="JH99" s="1"/>
      <c r="JI99" s="1"/>
      <c r="JJ99" s="1"/>
      <c r="JK99" s="1"/>
      <c r="JL99" s="1"/>
      <c r="JM99" s="1"/>
      <c r="JN99" s="1"/>
      <c r="JO99" s="1"/>
      <c r="JP99" s="1"/>
      <c r="JQ99" s="1"/>
      <c r="JR99" s="1"/>
      <c r="JS99" s="1"/>
      <c r="JT99" s="1"/>
      <c r="JU99" s="1"/>
      <c r="JV99" s="1"/>
      <c r="JW99" s="1"/>
      <c r="JX99" s="1"/>
      <c r="JY99" s="1"/>
      <c r="JZ99" s="1"/>
      <c r="KA99" s="1"/>
      <c r="KB99" s="1"/>
      <c r="KC99" s="1"/>
      <c r="KD99" s="1"/>
      <c r="KE99" s="1"/>
      <c r="KF99" s="1"/>
      <c r="KG99" s="1"/>
      <c r="KH99" s="1"/>
      <c r="KI99" s="1"/>
      <c r="KJ99" s="1"/>
      <c r="KK99" s="1"/>
      <c r="KL99" s="1"/>
      <c r="KM99" s="1"/>
      <c r="KN99" s="1"/>
      <c r="KO99" s="1"/>
      <c r="KP99" s="1"/>
      <c r="KQ99" s="1"/>
      <c r="KR99" s="1"/>
      <c r="KS99" s="1"/>
      <c r="KT99" s="1"/>
      <c r="KU99" s="1"/>
      <c r="KV99" s="1"/>
      <c r="KW99" s="1"/>
      <c r="KX99" s="1"/>
      <c r="KY99" s="1"/>
      <c r="KZ99" s="1"/>
      <c r="LA99" s="1"/>
      <c r="LB99" s="1"/>
      <c r="LC99" s="1"/>
      <c r="LD99" s="1"/>
      <c r="LE99" s="1"/>
      <c r="LF99" s="1"/>
      <c r="LG99" s="1"/>
      <c r="LH99" s="1"/>
      <c r="LI99" s="1"/>
      <c r="LJ99" s="1"/>
      <c r="LK99" s="1"/>
      <c r="LL99" s="1"/>
      <c r="LM99" s="1"/>
      <c r="LN99" s="1"/>
      <c r="LO99" s="1"/>
      <c r="LP99" s="1"/>
      <c r="LQ99" s="1"/>
      <c r="LR99" s="1"/>
      <c r="LS99" s="1"/>
      <c r="LT99" s="1"/>
      <c r="LU99" s="1"/>
      <c r="LV99" s="1"/>
      <c r="LW99" s="1"/>
      <c r="LX99" s="1"/>
      <c r="LY99" s="1"/>
      <c r="LZ99" s="1"/>
      <c r="MA99" s="1"/>
      <c r="MB99" s="1"/>
      <c r="MC99" s="1"/>
      <c r="MD99" s="1"/>
      <c r="ME99" s="1"/>
      <c r="MF99" s="1"/>
      <c r="MG99" s="1"/>
      <c r="MH99" s="1"/>
      <c r="MI99" s="1"/>
      <c r="MJ99" s="1"/>
      <c r="MK99" s="1"/>
      <c r="ML99" s="1"/>
      <c r="MM99" s="1"/>
      <c r="MN99" s="1"/>
      <c r="MO99" s="1"/>
      <c r="MP99" s="1"/>
      <c r="MQ99" s="1"/>
      <c r="MR99" s="1"/>
      <c r="MS99" s="1"/>
      <c r="MT99" s="1"/>
      <c r="MU99" s="1"/>
      <c r="MV99" s="1"/>
      <c r="MW99" s="1"/>
      <c r="MX99" s="1"/>
      <c r="MY99" s="1"/>
      <c r="MZ99" s="1"/>
      <c r="NA99" s="1"/>
      <c r="NB99" s="1"/>
      <c r="ND99" s="53">
        <v>6.4999999999999905E-2</v>
      </c>
      <c r="NE99" s="47">
        <v>30643.69966424274</v>
      </c>
      <c r="NF99" s="13">
        <v>0.49</v>
      </c>
      <c r="NG99" s="1">
        <f>Combine!A101</f>
        <v>48009</v>
      </c>
      <c r="NH99" s="14">
        <f>Combine!F101</f>
        <v>663312.90064347198</v>
      </c>
    </row>
    <row r="100" spans="1:372" ht="12.75" customHeight="1" x14ac:dyDescent="0.3">
      <c r="A100" s="59"/>
      <c r="D100" s="61"/>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c r="AW100" s="47"/>
      <c r="AX100" s="47"/>
      <c r="AY100" s="47"/>
      <c r="AZ100" s="47"/>
      <c r="BA100" s="47"/>
      <c r="BB100" s="47"/>
      <c r="BC100" s="47"/>
      <c r="BD100" s="47"/>
      <c r="BE100" s="47"/>
      <c r="BF100" s="47"/>
      <c r="BG100" s="47"/>
      <c r="BH100" s="47"/>
      <c r="BI100" s="47"/>
      <c r="BJ100" s="47"/>
      <c r="BK100" s="47"/>
      <c r="BL100" s="47"/>
      <c r="BM100" s="47"/>
      <c r="BN100" s="47"/>
      <c r="BO100" s="47"/>
      <c r="BP100" s="47"/>
      <c r="BQ100" s="47"/>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c r="CO100" s="47"/>
      <c r="CP100" s="47"/>
      <c r="CQ100" s="47"/>
      <c r="CR100" s="47"/>
      <c r="CS100" s="47"/>
      <c r="CT100" s="47"/>
      <c r="CU100" s="47"/>
      <c r="CV100" s="47"/>
      <c r="CW100" s="47"/>
      <c r="CX100" s="47"/>
      <c r="CY100" s="47"/>
      <c r="CZ100" s="47"/>
      <c r="DA100" s="47"/>
      <c r="DB100" s="47"/>
      <c r="DC100" s="47"/>
      <c r="DD100" s="47"/>
      <c r="DE100" s="47"/>
      <c r="DF100" s="47"/>
      <c r="DG100" s="47"/>
      <c r="DH100" s="47"/>
      <c r="DI100" s="47"/>
      <c r="DJ100" s="47"/>
      <c r="DK100" s="47"/>
      <c r="DL100" s="47"/>
      <c r="DM100" s="47"/>
      <c r="DN100" s="47"/>
      <c r="DO100" s="47"/>
      <c r="DP100" s="47"/>
      <c r="DQ100" s="47"/>
      <c r="DR100" s="47"/>
      <c r="DS100" s="47"/>
      <c r="DT100" s="47"/>
      <c r="DU100" s="47"/>
      <c r="DV100" s="47"/>
      <c r="DW100" s="47"/>
      <c r="DX100" s="47"/>
      <c r="DY100" s="47"/>
      <c r="DZ100" s="47"/>
      <c r="EA100" s="47"/>
      <c r="EB100" s="47"/>
      <c r="EC100" s="47"/>
      <c r="ED100" s="47"/>
      <c r="EE100" s="47"/>
      <c r="EF100" s="47"/>
      <c r="EG100" s="47"/>
      <c r="EH100" s="47"/>
      <c r="EI100" s="47"/>
      <c r="EJ100" s="47"/>
      <c r="EK100" s="47"/>
      <c r="EL100" s="47"/>
      <c r="EM100" s="47"/>
      <c r="EN100" s="47"/>
      <c r="EO100" s="47"/>
      <c r="EP100" s="47"/>
      <c r="EQ100" s="47"/>
      <c r="ER100" s="47"/>
      <c r="ES100" s="47"/>
      <c r="ET100" s="47"/>
      <c r="EU100" s="47"/>
      <c r="EV100" s="47"/>
      <c r="EW100" s="47"/>
      <c r="EX100" s="47"/>
      <c r="EY100" s="47"/>
      <c r="EZ100" s="47"/>
      <c r="FA100" s="47"/>
      <c r="FB100" s="47"/>
      <c r="FC100" s="47"/>
      <c r="FD100" s="47"/>
      <c r="FE100" s="47"/>
      <c r="FF100" s="47"/>
      <c r="FG100" s="47"/>
      <c r="FH100" s="47"/>
      <c r="FI100" s="47"/>
      <c r="FJ100" s="47"/>
      <c r="FK100" s="47"/>
      <c r="FL100" s="47"/>
      <c r="FM100" s="47"/>
      <c r="FN100" s="47"/>
      <c r="FO100" s="47"/>
      <c r="FP100" s="47"/>
      <c r="FQ100" s="47"/>
      <c r="FR100" s="47"/>
      <c r="FS100" s="47"/>
      <c r="FT100" s="47"/>
      <c r="FU100" s="47"/>
      <c r="FV100" s="47"/>
      <c r="FW100" s="47"/>
      <c r="FX100" s="47"/>
      <c r="FY100" s="47"/>
      <c r="FZ100" s="47"/>
      <c r="GA100" s="47"/>
      <c r="GB100" s="47"/>
      <c r="GC100" s="47"/>
      <c r="GD100" s="47"/>
      <c r="GE100" s="47"/>
      <c r="GF100" s="47"/>
      <c r="GG100" s="47"/>
      <c r="GH100" s="47"/>
      <c r="GI100" s="47"/>
      <c r="GJ100" s="47"/>
      <c r="GK100" s="47"/>
      <c r="GL100" s="47"/>
      <c r="GM100" s="47"/>
      <c r="GN100" s="47"/>
      <c r="GO100" s="47"/>
      <c r="GP100" s="47"/>
      <c r="GQ100" s="47"/>
      <c r="GR100" s="47"/>
      <c r="GS100" s="47"/>
      <c r="GT100" s="47"/>
      <c r="GU100" s="47"/>
      <c r="GV100" s="47"/>
      <c r="GW100" s="47"/>
      <c r="GX100" s="47"/>
      <c r="GY100" s="47"/>
      <c r="GZ100" s="47"/>
      <c r="HA100" s="47"/>
      <c r="HB100" s="47"/>
      <c r="HC100" s="47"/>
      <c r="HD100" s="47"/>
      <c r="HE100" s="47"/>
      <c r="HF100" s="47"/>
      <c r="HG100" s="47"/>
      <c r="HH100" s="47"/>
      <c r="HI100" s="47"/>
      <c r="HJ100" s="47"/>
      <c r="HK100" s="47"/>
      <c r="HL100" s="47"/>
      <c r="HM100" s="47"/>
      <c r="HN100" s="47"/>
      <c r="HO100" s="47"/>
      <c r="HP100" s="47"/>
      <c r="HQ100" s="47"/>
      <c r="HR100" s="47"/>
      <c r="HS100" s="47"/>
      <c r="HT100" s="47"/>
      <c r="HU100" s="47"/>
      <c r="HV100" s="47"/>
      <c r="HW100" s="47"/>
      <c r="HX100" s="47"/>
      <c r="HY100" s="47"/>
      <c r="HZ100" s="47"/>
      <c r="IA100" s="47"/>
      <c r="IB100" s="47"/>
      <c r="IC100" s="47"/>
      <c r="ID100" s="47"/>
      <c r="IE100" s="47"/>
      <c r="IF100" s="47"/>
      <c r="IG100" s="47"/>
      <c r="IH100" s="47"/>
      <c r="II100" s="47"/>
      <c r="IJ100" s="47"/>
      <c r="IK100" s="47"/>
      <c r="IL100" s="47"/>
      <c r="IM100" s="47"/>
      <c r="IN100" s="47"/>
      <c r="IO100" s="47"/>
      <c r="IP100" s="47"/>
      <c r="IQ100" s="47"/>
      <c r="IR100" s="47"/>
      <c r="IS100" s="47"/>
      <c r="IT100" s="47"/>
      <c r="IU100" s="47"/>
      <c r="IV100" s="47"/>
      <c r="IW100" s="1"/>
      <c r="IX100" s="1"/>
      <c r="IY100" s="1"/>
      <c r="IZ100" s="1"/>
      <c r="JA100" s="1"/>
      <c r="JB100" s="1"/>
      <c r="JC100" s="1"/>
      <c r="JD100" s="1"/>
      <c r="JE100" s="1"/>
      <c r="JF100" s="1"/>
      <c r="JG100" s="1"/>
      <c r="JH100" s="1"/>
      <c r="JI100" s="1"/>
      <c r="JJ100" s="1"/>
      <c r="JK100" s="1"/>
      <c r="JL100" s="1"/>
      <c r="JM100" s="1"/>
      <c r="JN100" s="1"/>
      <c r="JO100" s="1"/>
      <c r="JP100" s="1"/>
      <c r="JQ100" s="1"/>
      <c r="JR100" s="1"/>
      <c r="JS100" s="1"/>
      <c r="JT100" s="1"/>
      <c r="JU100" s="1"/>
      <c r="JV100" s="1"/>
      <c r="JW100" s="1"/>
      <c r="JX100" s="1"/>
      <c r="JY100" s="1"/>
      <c r="JZ100" s="1"/>
      <c r="KA100" s="1"/>
      <c r="KB100" s="1"/>
      <c r="KC100" s="1"/>
      <c r="KD100" s="1"/>
      <c r="KE100" s="1"/>
      <c r="KF100" s="1"/>
      <c r="KG100" s="1"/>
      <c r="KH100" s="1"/>
      <c r="KI100" s="1"/>
      <c r="KJ100" s="1"/>
      <c r="KK100" s="1"/>
      <c r="KL100" s="1"/>
      <c r="KM100" s="1"/>
      <c r="KN100" s="1"/>
      <c r="KO100" s="1"/>
      <c r="KP100" s="1"/>
      <c r="KQ100" s="1"/>
      <c r="KR100" s="1"/>
      <c r="KS100" s="1"/>
      <c r="KT100" s="1"/>
      <c r="KU100" s="1"/>
      <c r="KV100" s="1"/>
      <c r="KW100" s="1"/>
      <c r="KX100" s="1"/>
      <c r="KY100" s="1"/>
      <c r="KZ100" s="1"/>
      <c r="LA100" s="1"/>
      <c r="LB100" s="1"/>
      <c r="LC100" s="1"/>
      <c r="LD100" s="1"/>
      <c r="LE100" s="1"/>
      <c r="LF100" s="1"/>
      <c r="LG100" s="1"/>
      <c r="LH100" s="1"/>
      <c r="LI100" s="1"/>
      <c r="LJ100" s="1"/>
      <c r="LK100" s="1"/>
      <c r="LL100" s="1"/>
      <c r="LM100" s="1"/>
      <c r="LN100" s="1"/>
      <c r="LO100" s="1"/>
      <c r="LP100" s="1"/>
      <c r="LQ100" s="1"/>
      <c r="LR100" s="1"/>
      <c r="LS100" s="1"/>
      <c r="LT100" s="1"/>
      <c r="LU100" s="1"/>
      <c r="LV100" s="1"/>
      <c r="LW100" s="1"/>
      <c r="LX100" s="1"/>
      <c r="LY100" s="1"/>
      <c r="LZ100" s="1"/>
      <c r="MA100" s="1"/>
      <c r="MB100" s="1"/>
      <c r="MC100" s="1"/>
      <c r="MD100" s="1"/>
      <c r="ME100" s="1"/>
      <c r="MF100" s="1"/>
      <c r="MG100" s="1"/>
      <c r="MH100" s="1"/>
      <c r="MI100" s="1"/>
      <c r="MJ100" s="1"/>
      <c r="MK100" s="1"/>
      <c r="ML100" s="1"/>
      <c r="MM100" s="1"/>
      <c r="MN100" s="1"/>
      <c r="MO100" s="1"/>
      <c r="MP100" s="1"/>
      <c r="MQ100" s="1"/>
      <c r="MR100" s="1"/>
      <c r="MS100" s="1"/>
      <c r="MT100" s="1"/>
      <c r="MU100" s="1"/>
      <c r="MV100" s="1"/>
      <c r="MW100" s="1"/>
      <c r="MX100" s="1"/>
      <c r="MY100" s="1"/>
      <c r="MZ100" s="1"/>
      <c r="NA100" s="1"/>
      <c r="NB100" s="1"/>
      <c r="ND100" s="53">
        <v>6.5999999999999906E-2</v>
      </c>
      <c r="NE100" s="47">
        <v>28536.735680843864</v>
      </c>
      <c r="NF100" s="13">
        <v>0.495</v>
      </c>
      <c r="NG100" s="1">
        <f>Combine!A102</f>
        <v>48207</v>
      </c>
      <c r="NH100" s="14">
        <f>Combine!F102</f>
        <v>82064.386607089094</v>
      </c>
    </row>
    <row r="101" spans="1:372" ht="12.75" customHeight="1" x14ac:dyDescent="0.3">
      <c r="A101" s="59"/>
      <c r="D101" s="61"/>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c r="AW101" s="47"/>
      <c r="AX101" s="47"/>
      <c r="AY101" s="47"/>
      <c r="AZ101" s="47"/>
      <c r="BA101" s="47"/>
      <c r="BB101" s="47"/>
      <c r="BC101" s="47"/>
      <c r="BD101" s="47"/>
      <c r="BE101" s="47"/>
      <c r="BF101" s="47"/>
      <c r="BG101" s="47"/>
      <c r="BH101" s="47"/>
      <c r="BI101" s="47"/>
      <c r="BJ101" s="47"/>
      <c r="BK101" s="47"/>
      <c r="BL101" s="47"/>
      <c r="BM101" s="47"/>
      <c r="BN101" s="47"/>
      <c r="BO101" s="47"/>
      <c r="BP101" s="47"/>
      <c r="BQ101" s="47"/>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c r="CO101" s="47"/>
      <c r="CP101" s="47"/>
      <c r="CQ101" s="47"/>
      <c r="CR101" s="47"/>
      <c r="CS101" s="47"/>
      <c r="CT101" s="47"/>
      <c r="CU101" s="47"/>
      <c r="CV101" s="47"/>
      <c r="CW101" s="47"/>
      <c r="CX101" s="47"/>
      <c r="CY101" s="47"/>
      <c r="CZ101" s="47"/>
      <c r="DA101" s="47"/>
      <c r="DB101" s="47"/>
      <c r="DC101" s="47"/>
      <c r="DD101" s="47"/>
      <c r="DE101" s="47"/>
      <c r="DF101" s="47"/>
      <c r="DG101" s="47"/>
      <c r="DH101" s="47"/>
      <c r="DI101" s="47"/>
      <c r="DJ101" s="47"/>
      <c r="DK101" s="47"/>
      <c r="DL101" s="47"/>
      <c r="DM101" s="47"/>
      <c r="DN101" s="47"/>
      <c r="DO101" s="47"/>
      <c r="DP101" s="47"/>
      <c r="DQ101" s="47"/>
      <c r="DR101" s="47"/>
      <c r="DS101" s="47"/>
      <c r="DT101" s="47"/>
      <c r="DU101" s="47"/>
      <c r="DV101" s="47"/>
      <c r="DW101" s="47"/>
      <c r="DX101" s="47"/>
      <c r="DY101" s="47"/>
      <c r="DZ101" s="47"/>
      <c r="EA101" s="47"/>
      <c r="EB101" s="47"/>
      <c r="EC101" s="47"/>
      <c r="ED101" s="47"/>
      <c r="EE101" s="47"/>
      <c r="EF101" s="47"/>
      <c r="EG101" s="47"/>
      <c r="EH101" s="47"/>
      <c r="EI101" s="47"/>
      <c r="EJ101" s="47"/>
      <c r="EK101" s="47"/>
      <c r="EL101" s="47"/>
      <c r="EM101" s="47"/>
      <c r="EN101" s="47"/>
      <c r="EO101" s="47"/>
      <c r="EP101" s="47"/>
      <c r="EQ101" s="47"/>
      <c r="ER101" s="47"/>
      <c r="ES101" s="47"/>
      <c r="ET101" s="47"/>
      <c r="EU101" s="47"/>
      <c r="EV101" s="47"/>
      <c r="EW101" s="47"/>
      <c r="EX101" s="47"/>
      <c r="EY101" s="47"/>
      <c r="EZ101" s="47"/>
      <c r="FA101" s="47"/>
      <c r="FB101" s="47"/>
      <c r="FC101" s="47"/>
      <c r="FD101" s="47"/>
      <c r="FE101" s="47"/>
      <c r="FF101" s="47"/>
      <c r="FG101" s="47"/>
      <c r="FH101" s="47"/>
      <c r="FI101" s="47"/>
      <c r="FJ101" s="47"/>
      <c r="FK101" s="47"/>
      <c r="FL101" s="47"/>
      <c r="FM101" s="47"/>
      <c r="FN101" s="47"/>
      <c r="FO101" s="47"/>
      <c r="FP101" s="47"/>
      <c r="FQ101" s="47"/>
      <c r="FR101" s="47"/>
      <c r="FS101" s="47"/>
      <c r="FT101" s="47"/>
      <c r="FU101" s="47"/>
      <c r="FV101" s="47"/>
      <c r="FW101" s="47"/>
      <c r="FX101" s="47"/>
      <c r="FY101" s="47"/>
      <c r="FZ101" s="47"/>
      <c r="GA101" s="47"/>
      <c r="GB101" s="47"/>
      <c r="GC101" s="47"/>
      <c r="GD101" s="47"/>
      <c r="GE101" s="47"/>
      <c r="GF101" s="47"/>
      <c r="GG101" s="47"/>
      <c r="GH101" s="47"/>
      <c r="GI101" s="47"/>
      <c r="GJ101" s="47"/>
      <c r="GK101" s="47"/>
      <c r="GL101" s="47"/>
      <c r="GM101" s="47"/>
      <c r="GN101" s="47"/>
      <c r="GO101" s="47"/>
      <c r="GP101" s="47"/>
      <c r="GQ101" s="47"/>
      <c r="GR101" s="47"/>
      <c r="GS101" s="47"/>
      <c r="GT101" s="47"/>
      <c r="GU101" s="47"/>
      <c r="GV101" s="47"/>
      <c r="GW101" s="47"/>
      <c r="GX101" s="47"/>
      <c r="GY101" s="47"/>
      <c r="GZ101" s="47"/>
      <c r="HA101" s="47"/>
      <c r="HB101" s="47"/>
      <c r="HC101" s="47"/>
      <c r="HD101" s="47"/>
      <c r="HE101" s="47"/>
      <c r="HF101" s="47"/>
      <c r="HG101" s="47"/>
      <c r="HH101" s="47"/>
      <c r="HI101" s="47"/>
      <c r="HJ101" s="47"/>
      <c r="HK101" s="47"/>
      <c r="HL101" s="47"/>
      <c r="HM101" s="47"/>
      <c r="HN101" s="47"/>
      <c r="HO101" s="47"/>
      <c r="HP101" s="47"/>
      <c r="HQ101" s="47"/>
      <c r="HR101" s="47"/>
      <c r="HS101" s="47"/>
      <c r="HT101" s="47"/>
      <c r="HU101" s="47"/>
      <c r="HV101" s="47"/>
      <c r="HW101" s="47"/>
      <c r="HX101" s="47"/>
      <c r="HY101" s="47"/>
      <c r="HZ101" s="47"/>
      <c r="IA101" s="47"/>
      <c r="IB101" s="47"/>
      <c r="IC101" s="47"/>
      <c r="ID101" s="47"/>
      <c r="IE101" s="47"/>
      <c r="IF101" s="47"/>
      <c r="IG101" s="47"/>
      <c r="IH101" s="47"/>
      <c r="II101" s="47"/>
      <c r="IJ101" s="47"/>
      <c r="IK101" s="47"/>
      <c r="IL101" s="47"/>
      <c r="IM101" s="47"/>
      <c r="IN101" s="47"/>
      <c r="IO101" s="47"/>
      <c r="IP101" s="47"/>
      <c r="IQ101" s="47"/>
      <c r="IR101" s="47"/>
      <c r="IS101" s="47"/>
      <c r="IT101" s="47"/>
      <c r="IU101" s="47"/>
      <c r="IV101" s="47"/>
      <c r="IW101" s="1"/>
      <c r="IX101" s="1"/>
      <c r="IY101" s="1"/>
      <c r="IZ101" s="1"/>
      <c r="JA101" s="1"/>
      <c r="JB101" s="1"/>
      <c r="JC101" s="1"/>
      <c r="JD101" s="1"/>
      <c r="JE101" s="1"/>
      <c r="JF101" s="1"/>
      <c r="JG101" s="1"/>
      <c r="JH101" s="1"/>
      <c r="JI101" s="1"/>
      <c r="JJ101" s="1"/>
      <c r="JK101" s="1"/>
      <c r="JL101" s="1"/>
      <c r="JM101" s="1"/>
      <c r="JN101" s="1"/>
      <c r="JO101" s="1"/>
      <c r="JP101" s="1"/>
      <c r="JQ101" s="1"/>
      <c r="JR101" s="1"/>
      <c r="JS101" s="1"/>
      <c r="JT101" s="1"/>
      <c r="JU101" s="1"/>
      <c r="JV101" s="1"/>
      <c r="JW101" s="1"/>
      <c r="JX101" s="1"/>
      <c r="JY101" s="1"/>
      <c r="JZ101" s="1"/>
      <c r="KA101" s="1"/>
      <c r="KB101" s="1"/>
      <c r="KC101" s="1"/>
      <c r="KD101" s="1"/>
      <c r="KE101" s="1"/>
      <c r="KF101" s="1"/>
      <c r="KG101" s="1"/>
      <c r="KH101" s="1"/>
      <c r="KI101" s="1"/>
      <c r="KJ101" s="1"/>
      <c r="KK101" s="1"/>
      <c r="KL101" s="1"/>
      <c r="KM101" s="1"/>
      <c r="KN101" s="1"/>
      <c r="KO101" s="1"/>
      <c r="KP101" s="1"/>
      <c r="KQ101" s="1"/>
      <c r="KR101" s="1"/>
      <c r="KS101" s="1"/>
      <c r="KT101" s="1"/>
      <c r="KU101" s="1"/>
      <c r="KV101" s="1"/>
      <c r="KW101" s="1"/>
      <c r="KX101" s="1"/>
      <c r="KY101" s="1"/>
      <c r="KZ101" s="1"/>
      <c r="LA101" s="1"/>
      <c r="LB101" s="1"/>
      <c r="LC101" s="1"/>
      <c r="LD101" s="1"/>
      <c r="LE101" s="1"/>
      <c r="LF101" s="1"/>
      <c r="LG101" s="1"/>
      <c r="LH101" s="1"/>
      <c r="LI101" s="1"/>
      <c r="LJ101" s="1"/>
      <c r="LK101" s="1"/>
      <c r="LL101" s="1"/>
      <c r="LM101" s="1"/>
      <c r="LN101" s="1"/>
      <c r="LO101" s="1"/>
      <c r="LP101" s="1"/>
      <c r="LQ101" s="1"/>
      <c r="LR101" s="1"/>
      <c r="LS101" s="1"/>
      <c r="LT101" s="1"/>
      <c r="LU101" s="1"/>
      <c r="LV101" s="1"/>
      <c r="LW101" s="1"/>
      <c r="LX101" s="1"/>
      <c r="LY101" s="1"/>
      <c r="LZ101" s="1"/>
      <c r="MA101" s="1"/>
      <c r="MB101" s="1"/>
      <c r="MC101" s="1"/>
      <c r="MD101" s="1"/>
      <c r="ME101" s="1"/>
      <c r="MF101" s="1"/>
      <c r="MG101" s="1"/>
      <c r="MH101" s="1"/>
      <c r="MI101" s="1"/>
      <c r="MJ101" s="1"/>
      <c r="MK101" s="1"/>
      <c r="ML101" s="1"/>
      <c r="MM101" s="1"/>
      <c r="MN101" s="1"/>
      <c r="MO101" s="1"/>
      <c r="MP101" s="1"/>
      <c r="MQ101" s="1"/>
      <c r="MR101" s="1"/>
      <c r="MS101" s="1"/>
      <c r="MT101" s="1"/>
      <c r="MU101" s="1"/>
      <c r="MV101" s="1"/>
      <c r="MW101" s="1"/>
      <c r="MX101" s="1"/>
      <c r="MY101" s="1"/>
      <c r="MZ101" s="1"/>
      <c r="NA101" s="1"/>
      <c r="NB101" s="1"/>
      <c r="ND101" s="53">
        <v>6.6999999999999907E-2</v>
      </c>
      <c r="NE101" s="47">
        <v>26425.223725544431</v>
      </c>
      <c r="NF101" s="13">
        <v>0.5</v>
      </c>
      <c r="NG101" s="1">
        <f>Combine!A103</f>
        <v>49001</v>
      </c>
      <c r="NH101" s="14">
        <f>Combine!F103</f>
        <v>136890.27760051901</v>
      </c>
    </row>
    <row r="102" spans="1:372" ht="12.75" customHeight="1" x14ac:dyDescent="0.3">
      <c r="A102" s="59"/>
      <c r="D102" s="61"/>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c r="AW102" s="47"/>
      <c r="AX102" s="47"/>
      <c r="AY102" s="47"/>
      <c r="AZ102" s="47"/>
      <c r="BA102" s="47"/>
      <c r="BB102" s="47"/>
      <c r="BC102" s="47"/>
      <c r="BD102" s="47"/>
      <c r="BE102" s="47"/>
      <c r="BF102" s="47"/>
      <c r="BG102" s="47"/>
      <c r="BH102" s="47"/>
      <c r="BI102" s="47"/>
      <c r="BJ102" s="47"/>
      <c r="BK102" s="47"/>
      <c r="BL102" s="47"/>
      <c r="BM102" s="47"/>
      <c r="BN102" s="47"/>
      <c r="BO102" s="47"/>
      <c r="BP102" s="47"/>
      <c r="BQ102" s="47"/>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c r="CO102" s="47"/>
      <c r="CP102" s="47"/>
      <c r="CQ102" s="47"/>
      <c r="CR102" s="47"/>
      <c r="CS102" s="47"/>
      <c r="CT102" s="47"/>
      <c r="CU102" s="47"/>
      <c r="CV102" s="47"/>
      <c r="CW102" s="47"/>
      <c r="CX102" s="47"/>
      <c r="CY102" s="47"/>
      <c r="CZ102" s="47"/>
      <c r="DA102" s="47"/>
      <c r="DB102" s="47"/>
      <c r="DC102" s="47"/>
      <c r="DD102" s="47"/>
      <c r="DE102" s="47"/>
      <c r="DF102" s="47"/>
      <c r="DG102" s="47"/>
      <c r="DH102" s="47"/>
      <c r="DI102" s="47"/>
      <c r="DJ102" s="47"/>
      <c r="DK102" s="47"/>
      <c r="DL102" s="47"/>
      <c r="DM102" s="47"/>
      <c r="DN102" s="47"/>
      <c r="DO102" s="47"/>
      <c r="DP102" s="47"/>
      <c r="DQ102" s="47"/>
      <c r="DR102" s="47"/>
      <c r="DS102" s="47"/>
      <c r="DT102" s="47"/>
      <c r="DU102" s="47"/>
      <c r="DV102" s="47"/>
      <c r="DW102" s="47"/>
      <c r="DX102" s="47"/>
      <c r="DY102" s="47"/>
      <c r="DZ102" s="47"/>
      <c r="EA102" s="47"/>
      <c r="EB102" s="47"/>
      <c r="EC102" s="47"/>
      <c r="ED102" s="47"/>
      <c r="EE102" s="47"/>
      <c r="EF102" s="47"/>
      <c r="EG102" s="47"/>
      <c r="EH102" s="47"/>
      <c r="EI102" s="47"/>
      <c r="EJ102" s="47"/>
      <c r="EK102" s="47"/>
      <c r="EL102" s="47"/>
      <c r="EM102" s="47"/>
      <c r="EN102" s="47"/>
      <c r="EO102" s="47"/>
      <c r="EP102" s="47"/>
      <c r="EQ102" s="47"/>
      <c r="ER102" s="47"/>
      <c r="ES102" s="47"/>
      <c r="ET102" s="47"/>
      <c r="EU102" s="47"/>
      <c r="EV102" s="47"/>
      <c r="EW102" s="47"/>
      <c r="EX102" s="47"/>
      <c r="EY102" s="47"/>
      <c r="EZ102" s="47"/>
      <c r="FA102" s="47"/>
      <c r="FB102" s="47"/>
      <c r="FC102" s="47"/>
      <c r="FD102" s="47"/>
      <c r="FE102" s="47"/>
      <c r="FF102" s="47"/>
      <c r="FG102" s="47"/>
      <c r="FH102" s="47"/>
      <c r="FI102" s="47"/>
      <c r="FJ102" s="47"/>
      <c r="FK102" s="47"/>
      <c r="FL102" s="47"/>
      <c r="FM102" s="47"/>
      <c r="FN102" s="47"/>
      <c r="FO102" s="47"/>
      <c r="FP102" s="47"/>
      <c r="FQ102" s="47"/>
      <c r="FR102" s="47"/>
      <c r="FS102" s="47"/>
      <c r="FT102" s="47"/>
      <c r="FU102" s="47"/>
      <c r="FV102" s="47"/>
      <c r="FW102" s="47"/>
      <c r="FX102" s="47"/>
      <c r="FY102" s="47"/>
      <c r="FZ102" s="47"/>
      <c r="GA102" s="47"/>
      <c r="GB102" s="47"/>
      <c r="GC102" s="47"/>
      <c r="GD102" s="47"/>
      <c r="GE102" s="47"/>
      <c r="GF102" s="47"/>
      <c r="GG102" s="47"/>
      <c r="GH102" s="47"/>
      <c r="GI102" s="47"/>
      <c r="GJ102" s="47"/>
      <c r="GK102" s="47"/>
      <c r="GL102" s="47"/>
      <c r="GM102" s="47"/>
      <c r="GN102" s="47"/>
      <c r="GO102" s="47"/>
      <c r="GP102" s="47"/>
      <c r="GQ102" s="47"/>
      <c r="GR102" s="47"/>
      <c r="GS102" s="47"/>
      <c r="GT102" s="47"/>
      <c r="GU102" s="47"/>
      <c r="GV102" s="47"/>
      <c r="GW102" s="47"/>
      <c r="GX102" s="47"/>
      <c r="GY102" s="47"/>
      <c r="GZ102" s="47"/>
      <c r="HA102" s="47"/>
      <c r="HB102" s="47"/>
      <c r="HC102" s="47"/>
      <c r="HD102" s="47"/>
      <c r="HE102" s="47"/>
      <c r="HF102" s="47"/>
      <c r="HG102" s="47"/>
      <c r="HH102" s="47"/>
      <c r="HI102" s="47"/>
      <c r="HJ102" s="47"/>
      <c r="HK102" s="47"/>
      <c r="HL102" s="47"/>
      <c r="HM102" s="47"/>
      <c r="HN102" s="47"/>
      <c r="HO102" s="47"/>
      <c r="HP102" s="47"/>
      <c r="HQ102" s="47"/>
      <c r="HR102" s="47"/>
      <c r="HS102" s="47"/>
      <c r="HT102" s="47"/>
      <c r="HU102" s="47"/>
      <c r="HV102" s="47"/>
      <c r="HW102" s="47"/>
      <c r="HX102" s="47"/>
      <c r="HY102" s="47"/>
      <c r="HZ102" s="47"/>
      <c r="IA102" s="47"/>
      <c r="IB102" s="47"/>
      <c r="IC102" s="47"/>
      <c r="ID102" s="47"/>
      <c r="IE102" s="47"/>
      <c r="IF102" s="47"/>
      <c r="IG102" s="47"/>
      <c r="IH102" s="47"/>
      <c r="II102" s="47"/>
      <c r="IJ102" s="47"/>
      <c r="IK102" s="47"/>
      <c r="IL102" s="47"/>
      <c r="IM102" s="47"/>
      <c r="IN102" s="47"/>
      <c r="IO102" s="47"/>
      <c r="IP102" s="47"/>
      <c r="IQ102" s="47"/>
      <c r="IR102" s="47"/>
      <c r="IS102" s="47"/>
      <c r="IT102" s="47"/>
      <c r="IU102" s="47"/>
      <c r="IV102" s="47"/>
      <c r="IW102" s="1"/>
      <c r="IX102" s="1"/>
      <c r="IY102" s="1"/>
      <c r="IZ102" s="1"/>
      <c r="JA102" s="1"/>
      <c r="JB102" s="1"/>
      <c r="JC102" s="1"/>
      <c r="JD102" s="1"/>
      <c r="JE102" s="1"/>
      <c r="JF102" s="1"/>
      <c r="JG102" s="1"/>
      <c r="JH102" s="1"/>
      <c r="JI102" s="1"/>
      <c r="JJ102" s="1"/>
      <c r="JK102" s="1"/>
      <c r="JL102" s="1"/>
      <c r="JM102" s="1"/>
      <c r="JN102" s="1"/>
      <c r="JO102" s="1"/>
      <c r="JP102" s="1"/>
      <c r="JQ102" s="1"/>
      <c r="JR102" s="1"/>
      <c r="JS102" s="1"/>
      <c r="JT102" s="1"/>
      <c r="JU102" s="1"/>
      <c r="JV102" s="1"/>
      <c r="JW102" s="1"/>
      <c r="JX102" s="1"/>
      <c r="JY102" s="1"/>
      <c r="JZ102" s="1"/>
      <c r="KA102" s="1"/>
      <c r="KB102" s="1"/>
      <c r="KC102" s="1"/>
      <c r="KD102" s="1"/>
      <c r="KE102" s="1"/>
      <c r="KF102" s="1"/>
      <c r="KG102" s="1"/>
      <c r="KH102" s="1"/>
      <c r="KI102" s="1"/>
      <c r="KJ102" s="1"/>
      <c r="KK102" s="1"/>
      <c r="KL102" s="1"/>
      <c r="KM102" s="1"/>
      <c r="KN102" s="1"/>
      <c r="KO102" s="1"/>
      <c r="KP102" s="1"/>
      <c r="KQ102" s="1"/>
      <c r="KR102" s="1"/>
      <c r="KS102" s="1"/>
      <c r="KT102" s="1"/>
      <c r="KU102" s="1"/>
      <c r="KV102" s="1"/>
      <c r="KW102" s="1"/>
      <c r="KX102" s="1"/>
      <c r="KY102" s="1"/>
      <c r="KZ102" s="1"/>
      <c r="LA102" s="1"/>
      <c r="LB102" s="1"/>
      <c r="LC102" s="1"/>
      <c r="LD102" s="1"/>
      <c r="LE102" s="1"/>
      <c r="LF102" s="1"/>
      <c r="LG102" s="1"/>
      <c r="LH102" s="1"/>
      <c r="LI102" s="1"/>
      <c r="LJ102" s="1"/>
      <c r="LK102" s="1"/>
      <c r="LL102" s="1"/>
      <c r="LM102" s="1"/>
      <c r="LN102" s="1"/>
      <c r="LO102" s="1"/>
      <c r="LP102" s="1"/>
      <c r="LQ102" s="1"/>
      <c r="LR102" s="1"/>
      <c r="LS102" s="1"/>
      <c r="LT102" s="1"/>
      <c r="LU102" s="1"/>
      <c r="LV102" s="1"/>
      <c r="LW102" s="1"/>
      <c r="LX102" s="1"/>
      <c r="LY102" s="1"/>
      <c r="LZ102" s="1"/>
      <c r="MA102" s="1"/>
      <c r="MB102" s="1"/>
      <c r="MC102" s="1"/>
      <c r="MD102" s="1"/>
      <c r="ME102" s="1"/>
      <c r="MF102" s="1"/>
      <c r="MG102" s="1"/>
      <c r="MH102" s="1"/>
      <c r="MI102" s="1"/>
      <c r="MJ102" s="1"/>
      <c r="MK102" s="1"/>
      <c r="ML102" s="1"/>
      <c r="MM102" s="1"/>
      <c r="MN102" s="1"/>
      <c r="MO102" s="1"/>
      <c r="MP102" s="1"/>
      <c r="MQ102" s="1"/>
      <c r="MR102" s="1"/>
      <c r="MS102" s="1"/>
      <c r="MT102" s="1"/>
      <c r="MU102" s="1"/>
      <c r="MV102" s="1"/>
      <c r="MW102" s="1"/>
      <c r="MX102" s="1"/>
      <c r="MY102" s="1"/>
      <c r="MZ102" s="1"/>
      <c r="NA102" s="1"/>
      <c r="NB102" s="1"/>
      <c r="ND102" s="53">
        <v>6.7999999999999894E-2</v>
      </c>
      <c r="NE102" s="47">
        <v>24309.244767113567</v>
      </c>
      <c r="NF102" s="13">
        <v>0.505</v>
      </c>
      <c r="NG102" s="1">
        <f>Combine!A104</f>
        <v>48842</v>
      </c>
      <c r="NH102" s="14">
        <f>Combine!F104</f>
        <v>225292.05231858301</v>
      </c>
    </row>
    <row r="103" spans="1:372" ht="12.75" customHeight="1" x14ac:dyDescent="0.3">
      <c r="A103" s="59"/>
      <c r="D103" s="61"/>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c r="AW103" s="47"/>
      <c r="AX103" s="47"/>
      <c r="AY103" s="47"/>
      <c r="AZ103" s="47"/>
      <c r="BA103" s="47"/>
      <c r="BB103" s="47"/>
      <c r="BC103" s="47"/>
      <c r="BD103" s="47"/>
      <c r="BE103" s="47"/>
      <c r="BF103" s="47"/>
      <c r="BG103" s="47"/>
      <c r="BH103" s="47"/>
      <c r="BI103" s="47"/>
      <c r="BJ103" s="47"/>
      <c r="BK103" s="47"/>
      <c r="BL103" s="47"/>
      <c r="BM103" s="47"/>
      <c r="BN103" s="47"/>
      <c r="BO103" s="47"/>
      <c r="BP103" s="47"/>
      <c r="BQ103" s="47"/>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c r="CO103" s="47"/>
      <c r="CP103" s="47"/>
      <c r="CQ103" s="47"/>
      <c r="CR103" s="47"/>
      <c r="CS103" s="47"/>
      <c r="CT103" s="47"/>
      <c r="CU103" s="47"/>
      <c r="CV103" s="47"/>
      <c r="CW103" s="47"/>
      <c r="CX103" s="47"/>
      <c r="CY103" s="47"/>
      <c r="CZ103" s="47"/>
      <c r="DA103" s="47"/>
      <c r="DB103" s="47"/>
      <c r="DC103" s="47"/>
      <c r="DD103" s="47"/>
      <c r="DE103" s="47"/>
      <c r="DF103" s="47"/>
      <c r="DG103" s="47"/>
      <c r="DH103" s="47"/>
      <c r="DI103" s="47"/>
      <c r="DJ103" s="47"/>
      <c r="DK103" s="47"/>
      <c r="DL103" s="47"/>
      <c r="DM103" s="47"/>
      <c r="DN103" s="47"/>
      <c r="DO103" s="47"/>
      <c r="DP103" s="47"/>
      <c r="DQ103" s="47"/>
      <c r="DR103" s="47"/>
      <c r="DS103" s="47"/>
      <c r="DT103" s="47"/>
      <c r="DU103" s="47"/>
      <c r="DV103" s="47"/>
      <c r="DW103" s="47"/>
      <c r="DX103" s="47"/>
      <c r="DY103" s="47"/>
      <c r="DZ103" s="47"/>
      <c r="EA103" s="47"/>
      <c r="EB103" s="47"/>
      <c r="EC103" s="47"/>
      <c r="ED103" s="47"/>
      <c r="EE103" s="47"/>
      <c r="EF103" s="47"/>
      <c r="EG103" s="47"/>
      <c r="EH103" s="47"/>
      <c r="EI103" s="47"/>
      <c r="EJ103" s="47"/>
      <c r="EK103" s="47"/>
      <c r="EL103" s="47"/>
      <c r="EM103" s="47"/>
      <c r="EN103" s="47"/>
      <c r="EO103" s="47"/>
      <c r="EP103" s="47"/>
      <c r="EQ103" s="47"/>
      <c r="ER103" s="47"/>
      <c r="ES103" s="47"/>
      <c r="ET103" s="47"/>
      <c r="EU103" s="47"/>
      <c r="EV103" s="47"/>
      <c r="EW103" s="47"/>
      <c r="EX103" s="47"/>
      <c r="EY103" s="47"/>
      <c r="EZ103" s="47"/>
      <c r="FA103" s="47"/>
      <c r="FB103" s="47"/>
      <c r="FC103" s="47"/>
      <c r="FD103" s="47"/>
      <c r="FE103" s="47"/>
      <c r="FF103" s="47"/>
      <c r="FG103" s="47"/>
      <c r="FH103" s="47"/>
      <c r="FI103" s="47"/>
      <c r="FJ103" s="47"/>
      <c r="FK103" s="47"/>
      <c r="FL103" s="47"/>
      <c r="FM103" s="47"/>
      <c r="FN103" s="47"/>
      <c r="FO103" s="47"/>
      <c r="FP103" s="47"/>
      <c r="FQ103" s="47"/>
      <c r="FR103" s="47"/>
      <c r="FS103" s="47"/>
      <c r="FT103" s="47"/>
      <c r="FU103" s="47"/>
      <c r="FV103" s="47"/>
      <c r="FW103" s="47"/>
      <c r="FX103" s="47"/>
      <c r="FY103" s="47"/>
      <c r="FZ103" s="47"/>
      <c r="GA103" s="47"/>
      <c r="GB103" s="47"/>
      <c r="GC103" s="47"/>
      <c r="GD103" s="47"/>
      <c r="GE103" s="47"/>
      <c r="GF103" s="47"/>
      <c r="GG103" s="47"/>
      <c r="GH103" s="47"/>
      <c r="GI103" s="47"/>
      <c r="GJ103" s="47"/>
      <c r="GK103" s="47"/>
      <c r="GL103" s="47"/>
      <c r="GM103" s="47"/>
      <c r="GN103" s="47"/>
      <c r="GO103" s="47"/>
      <c r="GP103" s="47"/>
      <c r="GQ103" s="47"/>
      <c r="GR103" s="47"/>
      <c r="GS103" s="47"/>
      <c r="GT103" s="47"/>
      <c r="GU103" s="47"/>
      <c r="GV103" s="47"/>
      <c r="GW103" s="47"/>
      <c r="GX103" s="47"/>
      <c r="GY103" s="47"/>
      <c r="GZ103" s="47"/>
      <c r="HA103" s="47"/>
      <c r="HB103" s="47"/>
      <c r="HC103" s="47"/>
      <c r="HD103" s="47"/>
      <c r="HE103" s="47"/>
      <c r="HF103" s="47"/>
      <c r="HG103" s="47"/>
      <c r="HH103" s="47"/>
      <c r="HI103" s="47"/>
      <c r="HJ103" s="47"/>
      <c r="HK103" s="47"/>
      <c r="HL103" s="47"/>
      <c r="HM103" s="47"/>
      <c r="HN103" s="47"/>
      <c r="HO103" s="47"/>
      <c r="HP103" s="47"/>
      <c r="HQ103" s="47"/>
      <c r="HR103" s="47"/>
      <c r="HS103" s="47"/>
      <c r="HT103" s="47"/>
      <c r="HU103" s="47"/>
      <c r="HV103" s="47"/>
      <c r="HW103" s="47"/>
      <c r="HX103" s="47"/>
      <c r="HY103" s="47"/>
      <c r="HZ103" s="47"/>
      <c r="IA103" s="47"/>
      <c r="IB103" s="47"/>
      <c r="IC103" s="47"/>
      <c r="ID103" s="47"/>
      <c r="IE103" s="47"/>
      <c r="IF103" s="47"/>
      <c r="IG103" s="47"/>
      <c r="IH103" s="47"/>
      <c r="II103" s="47"/>
      <c r="IJ103" s="47"/>
      <c r="IK103" s="47"/>
      <c r="IL103" s="47"/>
      <c r="IM103" s="47"/>
      <c r="IN103" s="47"/>
      <c r="IO103" s="47"/>
      <c r="IP103" s="47"/>
      <c r="IQ103" s="47"/>
      <c r="IR103" s="47"/>
      <c r="IS103" s="47"/>
      <c r="IT103" s="47"/>
      <c r="IU103" s="47"/>
      <c r="IV103" s="47"/>
      <c r="IW103" s="1"/>
      <c r="IX103" s="1"/>
      <c r="IY103" s="1"/>
      <c r="IZ103" s="1"/>
      <c r="JA103" s="1"/>
      <c r="JB103" s="1"/>
      <c r="JC103" s="1"/>
      <c r="JD103" s="1"/>
      <c r="JE103" s="1"/>
      <c r="JF103" s="1"/>
      <c r="JG103" s="1"/>
      <c r="JH103" s="1"/>
      <c r="JI103" s="1"/>
      <c r="JJ103" s="1"/>
      <c r="JK103" s="1"/>
      <c r="JL103" s="1"/>
      <c r="JM103" s="1"/>
      <c r="JN103" s="1"/>
      <c r="JO103" s="1"/>
      <c r="JP103" s="1"/>
      <c r="JQ103" s="1"/>
      <c r="JR103" s="1"/>
      <c r="JS103" s="1"/>
      <c r="JT103" s="1"/>
      <c r="JU103" s="1"/>
      <c r="JV103" s="1"/>
      <c r="JW103" s="1"/>
      <c r="JX103" s="1"/>
      <c r="JY103" s="1"/>
      <c r="JZ103" s="1"/>
      <c r="KA103" s="1"/>
      <c r="KB103" s="1"/>
      <c r="KC103" s="1"/>
      <c r="KD103" s="1"/>
      <c r="KE103" s="1"/>
      <c r="KF103" s="1"/>
      <c r="KG103" s="1"/>
      <c r="KH103" s="1"/>
      <c r="KI103" s="1"/>
      <c r="KJ103" s="1"/>
      <c r="KK103" s="1"/>
      <c r="KL103" s="1"/>
      <c r="KM103" s="1"/>
      <c r="KN103" s="1"/>
      <c r="KO103" s="1"/>
      <c r="KP103" s="1"/>
      <c r="KQ103" s="1"/>
      <c r="KR103" s="1"/>
      <c r="KS103" s="1"/>
      <c r="KT103" s="1"/>
      <c r="KU103" s="1"/>
      <c r="KV103" s="1"/>
      <c r="KW103" s="1"/>
      <c r="KX103" s="1"/>
      <c r="KY103" s="1"/>
      <c r="KZ103" s="1"/>
      <c r="LA103" s="1"/>
      <c r="LB103" s="1"/>
      <c r="LC103" s="1"/>
      <c r="LD103" s="1"/>
      <c r="LE103" s="1"/>
      <c r="LF103" s="1"/>
      <c r="LG103" s="1"/>
      <c r="LH103" s="1"/>
      <c r="LI103" s="1"/>
      <c r="LJ103" s="1"/>
      <c r="LK103" s="1"/>
      <c r="LL103" s="1"/>
      <c r="LM103" s="1"/>
      <c r="LN103" s="1"/>
      <c r="LO103" s="1"/>
      <c r="LP103" s="1"/>
      <c r="LQ103" s="1"/>
      <c r="LR103" s="1"/>
      <c r="LS103" s="1"/>
      <c r="LT103" s="1"/>
      <c r="LU103" s="1"/>
      <c r="LV103" s="1"/>
      <c r="LW103" s="1"/>
      <c r="LX103" s="1"/>
      <c r="LY103" s="1"/>
      <c r="LZ103" s="1"/>
      <c r="MA103" s="1"/>
      <c r="MB103" s="1"/>
      <c r="MC103" s="1"/>
      <c r="MD103" s="1"/>
      <c r="ME103" s="1"/>
      <c r="MF103" s="1"/>
      <c r="MG103" s="1"/>
      <c r="MH103" s="1"/>
      <c r="MI103" s="1"/>
      <c r="MJ103" s="1"/>
      <c r="MK103" s="1"/>
      <c r="ML103" s="1"/>
      <c r="MM103" s="1"/>
      <c r="MN103" s="1"/>
      <c r="MO103" s="1"/>
      <c r="MP103" s="1"/>
      <c r="MQ103" s="1"/>
      <c r="MR103" s="1"/>
      <c r="MS103" s="1"/>
      <c r="MT103" s="1"/>
      <c r="MU103" s="1"/>
      <c r="MV103" s="1"/>
      <c r="MW103" s="1"/>
      <c r="MX103" s="1"/>
      <c r="MY103" s="1"/>
      <c r="MZ103" s="1"/>
      <c r="NA103" s="1"/>
      <c r="NB103" s="1"/>
      <c r="ND103" s="53">
        <v>6.8999999999999895E-2</v>
      </c>
      <c r="NE103" s="47">
        <v>22188.879202554137</v>
      </c>
      <c r="NF103" s="13">
        <v>0.51</v>
      </c>
      <c r="NG103" s="1">
        <f>Combine!A105</f>
        <v>48125</v>
      </c>
      <c r="NH103" s="14">
        <f>Combine!F105</f>
        <v>132372.96804903899</v>
      </c>
    </row>
    <row r="104" spans="1:372" ht="12.75" customHeight="1" x14ac:dyDescent="0.3">
      <c r="A104" s="59"/>
      <c r="D104" s="61"/>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c r="CO104" s="47"/>
      <c r="CP104" s="47"/>
      <c r="CQ104" s="47"/>
      <c r="CR104" s="47"/>
      <c r="CS104" s="47"/>
      <c r="CT104" s="47"/>
      <c r="CU104" s="47"/>
      <c r="CV104" s="47"/>
      <c r="CW104" s="47"/>
      <c r="CX104" s="47"/>
      <c r="CY104" s="47"/>
      <c r="CZ104" s="47"/>
      <c r="DA104" s="47"/>
      <c r="DB104" s="47"/>
      <c r="DC104" s="47"/>
      <c r="DD104" s="47"/>
      <c r="DE104" s="47"/>
      <c r="DF104" s="47"/>
      <c r="DG104" s="47"/>
      <c r="DH104" s="47"/>
      <c r="DI104" s="47"/>
      <c r="DJ104" s="47"/>
      <c r="DK104" s="47"/>
      <c r="DL104" s="47"/>
      <c r="DM104" s="47"/>
      <c r="DN104" s="47"/>
      <c r="DO104" s="47"/>
      <c r="DP104" s="47"/>
      <c r="DQ104" s="47"/>
      <c r="DR104" s="47"/>
      <c r="DS104" s="47"/>
      <c r="DT104" s="47"/>
      <c r="DU104" s="47"/>
      <c r="DV104" s="47"/>
      <c r="DW104" s="47"/>
      <c r="DX104" s="47"/>
      <c r="DY104" s="47"/>
      <c r="DZ104" s="47"/>
      <c r="EA104" s="47"/>
      <c r="EB104" s="47"/>
      <c r="EC104" s="47"/>
      <c r="ED104" s="47"/>
      <c r="EE104" s="47"/>
      <c r="EF104" s="47"/>
      <c r="EG104" s="47"/>
      <c r="EH104" s="47"/>
      <c r="EI104" s="47"/>
      <c r="EJ104" s="47"/>
      <c r="EK104" s="47"/>
      <c r="EL104" s="47"/>
      <c r="EM104" s="47"/>
      <c r="EN104" s="47"/>
      <c r="EO104" s="47"/>
      <c r="EP104" s="47"/>
      <c r="EQ104" s="47"/>
      <c r="ER104" s="47"/>
      <c r="ES104" s="47"/>
      <c r="ET104" s="47"/>
      <c r="EU104" s="47"/>
      <c r="EV104" s="47"/>
      <c r="EW104" s="47"/>
      <c r="EX104" s="47"/>
      <c r="EY104" s="47"/>
      <c r="EZ104" s="47"/>
      <c r="FA104" s="47"/>
      <c r="FB104" s="47"/>
      <c r="FC104" s="47"/>
      <c r="FD104" s="47"/>
      <c r="FE104" s="47"/>
      <c r="FF104" s="47"/>
      <c r="FG104" s="47"/>
      <c r="FH104" s="47"/>
      <c r="FI104" s="47"/>
      <c r="FJ104" s="47"/>
      <c r="FK104" s="47"/>
      <c r="FL104" s="47"/>
      <c r="FM104" s="47"/>
      <c r="FN104" s="47"/>
      <c r="FO104" s="47"/>
      <c r="FP104" s="47"/>
      <c r="FQ104" s="47"/>
      <c r="FR104" s="47"/>
      <c r="FS104" s="47"/>
      <c r="FT104" s="47"/>
      <c r="FU104" s="47"/>
      <c r="FV104" s="47"/>
      <c r="FW104" s="47"/>
      <c r="FX104" s="47"/>
      <c r="FY104" s="47"/>
      <c r="FZ104" s="47"/>
      <c r="GA104" s="47"/>
      <c r="GB104" s="47"/>
      <c r="GC104" s="47"/>
      <c r="GD104" s="47"/>
      <c r="GE104" s="47"/>
      <c r="GF104" s="47"/>
      <c r="GG104" s="47"/>
      <c r="GH104" s="47"/>
      <c r="GI104" s="47"/>
      <c r="GJ104" s="47"/>
      <c r="GK104" s="47"/>
      <c r="GL104" s="47"/>
      <c r="GM104" s="47"/>
      <c r="GN104" s="47"/>
      <c r="GO104" s="47"/>
      <c r="GP104" s="47"/>
      <c r="GQ104" s="47"/>
      <c r="GR104" s="47"/>
      <c r="GS104" s="47"/>
      <c r="GT104" s="47"/>
      <c r="GU104" s="47"/>
      <c r="GV104" s="47"/>
      <c r="GW104" s="47"/>
      <c r="GX104" s="47"/>
      <c r="GY104" s="47"/>
      <c r="GZ104" s="47"/>
      <c r="HA104" s="47"/>
      <c r="HB104" s="47"/>
      <c r="HC104" s="47"/>
      <c r="HD104" s="47"/>
      <c r="HE104" s="47"/>
      <c r="HF104" s="47"/>
      <c r="HG104" s="47"/>
      <c r="HH104" s="47"/>
      <c r="HI104" s="47"/>
      <c r="HJ104" s="47"/>
      <c r="HK104" s="47"/>
      <c r="HL104" s="47"/>
      <c r="HM104" s="47"/>
      <c r="HN104" s="47"/>
      <c r="HO104" s="47"/>
      <c r="HP104" s="47"/>
      <c r="HQ104" s="47"/>
      <c r="HR104" s="47"/>
      <c r="HS104" s="47"/>
      <c r="HT104" s="47"/>
      <c r="HU104" s="47"/>
      <c r="HV104" s="47"/>
      <c r="HW104" s="47"/>
      <c r="HX104" s="47"/>
      <c r="HY104" s="47"/>
      <c r="HZ104" s="47"/>
      <c r="IA104" s="47"/>
      <c r="IB104" s="47"/>
      <c r="IC104" s="47"/>
      <c r="ID104" s="47"/>
      <c r="IE104" s="47"/>
      <c r="IF104" s="47"/>
      <c r="IG104" s="47"/>
      <c r="IH104" s="47"/>
      <c r="II104" s="47"/>
      <c r="IJ104" s="47"/>
      <c r="IK104" s="47"/>
      <c r="IL104" s="47"/>
      <c r="IM104" s="47"/>
      <c r="IN104" s="47"/>
      <c r="IO104" s="47"/>
      <c r="IP104" s="47"/>
      <c r="IQ104" s="47"/>
      <c r="IR104" s="47"/>
      <c r="IS104" s="47"/>
      <c r="IT104" s="47"/>
      <c r="IU104" s="47"/>
      <c r="IV104" s="47"/>
      <c r="IW104" s="1"/>
      <c r="IX104" s="1"/>
      <c r="IY104" s="1"/>
      <c r="IZ104" s="1"/>
      <c r="JA104" s="1"/>
      <c r="JB104" s="1"/>
      <c r="JC104" s="1"/>
      <c r="JD104" s="1"/>
      <c r="JE104" s="1"/>
      <c r="JF104" s="1"/>
      <c r="JG104" s="1"/>
      <c r="JH104" s="1"/>
      <c r="JI104" s="1"/>
      <c r="JJ104" s="1"/>
      <c r="JK104" s="1"/>
      <c r="JL104" s="1"/>
      <c r="JM104" s="1"/>
      <c r="JN104" s="1"/>
      <c r="JO104" s="1"/>
      <c r="JP104" s="1"/>
      <c r="JQ104" s="1"/>
      <c r="JR104" s="1"/>
      <c r="JS104" s="1"/>
      <c r="JT104" s="1"/>
      <c r="JU104" s="1"/>
      <c r="JV104" s="1"/>
      <c r="JW104" s="1"/>
      <c r="JX104" s="1"/>
      <c r="JY104" s="1"/>
      <c r="JZ104" s="1"/>
      <c r="KA104" s="1"/>
      <c r="KB104" s="1"/>
      <c r="KC104" s="1"/>
      <c r="KD104" s="1"/>
      <c r="KE104" s="1"/>
      <c r="KF104" s="1"/>
      <c r="KG104" s="1"/>
      <c r="KH104" s="1"/>
      <c r="KI104" s="1"/>
      <c r="KJ104" s="1"/>
      <c r="KK104" s="1"/>
      <c r="KL104" s="1"/>
      <c r="KM104" s="1"/>
      <c r="KN104" s="1"/>
      <c r="KO104" s="1"/>
      <c r="KP104" s="1"/>
      <c r="KQ104" s="1"/>
      <c r="KR104" s="1"/>
      <c r="KS104" s="1"/>
      <c r="KT104" s="1"/>
      <c r="KU104" s="1"/>
      <c r="KV104" s="1"/>
      <c r="KW104" s="1"/>
      <c r="KX104" s="1"/>
      <c r="KY104" s="1"/>
      <c r="KZ104" s="1"/>
      <c r="LA104" s="1"/>
      <c r="LB104" s="1"/>
      <c r="LC104" s="1"/>
      <c r="LD104" s="1"/>
      <c r="LE104" s="1"/>
      <c r="LF104" s="1"/>
      <c r="LG104" s="1"/>
      <c r="LH104" s="1"/>
      <c r="LI104" s="1"/>
      <c r="LJ104" s="1"/>
      <c r="LK104" s="1"/>
      <c r="LL104" s="1"/>
      <c r="LM104" s="1"/>
      <c r="LN104" s="1"/>
      <c r="LO104" s="1"/>
      <c r="LP104" s="1"/>
      <c r="LQ104" s="1"/>
      <c r="LR104" s="1"/>
      <c r="LS104" s="1"/>
      <c r="LT104" s="1"/>
      <c r="LU104" s="1"/>
      <c r="LV104" s="1"/>
      <c r="LW104" s="1"/>
      <c r="LX104" s="1"/>
      <c r="LY104" s="1"/>
      <c r="LZ104" s="1"/>
      <c r="MA104" s="1"/>
      <c r="MB104" s="1"/>
      <c r="MC104" s="1"/>
      <c r="MD104" s="1"/>
      <c r="ME104" s="1"/>
      <c r="MF104" s="1"/>
      <c r="MG104" s="1"/>
      <c r="MH104" s="1"/>
      <c r="MI104" s="1"/>
      <c r="MJ104" s="1"/>
      <c r="MK104" s="1"/>
      <c r="ML104" s="1"/>
      <c r="MM104" s="1"/>
      <c r="MN104" s="1"/>
      <c r="MO104" s="1"/>
      <c r="MP104" s="1"/>
      <c r="MQ104" s="1"/>
      <c r="MR104" s="1"/>
      <c r="MS104" s="1"/>
      <c r="MT104" s="1"/>
      <c r="MU104" s="1"/>
      <c r="MV104" s="1"/>
      <c r="MW104" s="1"/>
      <c r="MX104" s="1"/>
      <c r="MY104" s="1"/>
      <c r="MZ104" s="1"/>
      <c r="NA104" s="1"/>
      <c r="NB104" s="1"/>
      <c r="ND104" s="53">
        <v>6.9999999999999896E-2</v>
      </c>
      <c r="NE104" s="47">
        <v>20064.206837539954</v>
      </c>
      <c r="NF104" s="13">
        <v>0.51500000000000001</v>
      </c>
      <c r="NG104" s="1">
        <f>Combine!A106</f>
        <v>48134</v>
      </c>
      <c r="NH104" s="14">
        <f>Combine!F106</f>
        <v>278667.383958889</v>
      </c>
    </row>
    <row r="105" spans="1:372" ht="12.75" customHeight="1" x14ac:dyDescent="0.3">
      <c r="A105" s="59"/>
      <c r="D105" s="61"/>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c r="AW105" s="47"/>
      <c r="AX105" s="47"/>
      <c r="AY105" s="47"/>
      <c r="AZ105" s="47"/>
      <c r="BA105" s="47"/>
      <c r="BB105" s="47"/>
      <c r="BC105" s="47"/>
      <c r="BD105" s="47"/>
      <c r="BE105" s="47"/>
      <c r="BF105" s="47"/>
      <c r="BG105" s="47"/>
      <c r="BH105" s="47"/>
      <c r="BI105" s="47"/>
      <c r="BJ105" s="47"/>
      <c r="BK105" s="47"/>
      <c r="BL105" s="47"/>
      <c r="BM105" s="47"/>
      <c r="BN105" s="47"/>
      <c r="BO105" s="47"/>
      <c r="BP105" s="47"/>
      <c r="BQ105" s="47"/>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c r="CO105" s="47"/>
      <c r="CP105" s="47"/>
      <c r="CQ105" s="47"/>
      <c r="CR105" s="47"/>
      <c r="CS105" s="47"/>
      <c r="CT105" s="47"/>
      <c r="CU105" s="47"/>
      <c r="CV105" s="47"/>
      <c r="CW105" s="47"/>
      <c r="CX105" s="47"/>
      <c r="CY105" s="47"/>
      <c r="CZ105" s="47"/>
      <c r="DA105" s="47"/>
      <c r="DB105" s="47"/>
      <c r="DC105" s="47"/>
      <c r="DD105" s="47"/>
      <c r="DE105" s="47"/>
      <c r="DF105" s="47"/>
      <c r="DG105" s="47"/>
      <c r="DH105" s="47"/>
      <c r="DI105" s="47"/>
      <c r="DJ105" s="47"/>
      <c r="DK105" s="47"/>
      <c r="DL105" s="47"/>
      <c r="DM105" s="47"/>
      <c r="DN105" s="47"/>
      <c r="DO105" s="47"/>
      <c r="DP105" s="47"/>
      <c r="DQ105" s="47"/>
      <c r="DR105" s="47"/>
      <c r="DS105" s="47"/>
      <c r="DT105" s="47"/>
      <c r="DU105" s="47"/>
      <c r="DV105" s="47"/>
      <c r="DW105" s="47"/>
      <c r="DX105" s="47"/>
      <c r="DY105" s="47"/>
      <c r="DZ105" s="47"/>
      <c r="EA105" s="47"/>
      <c r="EB105" s="47"/>
      <c r="EC105" s="47"/>
      <c r="ED105" s="47"/>
      <c r="EE105" s="47"/>
      <c r="EF105" s="47"/>
      <c r="EG105" s="47"/>
      <c r="EH105" s="47"/>
      <c r="EI105" s="47"/>
      <c r="EJ105" s="47"/>
      <c r="EK105" s="47"/>
      <c r="EL105" s="47"/>
      <c r="EM105" s="47"/>
      <c r="EN105" s="47"/>
      <c r="EO105" s="47"/>
      <c r="EP105" s="47"/>
      <c r="EQ105" s="47"/>
      <c r="ER105" s="47"/>
      <c r="ES105" s="47"/>
      <c r="ET105" s="47"/>
      <c r="EU105" s="47"/>
      <c r="EV105" s="47"/>
      <c r="EW105" s="47"/>
      <c r="EX105" s="47"/>
      <c r="EY105" s="47"/>
      <c r="EZ105" s="47"/>
      <c r="FA105" s="47"/>
      <c r="FB105" s="47"/>
      <c r="FC105" s="47"/>
      <c r="FD105" s="47"/>
      <c r="FE105" s="47"/>
      <c r="FF105" s="47"/>
      <c r="FG105" s="47"/>
      <c r="FH105" s="47"/>
      <c r="FI105" s="47"/>
      <c r="FJ105" s="47"/>
      <c r="FK105" s="47"/>
      <c r="FL105" s="47"/>
      <c r="FM105" s="47"/>
      <c r="FN105" s="47"/>
      <c r="FO105" s="47"/>
      <c r="FP105" s="47"/>
      <c r="FQ105" s="47"/>
      <c r="FR105" s="47"/>
      <c r="FS105" s="47"/>
      <c r="FT105" s="47"/>
      <c r="FU105" s="47"/>
      <c r="FV105" s="47"/>
      <c r="FW105" s="47"/>
      <c r="FX105" s="47"/>
      <c r="FY105" s="47"/>
      <c r="FZ105" s="47"/>
      <c r="GA105" s="47"/>
      <c r="GB105" s="47"/>
      <c r="GC105" s="47"/>
      <c r="GD105" s="47"/>
      <c r="GE105" s="47"/>
      <c r="GF105" s="47"/>
      <c r="GG105" s="47"/>
      <c r="GH105" s="47"/>
      <c r="GI105" s="47"/>
      <c r="GJ105" s="47"/>
      <c r="GK105" s="47"/>
      <c r="GL105" s="47"/>
      <c r="GM105" s="47"/>
      <c r="GN105" s="47"/>
      <c r="GO105" s="47"/>
      <c r="GP105" s="47"/>
      <c r="GQ105" s="47"/>
      <c r="GR105" s="47"/>
      <c r="GS105" s="47"/>
      <c r="GT105" s="47"/>
      <c r="GU105" s="47"/>
      <c r="GV105" s="47"/>
      <c r="GW105" s="47"/>
      <c r="GX105" s="47"/>
      <c r="GY105" s="47"/>
      <c r="GZ105" s="47"/>
      <c r="HA105" s="47"/>
      <c r="HB105" s="47"/>
      <c r="HC105" s="47"/>
      <c r="HD105" s="47"/>
      <c r="HE105" s="47"/>
      <c r="HF105" s="47"/>
      <c r="HG105" s="47"/>
      <c r="HH105" s="47"/>
      <c r="HI105" s="47"/>
      <c r="HJ105" s="47"/>
      <c r="HK105" s="47"/>
      <c r="HL105" s="47"/>
      <c r="HM105" s="47"/>
      <c r="HN105" s="47"/>
      <c r="HO105" s="47"/>
      <c r="HP105" s="47"/>
      <c r="HQ105" s="47"/>
      <c r="HR105" s="47"/>
      <c r="HS105" s="47"/>
      <c r="HT105" s="47"/>
      <c r="HU105" s="47"/>
      <c r="HV105" s="47"/>
      <c r="HW105" s="47"/>
      <c r="HX105" s="47"/>
      <c r="HY105" s="47"/>
      <c r="HZ105" s="47"/>
      <c r="IA105" s="47"/>
      <c r="IB105" s="47"/>
      <c r="IC105" s="47"/>
      <c r="ID105" s="47"/>
      <c r="IE105" s="47"/>
      <c r="IF105" s="47"/>
      <c r="IG105" s="47"/>
      <c r="IH105" s="47"/>
      <c r="II105" s="47"/>
      <c r="IJ105" s="47"/>
      <c r="IK105" s="47"/>
      <c r="IL105" s="47"/>
      <c r="IM105" s="47"/>
      <c r="IN105" s="47"/>
      <c r="IO105" s="47"/>
      <c r="IP105" s="47"/>
      <c r="IQ105" s="47"/>
      <c r="IR105" s="47"/>
      <c r="IS105" s="47"/>
      <c r="IT105" s="47"/>
      <c r="IU105" s="47"/>
      <c r="IV105" s="47"/>
      <c r="IW105" s="1"/>
      <c r="IX105" s="1"/>
      <c r="IY105" s="1"/>
      <c r="IZ105" s="1"/>
      <c r="JA105" s="1"/>
      <c r="JB105" s="1"/>
      <c r="JC105" s="1"/>
      <c r="JD105" s="1"/>
      <c r="JE105" s="1"/>
      <c r="JF105" s="1"/>
      <c r="JG105" s="1"/>
      <c r="JH105" s="1"/>
      <c r="JI105" s="1"/>
      <c r="JJ105" s="1"/>
      <c r="JK105" s="1"/>
      <c r="JL105" s="1"/>
      <c r="JM105" s="1"/>
      <c r="JN105" s="1"/>
      <c r="JO105" s="1"/>
      <c r="JP105" s="1"/>
      <c r="JQ105" s="1"/>
      <c r="JR105" s="1"/>
      <c r="JS105" s="1"/>
      <c r="JT105" s="1"/>
      <c r="JU105" s="1"/>
      <c r="JV105" s="1"/>
      <c r="JW105" s="1"/>
      <c r="JX105" s="1"/>
      <c r="JY105" s="1"/>
      <c r="JZ105" s="1"/>
      <c r="KA105" s="1"/>
      <c r="KB105" s="1"/>
      <c r="KC105" s="1"/>
      <c r="KD105" s="1"/>
      <c r="KE105" s="1"/>
      <c r="KF105" s="1"/>
      <c r="KG105" s="1"/>
      <c r="KH105" s="1"/>
      <c r="KI105" s="1"/>
      <c r="KJ105" s="1"/>
      <c r="KK105" s="1"/>
      <c r="KL105" s="1"/>
      <c r="KM105" s="1"/>
      <c r="KN105" s="1"/>
      <c r="KO105" s="1"/>
      <c r="KP105" s="1"/>
      <c r="KQ105" s="1"/>
      <c r="KR105" s="1"/>
      <c r="KS105" s="1"/>
      <c r="KT105" s="1"/>
      <c r="KU105" s="1"/>
      <c r="KV105" s="1"/>
      <c r="KW105" s="1"/>
      <c r="KX105" s="1"/>
      <c r="KY105" s="1"/>
      <c r="KZ105" s="1"/>
      <c r="LA105" s="1"/>
      <c r="LB105" s="1"/>
      <c r="LC105" s="1"/>
      <c r="LD105" s="1"/>
      <c r="LE105" s="1"/>
      <c r="LF105" s="1"/>
      <c r="LG105" s="1"/>
      <c r="LH105" s="1"/>
      <c r="LI105" s="1"/>
      <c r="LJ105" s="1"/>
      <c r="LK105" s="1"/>
      <c r="LL105" s="1"/>
      <c r="LM105" s="1"/>
      <c r="LN105" s="1"/>
      <c r="LO105" s="1"/>
      <c r="LP105" s="1"/>
      <c r="LQ105" s="1"/>
      <c r="LR105" s="1"/>
      <c r="LS105" s="1"/>
      <c r="LT105" s="1"/>
      <c r="LU105" s="1"/>
      <c r="LV105" s="1"/>
      <c r="LW105" s="1"/>
      <c r="LX105" s="1"/>
      <c r="LY105" s="1"/>
      <c r="LZ105" s="1"/>
      <c r="MA105" s="1"/>
      <c r="MB105" s="1"/>
      <c r="MC105" s="1"/>
      <c r="MD105" s="1"/>
      <c r="ME105" s="1"/>
      <c r="MF105" s="1"/>
      <c r="MG105" s="1"/>
      <c r="MH105" s="1"/>
      <c r="MI105" s="1"/>
      <c r="MJ105" s="1"/>
      <c r="MK105" s="1"/>
      <c r="ML105" s="1"/>
      <c r="MM105" s="1"/>
      <c r="MN105" s="1"/>
      <c r="MO105" s="1"/>
      <c r="MP105" s="1"/>
      <c r="MQ105" s="1"/>
      <c r="MR105" s="1"/>
      <c r="MS105" s="1"/>
      <c r="MT105" s="1"/>
      <c r="MU105" s="1"/>
      <c r="MV105" s="1"/>
      <c r="MW105" s="1"/>
      <c r="MX105" s="1"/>
      <c r="MY105" s="1"/>
      <c r="MZ105" s="1"/>
      <c r="NA105" s="1"/>
      <c r="NB105" s="1"/>
      <c r="ND105" s="53">
        <v>7.0999999999999897E-2</v>
      </c>
      <c r="NE105" s="47">
        <v>17935.306867570373</v>
      </c>
      <c r="NF105" s="13">
        <v>0.52</v>
      </c>
      <c r="NG105" s="1">
        <f>Combine!A107</f>
        <v>48094</v>
      </c>
      <c r="NH105" s="14">
        <f>Combine!F107</f>
        <v>411365.657764551</v>
      </c>
    </row>
    <row r="106" spans="1:372" ht="12.75" customHeight="1" x14ac:dyDescent="0.3">
      <c r="A106" s="59"/>
      <c r="D106" s="61"/>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c r="AW106" s="47"/>
      <c r="AX106" s="47"/>
      <c r="AY106" s="47"/>
      <c r="AZ106" s="47"/>
      <c r="BA106" s="47"/>
      <c r="BB106" s="47"/>
      <c r="BC106" s="47"/>
      <c r="BD106" s="47"/>
      <c r="BE106" s="47"/>
      <c r="BF106" s="47"/>
      <c r="BG106" s="47"/>
      <c r="BH106" s="47"/>
      <c r="BI106" s="47"/>
      <c r="BJ106" s="47"/>
      <c r="BK106" s="47"/>
      <c r="BL106" s="47"/>
      <c r="BM106" s="47"/>
      <c r="BN106" s="47"/>
      <c r="BO106" s="47"/>
      <c r="BP106" s="47"/>
      <c r="BQ106" s="47"/>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c r="CO106" s="47"/>
      <c r="CP106" s="47"/>
      <c r="CQ106" s="47"/>
      <c r="CR106" s="47"/>
      <c r="CS106" s="47"/>
      <c r="CT106" s="47"/>
      <c r="CU106" s="47"/>
      <c r="CV106" s="47"/>
      <c r="CW106" s="47"/>
      <c r="CX106" s="47"/>
      <c r="CY106" s="47"/>
      <c r="CZ106" s="47"/>
      <c r="DA106" s="47"/>
      <c r="DB106" s="47"/>
      <c r="DC106" s="47"/>
      <c r="DD106" s="47"/>
      <c r="DE106" s="47"/>
      <c r="DF106" s="47"/>
      <c r="DG106" s="47"/>
      <c r="DH106" s="47"/>
      <c r="DI106" s="47"/>
      <c r="DJ106" s="47"/>
      <c r="DK106" s="47"/>
      <c r="DL106" s="47"/>
      <c r="DM106" s="47"/>
      <c r="DN106" s="47"/>
      <c r="DO106" s="47"/>
      <c r="DP106" s="47"/>
      <c r="DQ106" s="47"/>
      <c r="DR106" s="47"/>
      <c r="DS106" s="47"/>
      <c r="DT106" s="47"/>
      <c r="DU106" s="47"/>
      <c r="DV106" s="47"/>
      <c r="DW106" s="47"/>
      <c r="DX106" s="47"/>
      <c r="DY106" s="47"/>
      <c r="DZ106" s="47"/>
      <c r="EA106" s="47"/>
      <c r="EB106" s="47"/>
      <c r="EC106" s="47"/>
      <c r="ED106" s="47"/>
      <c r="EE106" s="47"/>
      <c r="EF106" s="47"/>
      <c r="EG106" s="47"/>
      <c r="EH106" s="47"/>
      <c r="EI106" s="47"/>
      <c r="EJ106" s="47"/>
      <c r="EK106" s="47"/>
      <c r="EL106" s="47"/>
      <c r="EM106" s="47"/>
      <c r="EN106" s="47"/>
      <c r="EO106" s="47"/>
      <c r="EP106" s="47"/>
      <c r="EQ106" s="47"/>
      <c r="ER106" s="47"/>
      <c r="ES106" s="47"/>
      <c r="ET106" s="47"/>
      <c r="EU106" s="47"/>
      <c r="EV106" s="47"/>
      <c r="EW106" s="47"/>
      <c r="EX106" s="47"/>
      <c r="EY106" s="47"/>
      <c r="EZ106" s="47"/>
      <c r="FA106" s="47"/>
      <c r="FB106" s="47"/>
      <c r="FC106" s="47"/>
      <c r="FD106" s="47"/>
      <c r="FE106" s="47"/>
      <c r="FF106" s="47"/>
      <c r="FG106" s="47"/>
      <c r="FH106" s="47"/>
      <c r="FI106" s="47"/>
      <c r="FJ106" s="47"/>
      <c r="FK106" s="47"/>
      <c r="FL106" s="47"/>
      <c r="FM106" s="47"/>
      <c r="FN106" s="47"/>
      <c r="FO106" s="47"/>
      <c r="FP106" s="47"/>
      <c r="FQ106" s="47"/>
      <c r="FR106" s="47"/>
      <c r="FS106" s="47"/>
      <c r="FT106" s="47"/>
      <c r="FU106" s="47"/>
      <c r="FV106" s="47"/>
      <c r="FW106" s="47"/>
      <c r="FX106" s="47"/>
      <c r="FY106" s="47"/>
      <c r="FZ106" s="47"/>
      <c r="GA106" s="47"/>
      <c r="GB106" s="47"/>
      <c r="GC106" s="47"/>
      <c r="GD106" s="47"/>
      <c r="GE106" s="47"/>
      <c r="GF106" s="47"/>
      <c r="GG106" s="47"/>
      <c r="GH106" s="47"/>
      <c r="GI106" s="47"/>
      <c r="GJ106" s="47"/>
      <c r="GK106" s="47"/>
      <c r="GL106" s="47"/>
      <c r="GM106" s="47"/>
      <c r="GN106" s="47"/>
      <c r="GO106" s="47"/>
      <c r="GP106" s="47"/>
      <c r="GQ106" s="47"/>
      <c r="GR106" s="47"/>
      <c r="GS106" s="47"/>
      <c r="GT106" s="47"/>
      <c r="GU106" s="47"/>
      <c r="GV106" s="47"/>
      <c r="GW106" s="47"/>
      <c r="GX106" s="47"/>
      <c r="GY106" s="47"/>
      <c r="GZ106" s="47"/>
      <c r="HA106" s="47"/>
      <c r="HB106" s="47"/>
      <c r="HC106" s="47"/>
      <c r="HD106" s="47"/>
      <c r="HE106" s="47"/>
      <c r="HF106" s="47"/>
      <c r="HG106" s="47"/>
      <c r="HH106" s="47"/>
      <c r="HI106" s="47"/>
      <c r="HJ106" s="47"/>
      <c r="HK106" s="47"/>
      <c r="HL106" s="47"/>
      <c r="HM106" s="47"/>
      <c r="HN106" s="47"/>
      <c r="HO106" s="47"/>
      <c r="HP106" s="47"/>
      <c r="HQ106" s="47"/>
      <c r="HR106" s="47"/>
      <c r="HS106" s="47"/>
      <c r="HT106" s="47"/>
      <c r="HU106" s="47"/>
      <c r="HV106" s="47"/>
      <c r="HW106" s="47"/>
      <c r="HX106" s="47"/>
      <c r="HY106" s="47"/>
      <c r="HZ106" s="47"/>
      <c r="IA106" s="47"/>
      <c r="IB106" s="47"/>
      <c r="IC106" s="47"/>
      <c r="ID106" s="47"/>
      <c r="IE106" s="47"/>
      <c r="IF106" s="47"/>
      <c r="IG106" s="47"/>
      <c r="IH106" s="47"/>
      <c r="II106" s="47"/>
      <c r="IJ106" s="47"/>
      <c r="IK106" s="47"/>
      <c r="IL106" s="47"/>
      <c r="IM106" s="47"/>
      <c r="IN106" s="47"/>
      <c r="IO106" s="47"/>
      <c r="IP106" s="47"/>
      <c r="IQ106" s="47"/>
      <c r="IR106" s="47"/>
      <c r="IS106" s="47"/>
      <c r="IT106" s="47"/>
      <c r="IU106" s="47"/>
      <c r="IV106" s="47"/>
      <c r="IW106" s="1"/>
      <c r="IX106" s="1"/>
      <c r="IY106" s="1"/>
      <c r="IZ106" s="1"/>
      <c r="JA106" s="1"/>
      <c r="JB106" s="1"/>
      <c r="JC106" s="1"/>
      <c r="JD106" s="1"/>
      <c r="JE106" s="1"/>
      <c r="JF106" s="1"/>
      <c r="JG106" s="1"/>
      <c r="JH106" s="1"/>
      <c r="JI106" s="1"/>
      <c r="JJ106" s="1"/>
      <c r="JK106" s="1"/>
      <c r="JL106" s="1"/>
      <c r="JM106" s="1"/>
      <c r="JN106" s="1"/>
      <c r="JO106" s="1"/>
      <c r="JP106" s="1"/>
      <c r="JQ106" s="1"/>
      <c r="JR106" s="1"/>
      <c r="JS106" s="1"/>
      <c r="JT106" s="1"/>
      <c r="JU106" s="1"/>
      <c r="JV106" s="1"/>
      <c r="JW106" s="1"/>
      <c r="JX106" s="1"/>
      <c r="JY106" s="1"/>
      <c r="JZ106" s="1"/>
      <c r="KA106" s="1"/>
      <c r="KB106" s="1"/>
      <c r="KC106" s="1"/>
      <c r="KD106" s="1"/>
      <c r="KE106" s="1"/>
      <c r="KF106" s="1"/>
      <c r="KG106" s="1"/>
      <c r="KH106" s="1"/>
      <c r="KI106" s="1"/>
      <c r="KJ106" s="1"/>
      <c r="KK106" s="1"/>
      <c r="KL106" s="1"/>
      <c r="KM106" s="1"/>
      <c r="KN106" s="1"/>
      <c r="KO106" s="1"/>
      <c r="KP106" s="1"/>
      <c r="KQ106" s="1"/>
      <c r="KR106" s="1"/>
      <c r="KS106" s="1"/>
      <c r="KT106" s="1"/>
      <c r="KU106" s="1"/>
      <c r="KV106" s="1"/>
      <c r="KW106" s="1"/>
      <c r="KX106" s="1"/>
      <c r="KY106" s="1"/>
      <c r="KZ106" s="1"/>
      <c r="LA106" s="1"/>
      <c r="LB106" s="1"/>
      <c r="LC106" s="1"/>
      <c r="LD106" s="1"/>
      <c r="LE106" s="1"/>
      <c r="LF106" s="1"/>
      <c r="LG106" s="1"/>
      <c r="LH106" s="1"/>
      <c r="LI106" s="1"/>
      <c r="LJ106" s="1"/>
      <c r="LK106" s="1"/>
      <c r="LL106" s="1"/>
      <c r="LM106" s="1"/>
      <c r="LN106" s="1"/>
      <c r="LO106" s="1"/>
      <c r="LP106" s="1"/>
      <c r="LQ106" s="1"/>
      <c r="LR106" s="1"/>
      <c r="LS106" s="1"/>
      <c r="LT106" s="1"/>
      <c r="LU106" s="1"/>
      <c r="LV106" s="1"/>
      <c r="LW106" s="1"/>
      <c r="LX106" s="1"/>
      <c r="LY106" s="1"/>
      <c r="LZ106" s="1"/>
      <c r="MA106" s="1"/>
      <c r="MB106" s="1"/>
      <c r="MC106" s="1"/>
      <c r="MD106" s="1"/>
      <c r="ME106" s="1"/>
      <c r="MF106" s="1"/>
      <c r="MG106" s="1"/>
      <c r="MH106" s="1"/>
      <c r="MI106" s="1"/>
      <c r="MJ106" s="1"/>
      <c r="MK106" s="1"/>
      <c r="ML106" s="1"/>
      <c r="MM106" s="1"/>
      <c r="MN106" s="1"/>
      <c r="MO106" s="1"/>
      <c r="MP106" s="1"/>
      <c r="MQ106" s="1"/>
      <c r="MR106" s="1"/>
      <c r="MS106" s="1"/>
      <c r="MT106" s="1"/>
      <c r="MU106" s="1"/>
      <c r="MV106" s="1"/>
      <c r="MW106" s="1"/>
      <c r="MX106" s="1"/>
      <c r="MY106" s="1"/>
      <c r="MZ106" s="1"/>
      <c r="NA106" s="1"/>
      <c r="NB106" s="1"/>
      <c r="ND106" s="53">
        <v>7.1999999999999897E-2</v>
      </c>
      <c r="NE106" s="47">
        <v>15802.257859846079</v>
      </c>
      <c r="NF106" s="13">
        <v>0.52500000000000002</v>
      </c>
      <c r="NG106" s="1">
        <f>Combine!A108</f>
        <v>49202</v>
      </c>
      <c r="NH106" s="14">
        <f>Combine!F108</f>
        <v>107252.207854386</v>
      </c>
    </row>
    <row r="107" spans="1:372" ht="12.75" customHeight="1" x14ac:dyDescent="0.3">
      <c r="A107" s="59"/>
      <c r="D107" s="61"/>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c r="AW107" s="47"/>
      <c r="AX107" s="47"/>
      <c r="AY107" s="47"/>
      <c r="AZ107" s="47"/>
      <c r="BA107" s="47"/>
      <c r="BB107" s="47"/>
      <c r="BC107" s="47"/>
      <c r="BD107" s="47"/>
      <c r="BE107" s="47"/>
      <c r="BF107" s="47"/>
      <c r="BG107" s="47"/>
      <c r="BH107" s="47"/>
      <c r="BI107" s="47"/>
      <c r="BJ107" s="47"/>
      <c r="BK107" s="47"/>
      <c r="BL107" s="47"/>
      <c r="BM107" s="47"/>
      <c r="BN107" s="47"/>
      <c r="BO107" s="47"/>
      <c r="BP107" s="47"/>
      <c r="BQ107" s="47"/>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c r="CO107" s="47"/>
      <c r="CP107" s="47"/>
      <c r="CQ107" s="47"/>
      <c r="CR107" s="47"/>
      <c r="CS107" s="47"/>
      <c r="CT107" s="47"/>
      <c r="CU107" s="47"/>
      <c r="CV107" s="47"/>
      <c r="CW107" s="47"/>
      <c r="CX107" s="47"/>
      <c r="CY107" s="47"/>
      <c r="CZ107" s="47"/>
      <c r="DA107" s="47"/>
      <c r="DB107" s="47"/>
      <c r="DC107" s="47"/>
      <c r="DD107" s="47"/>
      <c r="DE107" s="47"/>
      <c r="DF107" s="47"/>
      <c r="DG107" s="47"/>
      <c r="DH107" s="47"/>
      <c r="DI107" s="47"/>
      <c r="DJ107" s="47"/>
      <c r="DK107" s="47"/>
      <c r="DL107" s="47"/>
      <c r="DM107" s="47"/>
      <c r="DN107" s="47"/>
      <c r="DO107" s="47"/>
      <c r="DP107" s="47"/>
      <c r="DQ107" s="47"/>
      <c r="DR107" s="47"/>
      <c r="DS107" s="47"/>
      <c r="DT107" s="47"/>
      <c r="DU107" s="47"/>
      <c r="DV107" s="47"/>
      <c r="DW107" s="47"/>
      <c r="DX107" s="47"/>
      <c r="DY107" s="47"/>
      <c r="DZ107" s="47"/>
      <c r="EA107" s="47"/>
      <c r="EB107" s="47"/>
      <c r="EC107" s="47"/>
      <c r="ED107" s="47"/>
      <c r="EE107" s="47"/>
      <c r="EF107" s="47"/>
      <c r="EG107" s="47"/>
      <c r="EH107" s="47"/>
      <c r="EI107" s="47"/>
      <c r="EJ107" s="47"/>
      <c r="EK107" s="47"/>
      <c r="EL107" s="47"/>
      <c r="EM107" s="47"/>
      <c r="EN107" s="47"/>
      <c r="EO107" s="47"/>
      <c r="EP107" s="47"/>
      <c r="EQ107" s="47"/>
      <c r="ER107" s="47"/>
      <c r="ES107" s="47"/>
      <c r="ET107" s="47"/>
      <c r="EU107" s="47"/>
      <c r="EV107" s="47"/>
      <c r="EW107" s="47"/>
      <c r="EX107" s="47"/>
      <c r="EY107" s="47"/>
      <c r="EZ107" s="47"/>
      <c r="FA107" s="47"/>
      <c r="FB107" s="47"/>
      <c r="FC107" s="47"/>
      <c r="FD107" s="47"/>
      <c r="FE107" s="47"/>
      <c r="FF107" s="47"/>
      <c r="FG107" s="47"/>
      <c r="FH107" s="47"/>
      <c r="FI107" s="47"/>
      <c r="FJ107" s="47"/>
      <c r="FK107" s="47"/>
      <c r="FL107" s="47"/>
      <c r="FM107" s="47"/>
      <c r="FN107" s="47"/>
      <c r="FO107" s="47"/>
      <c r="FP107" s="47"/>
      <c r="FQ107" s="47"/>
      <c r="FR107" s="47"/>
      <c r="FS107" s="47"/>
      <c r="FT107" s="47"/>
      <c r="FU107" s="47"/>
      <c r="FV107" s="47"/>
      <c r="FW107" s="47"/>
      <c r="FX107" s="47"/>
      <c r="FY107" s="47"/>
      <c r="FZ107" s="47"/>
      <c r="GA107" s="47"/>
      <c r="GB107" s="47"/>
      <c r="GC107" s="47"/>
      <c r="GD107" s="47"/>
      <c r="GE107" s="47"/>
      <c r="GF107" s="47"/>
      <c r="GG107" s="47"/>
      <c r="GH107" s="47"/>
      <c r="GI107" s="47"/>
      <c r="GJ107" s="47"/>
      <c r="GK107" s="47"/>
      <c r="GL107" s="47"/>
      <c r="GM107" s="47"/>
      <c r="GN107" s="47"/>
      <c r="GO107" s="47"/>
      <c r="GP107" s="47"/>
      <c r="GQ107" s="47"/>
      <c r="GR107" s="47"/>
      <c r="GS107" s="47"/>
      <c r="GT107" s="47"/>
      <c r="GU107" s="47"/>
      <c r="GV107" s="47"/>
      <c r="GW107" s="47"/>
      <c r="GX107" s="47"/>
      <c r="GY107" s="47"/>
      <c r="GZ107" s="47"/>
      <c r="HA107" s="47"/>
      <c r="HB107" s="47"/>
      <c r="HC107" s="47"/>
      <c r="HD107" s="47"/>
      <c r="HE107" s="47"/>
      <c r="HF107" s="47"/>
      <c r="HG107" s="47"/>
      <c r="HH107" s="47"/>
      <c r="HI107" s="47"/>
      <c r="HJ107" s="47"/>
      <c r="HK107" s="47"/>
      <c r="HL107" s="47"/>
      <c r="HM107" s="47"/>
      <c r="HN107" s="47"/>
      <c r="HO107" s="47"/>
      <c r="HP107" s="47"/>
      <c r="HQ107" s="47"/>
      <c r="HR107" s="47"/>
      <c r="HS107" s="47"/>
      <c r="HT107" s="47"/>
      <c r="HU107" s="47"/>
      <c r="HV107" s="47"/>
      <c r="HW107" s="47"/>
      <c r="HX107" s="47"/>
      <c r="HY107" s="47"/>
      <c r="HZ107" s="47"/>
      <c r="IA107" s="47"/>
      <c r="IB107" s="47"/>
      <c r="IC107" s="47"/>
      <c r="ID107" s="47"/>
      <c r="IE107" s="47"/>
      <c r="IF107" s="47"/>
      <c r="IG107" s="47"/>
      <c r="IH107" s="47"/>
      <c r="II107" s="47"/>
      <c r="IJ107" s="47"/>
      <c r="IK107" s="47"/>
      <c r="IL107" s="47"/>
      <c r="IM107" s="47"/>
      <c r="IN107" s="47"/>
      <c r="IO107" s="47"/>
      <c r="IP107" s="47"/>
      <c r="IQ107" s="47"/>
      <c r="IR107" s="47"/>
      <c r="IS107" s="47"/>
      <c r="IT107" s="47"/>
      <c r="IU107" s="47"/>
      <c r="IV107" s="47"/>
      <c r="IW107" s="1"/>
      <c r="IX107" s="1"/>
      <c r="IY107" s="1"/>
      <c r="IZ107" s="1"/>
      <c r="JA107" s="1"/>
      <c r="JB107" s="1"/>
      <c r="JC107" s="1"/>
      <c r="JD107" s="1"/>
      <c r="JE107" s="1"/>
      <c r="JF107" s="1"/>
      <c r="JG107" s="1"/>
      <c r="JH107" s="1"/>
      <c r="JI107" s="1"/>
      <c r="JJ107" s="1"/>
      <c r="JK107" s="1"/>
      <c r="JL107" s="1"/>
      <c r="JM107" s="1"/>
      <c r="JN107" s="1"/>
      <c r="JO107" s="1"/>
      <c r="JP107" s="1"/>
      <c r="JQ107" s="1"/>
      <c r="JR107" s="1"/>
      <c r="JS107" s="1"/>
      <c r="JT107" s="1"/>
      <c r="JU107" s="1"/>
      <c r="JV107" s="1"/>
      <c r="JW107" s="1"/>
      <c r="JX107" s="1"/>
      <c r="JY107" s="1"/>
      <c r="JZ107" s="1"/>
      <c r="KA107" s="1"/>
      <c r="KB107" s="1"/>
      <c r="KC107" s="1"/>
      <c r="KD107" s="1"/>
      <c r="KE107" s="1"/>
      <c r="KF107" s="1"/>
      <c r="KG107" s="1"/>
      <c r="KH107" s="1"/>
      <c r="KI107" s="1"/>
      <c r="KJ107" s="1"/>
      <c r="KK107" s="1"/>
      <c r="KL107" s="1"/>
      <c r="KM107" s="1"/>
      <c r="KN107" s="1"/>
      <c r="KO107" s="1"/>
      <c r="KP107" s="1"/>
      <c r="KQ107" s="1"/>
      <c r="KR107" s="1"/>
      <c r="KS107" s="1"/>
      <c r="KT107" s="1"/>
      <c r="KU107" s="1"/>
      <c r="KV107" s="1"/>
      <c r="KW107" s="1"/>
      <c r="KX107" s="1"/>
      <c r="KY107" s="1"/>
      <c r="KZ107" s="1"/>
      <c r="LA107" s="1"/>
      <c r="LB107" s="1"/>
      <c r="LC107" s="1"/>
      <c r="LD107" s="1"/>
      <c r="LE107" s="1"/>
      <c r="LF107" s="1"/>
      <c r="LG107" s="1"/>
      <c r="LH107" s="1"/>
      <c r="LI107" s="1"/>
      <c r="LJ107" s="1"/>
      <c r="LK107" s="1"/>
      <c r="LL107" s="1"/>
      <c r="LM107" s="1"/>
      <c r="LN107" s="1"/>
      <c r="LO107" s="1"/>
      <c r="LP107" s="1"/>
      <c r="LQ107" s="1"/>
      <c r="LR107" s="1"/>
      <c r="LS107" s="1"/>
      <c r="LT107" s="1"/>
      <c r="LU107" s="1"/>
      <c r="LV107" s="1"/>
      <c r="LW107" s="1"/>
      <c r="LX107" s="1"/>
      <c r="LY107" s="1"/>
      <c r="LZ107" s="1"/>
      <c r="MA107" s="1"/>
      <c r="MB107" s="1"/>
      <c r="MC107" s="1"/>
      <c r="MD107" s="1"/>
      <c r="ME107" s="1"/>
      <c r="MF107" s="1"/>
      <c r="MG107" s="1"/>
      <c r="MH107" s="1"/>
      <c r="MI107" s="1"/>
      <c r="MJ107" s="1"/>
      <c r="MK107" s="1"/>
      <c r="ML107" s="1"/>
      <c r="MM107" s="1"/>
      <c r="MN107" s="1"/>
      <c r="MO107" s="1"/>
      <c r="MP107" s="1"/>
      <c r="MQ107" s="1"/>
      <c r="MR107" s="1"/>
      <c r="MS107" s="1"/>
      <c r="MT107" s="1"/>
      <c r="MU107" s="1"/>
      <c r="MV107" s="1"/>
      <c r="MW107" s="1"/>
      <c r="MX107" s="1"/>
      <c r="MY107" s="1"/>
      <c r="MZ107" s="1"/>
      <c r="NA107" s="1"/>
      <c r="NB107" s="1"/>
      <c r="ND107" s="53">
        <v>7.2999999999999898E-2</v>
      </c>
      <c r="NE107" s="47">
        <v>13665.137735867789</v>
      </c>
      <c r="NF107" s="13">
        <v>0.53</v>
      </c>
      <c r="NG107" s="1">
        <f>Combine!A109</f>
        <v>49008</v>
      </c>
      <c r="NH107" s="14">
        <f>Combine!F109</f>
        <v>218531.38022832901</v>
      </c>
    </row>
    <row r="108" spans="1:372" ht="12.75" customHeight="1" x14ac:dyDescent="0.3">
      <c r="A108" s="59"/>
      <c r="D108" s="61"/>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c r="AW108" s="47"/>
      <c r="AX108" s="47"/>
      <c r="AY108" s="47"/>
      <c r="AZ108" s="47"/>
      <c r="BA108" s="47"/>
      <c r="BB108" s="47"/>
      <c r="BC108" s="47"/>
      <c r="BD108" s="47"/>
      <c r="BE108" s="47"/>
      <c r="BF108" s="47"/>
      <c r="BG108" s="47"/>
      <c r="BH108" s="47"/>
      <c r="BI108" s="47"/>
      <c r="BJ108" s="47"/>
      <c r="BK108" s="47"/>
      <c r="BL108" s="47"/>
      <c r="BM108" s="47"/>
      <c r="BN108" s="47"/>
      <c r="BO108" s="47"/>
      <c r="BP108" s="47"/>
      <c r="BQ108" s="47"/>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c r="CO108" s="47"/>
      <c r="CP108" s="47"/>
      <c r="CQ108" s="47"/>
      <c r="CR108" s="47"/>
      <c r="CS108" s="47"/>
      <c r="CT108" s="47"/>
      <c r="CU108" s="47"/>
      <c r="CV108" s="47"/>
      <c r="CW108" s="47"/>
      <c r="CX108" s="47"/>
      <c r="CY108" s="47"/>
      <c r="CZ108" s="47"/>
      <c r="DA108" s="47"/>
      <c r="DB108" s="47"/>
      <c r="DC108" s="47"/>
      <c r="DD108" s="47"/>
      <c r="DE108" s="47"/>
      <c r="DF108" s="47"/>
      <c r="DG108" s="47"/>
      <c r="DH108" s="47"/>
      <c r="DI108" s="47"/>
      <c r="DJ108" s="47"/>
      <c r="DK108" s="47"/>
      <c r="DL108" s="47"/>
      <c r="DM108" s="47"/>
      <c r="DN108" s="47"/>
      <c r="DO108" s="47"/>
      <c r="DP108" s="47"/>
      <c r="DQ108" s="47"/>
      <c r="DR108" s="47"/>
      <c r="DS108" s="47"/>
      <c r="DT108" s="47"/>
      <c r="DU108" s="47"/>
      <c r="DV108" s="47"/>
      <c r="DW108" s="47"/>
      <c r="DX108" s="47"/>
      <c r="DY108" s="47"/>
      <c r="DZ108" s="47"/>
      <c r="EA108" s="47"/>
      <c r="EB108" s="47"/>
      <c r="EC108" s="47"/>
      <c r="ED108" s="47"/>
      <c r="EE108" s="47"/>
      <c r="EF108" s="47"/>
      <c r="EG108" s="47"/>
      <c r="EH108" s="47"/>
      <c r="EI108" s="47"/>
      <c r="EJ108" s="47"/>
      <c r="EK108" s="47"/>
      <c r="EL108" s="47"/>
      <c r="EM108" s="47"/>
      <c r="EN108" s="47"/>
      <c r="EO108" s="47"/>
      <c r="EP108" s="47"/>
      <c r="EQ108" s="47"/>
      <c r="ER108" s="47"/>
      <c r="ES108" s="47"/>
      <c r="ET108" s="47"/>
      <c r="EU108" s="47"/>
      <c r="EV108" s="47"/>
      <c r="EW108" s="47"/>
      <c r="EX108" s="47"/>
      <c r="EY108" s="47"/>
      <c r="EZ108" s="47"/>
      <c r="FA108" s="47"/>
      <c r="FB108" s="47"/>
      <c r="FC108" s="47"/>
      <c r="FD108" s="47"/>
      <c r="FE108" s="47"/>
      <c r="FF108" s="47"/>
      <c r="FG108" s="47"/>
      <c r="FH108" s="47"/>
      <c r="FI108" s="47"/>
      <c r="FJ108" s="47"/>
      <c r="FK108" s="47"/>
      <c r="FL108" s="47"/>
      <c r="FM108" s="47"/>
      <c r="FN108" s="47"/>
      <c r="FO108" s="47"/>
      <c r="FP108" s="47"/>
      <c r="FQ108" s="47"/>
      <c r="FR108" s="47"/>
      <c r="FS108" s="47"/>
      <c r="FT108" s="47"/>
      <c r="FU108" s="47"/>
      <c r="FV108" s="47"/>
      <c r="FW108" s="47"/>
      <c r="FX108" s="47"/>
      <c r="FY108" s="47"/>
      <c r="FZ108" s="47"/>
      <c r="GA108" s="47"/>
      <c r="GB108" s="47"/>
      <c r="GC108" s="47"/>
      <c r="GD108" s="47"/>
      <c r="GE108" s="47"/>
      <c r="GF108" s="47"/>
      <c r="GG108" s="47"/>
      <c r="GH108" s="47"/>
      <c r="GI108" s="47"/>
      <c r="GJ108" s="47"/>
      <c r="GK108" s="47"/>
      <c r="GL108" s="47"/>
      <c r="GM108" s="47"/>
      <c r="GN108" s="47"/>
      <c r="GO108" s="47"/>
      <c r="GP108" s="47"/>
      <c r="GQ108" s="47"/>
      <c r="GR108" s="47"/>
      <c r="GS108" s="47"/>
      <c r="GT108" s="47"/>
      <c r="GU108" s="47"/>
      <c r="GV108" s="47"/>
      <c r="GW108" s="47"/>
      <c r="GX108" s="47"/>
      <c r="GY108" s="47"/>
      <c r="GZ108" s="47"/>
      <c r="HA108" s="47"/>
      <c r="HB108" s="47"/>
      <c r="HC108" s="47"/>
      <c r="HD108" s="47"/>
      <c r="HE108" s="47"/>
      <c r="HF108" s="47"/>
      <c r="HG108" s="47"/>
      <c r="HH108" s="47"/>
      <c r="HI108" s="47"/>
      <c r="HJ108" s="47"/>
      <c r="HK108" s="47"/>
      <c r="HL108" s="47"/>
      <c r="HM108" s="47"/>
      <c r="HN108" s="47"/>
      <c r="HO108" s="47"/>
      <c r="HP108" s="47"/>
      <c r="HQ108" s="47"/>
      <c r="HR108" s="47"/>
      <c r="HS108" s="47"/>
      <c r="HT108" s="47"/>
      <c r="HU108" s="47"/>
      <c r="HV108" s="47"/>
      <c r="HW108" s="47"/>
      <c r="HX108" s="47"/>
      <c r="HY108" s="47"/>
      <c r="HZ108" s="47"/>
      <c r="IA108" s="47"/>
      <c r="IB108" s="47"/>
      <c r="IC108" s="47"/>
      <c r="ID108" s="47"/>
      <c r="IE108" s="47"/>
      <c r="IF108" s="47"/>
      <c r="IG108" s="47"/>
      <c r="IH108" s="47"/>
      <c r="II108" s="47"/>
      <c r="IJ108" s="47"/>
      <c r="IK108" s="47"/>
      <c r="IL108" s="47"/>
      <c r="IM108" s="47"/>
      <c r="IN108" s="47"/>
      <c r="IO108" s="47"/>
      <c r="IP108" s="47"/>
      <c r="IQ108" s="47"/>
      <c r="IR108" s="47"/>
      <c r="IS108" s="47"/>
      <c r="IT108" s="47"/>
      <c r="IU108" s="47"/>
      <c r="IV108" s="47"/>
      <c r="IW108" s="1"/>
      <c r="IX108" s="1"/>
      <c r="IY108" s="1"/>
      <c r="IZ108" s="1"/>
      <c r="JA108" s="1"/>
      <c r="JB108" s="1"/>
      <c r="JC108" s="1"/>
      <c r="JD108" s="1"/>
      <c r="JE108" s="1"/>
      <c r="JF108" s="1"/>
      <c r="JG108" s="1"/>
      <c r="JH108" s="1"/>
      <c r="JI108" s="1"/>
      <c r="JJ108" s="1"/>
      <c r="JK108" s="1"/>
      <c r="JL108" s="1"/>
      <c r="JM108" s="1"/>
      <c r="JN108" s="1"/>
      <c r="JO108" s="1"/>
      <c r="JP108" s="1"/>
      <c r="JQ108" s="1"/>
      <c r="JR108" s="1"/>
      <c r="JS108" s="1"/>
      <c r="JT108" s="1"/>
      <c r="JU108" s="1"/>
      <c r="JV108" s="1"/>
      <c r="JW108" s="1"/>
      <c r="JX108" s="1"/>
      <c r="JY108" s="1"/>
      <c r="JZ108" s="1"/>
      <c r="KA108" s="1"/>
      <c r="KB108" s="1"/>
      <c r="KC108" s="1"/>
      <c r="KD108" s="1"/>
      <c r="KE108" s="1"/>
      <c r="KF108" s="1"/>
      <c r="KG108" s="1"/>
      <c r="KH108" s="1"/>
      <c r="KI108" s="1"/>
      <c r="KJ108" s="1"/>
      <c r="KK108" s="1"/>
      <c r="KL108" s="1"/>
      <c r="KM108" s="1"/>
      <c r="KN108" s="1"/>
      <c r="KO108" s="1"/>
      <c r="KP108" s="1"/>
      <c r="KQ108" s="1"/>
      <c r="KR108" s="1"/>
      <c r="KS108" s="1"/>
      <c r="KT108" s="1"/>
      <c r="KU108" s="1"/>
      <c r="KV108" s="1"/>
      <c r="KW108" s="1"/>
      <c r="KX108" s="1"/>
      <c r="KY108" s="1"/>
      <c r="KZ108" s="1"/>
      <c r="LA108" s="1"/>
      <c r="LB108" s="1"/>
      <c r="LC108" s="1"/>
      <c r="LD108" s="1"/>
      <c r="LE108" s="1"/>
      <c r="LF108" s="1"/>
      <c r="LG108" s="1"/>
      <c r="LH108" s="1"/>
      <c r="LI108" s="1"/>
      <c r="LJ108" s="1"/>
      <c r="LK108" s="1"/>
      <c r="LL108" s="1"/>
      <c r="LM108" s="1"/>
      <c r="LN108" s="1"/>
      <c r="LO108" s="1"/>
      <c r="LP108" s="1"/>
      <c r="LQ108" s="1"/>
      <c r="LR108" s="1"/>
      <c r="LS108" s="1"/>
      <c r="LT108" s="1"/>
      <c r="LU108" s="1"/>
      <c r="LV108" s="1"/>
      <c r="LW108" s="1"/>
      <c r="LX108" s="1"/>
      <c r="LY108" s="1"/>
      <c r="LZ108" s="1"/>
      <c r="MA108" s="1"/>
      <c r="MB108" s="1"/>
      <c r="MC108" s="1"/>
      <c r="MD108" s="1"/>
      <c r="ME108" s="1"/>
      <c r="MF108" s="1"/>
      <c r="MG108" s="1"/>
      <c r="MH108" s="1"/>
      <c r="MI108" s="1"/>
      <c r="MJ108" s="1"/>
      <c r="MK108" s="1"/>
      <c r="ML108" s="1"/>
      <c r="MM108" s="1"/>
      <c r="MN108" s="1"/>
      <c r="MO108" s="1"/>
      <c r="MP108" s="1"/>
      <c r="MQ108" s="1"/>
      <c r="MR108" s="1"/>
      <c r="MS108" s="1"/>
      <c r="MT108" s="1"/>
      <c r="MU108" s="1"/>
      <c r="MV108" s="1"/>
      <c r="MW108" s="1"/>
      <c r="MX108" s="1"/>
      <c r="MY108" s="1"/>
      <c r="MZ108" s="1"/>
      <c r="NA108" s="1"/>
      <c r="NB108" s="1"/>
      <c r="ND108" s="53">
        <v>7.3999999999999899E-2</v>
      </c>
      <c r="NE108" s="47">
        <v>11524.023754753647</v>
      </c>
      <c r="NF108" s="13">
        <v>0.53500000000000003</v>
      </c>
      <c r="NG108" s="1">
        <f>Combine!A110</f>
        <v>48912</v>
      </c>
      <c r="NH108" s="14">
        <f>Combine!F110</f>
        <v>109118.37198748501</v>
      </c>
    </row>
    <row r="109" spans="1:372" ht="12.75" customHeight="1" x14ac:dyDescent="0.3">
      <c r="A109" s="59"/>
      <c r="D109" s="61"/>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c r="AW109" s="47"/>
      <c r="AX109" s="47"/>
      <c r="AY109" s="47"/>
      <c r="AZ109" s="47"/>
      <c r="BA109" s="47"/>
      <c r="BB109" s="47"/>
      <c r="BC109" s="47"/>
      <c r="BD109" s="47"/>
      <c r="BE109" s="47"/>
      <c r="BF109" s="47"/>
      <c r="BG109" s="47"/>
      <c r="BH109" s="47"/>
      <c r="BI109" s="47"/>
      <c r="BJ109" s="47"/>
      <c r="BK109" s="47"/>
      <c r="BL109" s="47"/>
      <c r="BM109" s="47"/>
      <c r="BN109" s="47"/>
      <c r="BO109" s="47"/>
      <c r="BP109" s="47"/>
      <c r="BQ109" s="47"/>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c r="CO109" s="47"/>
      <c r="CP109" s="47"/>
      <c r="CQ109" s="47"/>
      <c r="CR109" s="47"/>
      <c r="CS109" s="47"/>
      <c r="CT109" s="47"/>
      <c r="CU109" s="47"/>
      <c r="CV109" s="47"/>
      <c r="CW109" s="47"/>
      <c r="CX109" s="47"/>
      <c r="CY109" s="47"/>
      <c r="CZ109" s="47"/>
      <c r="DA109" s="47"/>
      <c r="DB109" s="47"/>
      <c r="DC109" s="47"/>
      <c r="DD109" s="47"/>
      <c r="DE109" s="47"/>
      <c r="DF109" s="47"/>
      <c r="DG109" s="47"/>
      <c r="DH109" s="47"/>
      <c r="DI109" s="47"/>
      <c r="DJ109" s="47"/>
      <c r="DK109" s="47"/>
      <c r="DL109" s="47"/>
      <c r="DM109" s="47"/>
      <c r="DN109" s="47"/>
      <c r="DO109" s="47"/>
      <c r="DP109" s="47"/>
      <c r="DQ109" s="47"/>
      <c r="DR109" s="47"/>
      <c r="DS109" s="47"/>
      <c r="DT109" s="47"/>
      <c r="DU109" s="47"/>
      <c r="DV109" s="47"/>
      <c r="DW109" s="47"/>
      <c r="DX109" s="47"/>
      <c r="DY109" s="47"/>
      <c r="DZ109" s="47"/>
      <c r="EA109" s="47"/>
      <c r="EB109" s="47"/>
      <c r="EC109" s="47"/>
      <c r="ED109" s="47"/>
      <c r="EE109" s="47"/>
      <c r="EF109" s="47"/>
      <c r="EG109" s="47"/>
      <c r="EH109" s="47"/>
      <c r="EI109" s="47"/>
      <c r="EJ109" s="47"/>
      <c r="EK109" s="47"/>
      <c r="EL109" s="47"/>
      <c r="EM109" s="47"/>
      <c r="EN109" s="47"/>
      <c r="EO109" s="47"/>
      <c r="EP109" s="47"/>
      <c r="EQ109" s="47"/>
      <c r="ER109" s="47"/>
      <c r="ES109" s="47"/>
      <c r="ET109" s="47"/>
      <c r="EU109" s="47"/>
      <c r="EV109" s="47"/>
      <c r="EW109" s="47"/>
      <c r="EX109" s="47"/>
      <c r="EY109" s="47"/>
      <c r="EZ109" s="47"/>
      <c r="FA109" s="47"/>
      <c r="FB109" s="47"/>
      <c r="FC109" s="47"/>
      <c r="FD109" s="47"/>
      <c r="FE109" s="47"/>
      <c r="FF109" s="47"/>
      <c r="FG109" s="47"/>
      <c r="FH109" s="47"/>
      <c r="FI109" s="47"/>
      <c r="FJ109" s="47"/>
      <c r="FK109" s="47"/>
      <c r="FL109" s="47"/>
      <c r="FM109" s="47"/>
      <c r="FN109" s="47"/>
      <c r="FO109" s="47"/>
      <c r="FP109" s="47"/>
      <c r="FQ109" s="47"/>
      <c r="FR109" s="47"/>
      <c r="FS109" s="47"/>
      <c r="FT109" s="47"/>
      <c r="FU109" s="47"/>
      <c r="FV109" s="47"/>
      <c r="FW109" s="47"/>
      <c r="FX109" s="47"/>
      <c r="FY109" s="47"/>
      <c r="FZ109" s="47"/>
      <c r="GA109" s="47"/>
      <c r="GB109" s="47"/>
      <c r="GC109" s="47"/>
      <c r="GD109" s="47"/>
      <c r="GE109" s="47"/>
      <c r="GF109" s="47"/>
      <c r="GG109" s="47"/>
      <c r="GH109" s="47"/>
      <c r="GI109" s="47"/>
      <c r="GJ109" s="47"/>
      <c r="GK109" s="47"/>
      <c r="GL109" s="47"/>
      <c r="GM109" s="47"/>
      <c r="GN109" s="47"/>
      <c r="GO109" s="47"/>
      <c r="GP109" s="47"/>
      <c r="GQ109" s="47"/>
      <c r="GR109" s="47"/>
      <c r="GS109" s="47"/>
      <c r="GT109" s="47"/>
      <c r="GU109" s="47"/>
      <c r="GV109" s="47"/>
      <c r="GW109" s="47"/>
      <c r="GX109" s="47"/>
      <c r="GY109" s="47"/>
      <c r="GZ109" s="47"/>
      <c r="HA109" s="47"/>
      <c r="HB109" s="47"/>
      <c r="HC109" s="47"/>
      <c r="HD109" s="47"/>
      <c r="HE109" s="47"/>
      <c r="HF109" s="47"/>
      <c r="HG109" s="47"/>
      <c r="HH109" s="47"/>
      <c r="HI109" s="47"/>
      <c r="HJ109" s="47"/>
      <c r="HK109" s="47"/>
      <c r="HL109" s="47"/>
      <c r="HM109" s="47"/>
      <c r="HN109" s="47"/>
      <c r="HO109" s="47"/>
      <c r="HP109" s="47"/>
      <c r="HQ109" s="47"/>
      <c r="HR109" s="47"/>
      <c r="HS109" s="47"/>
      <c r="HT109" s="47"/>
      <c r="HU109" s="47"/>
      <c r="HV109" s="47"/>
      <c r="HW109" s="47"/>
      <c r="HX109" s="47"/>
      <c r="HY109" s="47"/>
      <c r="HZ109" s="47"/>
      <c r="IA109" s="47"/>
      <c r="IB109" s="47"/>
      <c r="IC109" s="47"/>
      <c r="ID109" s="47"/>
      <c r="IE109" s="47"/>
      <c r="IF109" s="47"/>
      <c r="IG109" s="47"/>
      <c r="IH109" s="47"/>
      <c r="II109" s="47"/>
      <c r="IJ109" s="47"/>
      <c r="IK109" s="47"/>
      <c r="IL109" s="47"/>
      <c r="IM109" s="47"/>
      <c r="IN109" s="47"/>
      <c r="IO109" s="47"/>
      <c r="IP109" s="47"/>
      <c r="IQ109" s="47"/>
      <c r="IR109" s="47"/>
      <c r="IS109" s="47"/>
      <c r="IT109" s="47"/>
      <c r="IU109" s="47"/>
      <c r="IV109" s="47"/>
      <c r="IW109" s="1"/>
      <c r="IX109" s="1"/>
      <c r="IY109" s="1"/>
      <c r="IZ109" s="1"/>
      <c r="JA109" s="1"/>
      <c r="JB109" s="1"/>
      <c r="JC109" s="1"/>
      <c r="JD109" s="1"/>
      <c r="JE109" s="1"/>
      <c r="JF109" s="1"/>
      <c r="JG109" s="1"/>
      <c r="JH109" s="1"/>
      <c r="JI109" s="1"/>
      <c r="JJ109" s="1"/>
      <c r="JK109" s="1"/>
      <c r="JL109" s="1"/>
      <c r="JM109" s="1"/>
      <c r="JN109" s="1"/>
      <c r="JO109" s="1"/>
      <c r="JP109" s="1"/>
      <c r="JQ109" s="1"/>
      <c r="JR109" s="1"/>
      <c r="JS109" s="1"/>
      <c r="JT109" s="1"/>
      <c r="JU109" s="1"/>
      <c r="JV109" s="1"/>
      <c r="JW109" s="1"/>
      <c r="JX109" s="1"/>
      <c r="JY109" s="1"/>
      <c r="JZ109" s="1"/>
      <c r="KA109" s="1"/>
      <c r="KB109" s="1"/>
      <c r="KC109" s="1"/>
      <c r="KD109" s="1"/>
      <c r="KE109" s="1"/>
      <c r="KF109" s="1"/>
      <c r="KG109" s="1"/>
      <c r="KH109" s="1"/>
      <c r="KI109" s="1"/>
      <c r="KJ109" s="1"/>
      <c r="KK109" s="1"/>
      <c r="KL109" s="1"/>
      <c r="KM109" s="1"/>
      <c r="KN109" s="1"/>
      <c r="KO109" s="1"/>
      <c r="KP109" s="1"/>
      <c r="KQ109" s="1"/>
      <c r="KR109" s="1"/>
      <c r="KS109" s="1"/>
      <c r="KT109" s="1"/>
      <c r="KU109" s="1"/>
      <c r="KV109" s="1"/>
      <c r="KW109" s="1"/>
      <c r="KX109" s="1"/>
      <c r="KY109" s="1"/>
      <c r="KZ109" s="1"/>
      <c r="LA109" s="1"/>
      <c r="LB109" s="1"/>
      <c r="LC109" s="1"/>
      <c r="LD109" s="1"/>
      <c r="LE109" s="1"/>
      <c r="LF109" s="1"/>
      <c r="LG109" s="1"/>
      <c r="LH109" s="1"/>
      <c r="LI109" s="1"/>
      <c r="LJ109" s="1"/>
      <c r="LK109" s="1"/>
      <c r="LL109" s="1"/>
      <c r="LM109" s="1"/>
      <c r="LN109" s="1"/>
      <c r="LO109" s="1"/>
      <c r="LP109" s="1"/>
      <c r="LQ109" s="1"/>
      <c r="LR109" s="1"/>
      <c r="LS109" s="1"/>
      <c r="LT109" s="1"/>
      <c r="LU109" s="1"/>
      <c r="LV109" s="1"/>
      <c r="LW109" s="1"/>
      <c r="LX109" s="1"/>
      <c r="LY109" s="1"/>
      <c r="LZ109" s="1"/>
      <c r="MA109" s="1"/>
      <c r="MB109" s="1"/>
      <c r="MC109" s="1"/>
      <c r="MD109" s="1"/>
      <c r="ME109" s="1"/>
      <c r="MF109" s="1"/>
      <c r="MG109" s="1"/>
      <c r="MH109" s="1"/>
      <c r="MI109" s="1"/>
      <c r="MJ109" s="1"/>
      <c r="MK109" s="1"/>
      <c r="ML109" s="1"/>
      <c r="MM109" s="1"/>
      <c r="MN109" s="1"/>
      <c r="MO109" s="1"/>
      <c r="MP109" s="1"/>
      <c r="MQ109" s="1"/>
      <c r="MR109" s="1"/>
      <c r="MS109" s="1"/>
      <c r="MT109" s="1"/>
      <c r="MU109" s="1"/>
      <c r="MV109" s="1"/>
      <c r="MW109" s="1"/>
      <c r="MX109" s="1"/>
      <c r="MY109" s="1"/>
      <c r="MZ109" s="1"/>
      <c r="NA109" s="1"/>
      <c r="NB109" s="1"/>
      <c r="ND109" s="53">
        <v>7.49999999999999E-2</v>
      </c>
      <c r="NE109" s="47">
        <v>9378.9924972718654</v>
      </c>
      <c r="NF109" s="13">
        <v>0.54</v>
      </c>
      <c r="NG109" s="1">
        <f>Combine!A111</f>
        <v>48240</v>
      </c>
      <c r="NH109" s="14">
        <f>Combine!F111</f>
        <v>135654.36913388799</v>
      </c>
    </row>
    <row r="110" spans="1:372" ht="12.75" customHeight="1" x14ac:dyDescent="0.3">
      <c r="A110" s="59"/>
      <c r="D110" s="61"/>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c r="AW110" s="47"/>
      <c r="AX110" s="47"/>
      <c r="AY110" s="47"/>
      <c r="AZ110" s="47"/>
      <c r="BA110" s="47"/>
      <c r="BB110" s="47"/>
      <c r="BC110" s="47"/>
      <c r="BD110" s="47"/>
      <c r="BE110" s="47"/>
      <c r="BF110" s="47"/>
      <c r="BG110" s="47"/>
      <c r="BH110" s="47"/>
      <c r="BI110" s="47"/>
      <c r="BJ110" s="47"/>
      <c r="BK110" s="47"/>
      <c r="BL110" s="47"/>
      <c r="BM110" s="47"/>
      <c r="BN110" s="47"/>
      <c r="BO110" s="47"/>
      <c r="BP110" s="47"/>
      <c r="BQ110" s="47"/>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c r="CO110" s="47"/>
      <c r="CP110" s="47"/>
      <c r="CQ110" s="47"/>
      <c r="CR110" s="47"/>
      <c r="CS110" s="47"/>
      <c r="CT110" s="47"/>
      <c r="CU110" s="47"/>
      <c r="CV110" s="47"/>
      <c r="CW110" s="47"/>
      <c r="CX110" s="47"/>
      <c r="CY110" s="47"/>
      <c r="CZ110" s="47"/>
      <c r="DA110" s="47"/>
      <c r="DB110" s="47"/>
      <c r="DC110" s="47"/>
      <c r="DD110" s="47"/>
      <c r="DE110" s="47"/>
      <c r="DF110" s="47"/>
      <c r="DG110" s="47"/>
      <c r="DH110" s="47"/>
      <c r="DI110" s="47"/>
      <c r="DJ110" s="47"/>
      <c r="DK110" s="47"/>
      <c r="DL110" s="47"/>
      <c r="DM110" s="47"/>
      <c r="DN110" s="47"/>
      <c r="DO110" s="47"/>
      <c r="DP110" s="47"/>
      <c r="DQ110" s="47"/>
      <c r="DR110" s="47"/>
      <c r="DS110" s="47"/>
      <c r="DT110" s="47"/>
      <c r="DU110" s="47"/>
      <c r="DV110" s="47"/>
      <c r="DW110" s="47"/>
      <c r="DX110" s="47"/>
      <c r="DY110" s="47"/>
      <c r="DZ110" s="47"/>
      <c r="EA110" s="47"/>
      <c r="EB110" s="47"/>
      <c r="EC110" s="47"/>
      <c r="ED110" s="47"/>
      <c r="EE110" s="47"/>
      <c r="EF110" s="47"/>
      <c r="EG110" s="47"/>
      <c r="EH110" s="47"/>
      <c r="EI110" s="47"/>
      <c r="EJ110" s="47"/>
      <c r="EK110" s="47"/>
      <c r="EL110" s="47"/>
      <c r="EM110" s="47"/>
      <c r="EN110" s="47"/>
      <c r="EO110" s="47"/>
      <c r="EP110" s="47"/>
      <c r="EQ110" s="47"/>
      <c r="ER110" s="47"/>
      <c r="ES110" s="47"/>
      <c r="ET110" s="47"/>
      <c r="EU110" s="47"/>
      <c r="EV110" s="47"/>
      <c r="EW110" s="47"/>
      <c r="EX110" s="47"/>
      <c r="EY110" s="47"/>
      <c r="EZ110" s="47"/>
      <c r="FA110" s="47"/>
      <c r="FB110" s="47"/>
      <c r="FC110" s="47"/>
      <c r="FD110" s="47"/>
      <c r="FE110" s="47"/>
      <c r="FF110" s="47"/>
      <c r="FG110" s="47"/>
      <c r="FH110" s="47"/>
      <c r="FI110" s="47"/>
      <c r="FJ110" s="47"/>
      <c r="FK110" s="47"/>
      <c r="FL110" s="47"/>
      <c r="FM110" s="47"/>
      <c r="FN110" s="47"/>
      <c r="FO110" s="47"/>
      <c r="FP110" s="47"/>
      <c r="FQ110" s="47"/>
      <c r="FR110" s="47"/>
      <c r="FS110" s="47"/>
      <c r="FT110" s="47"/>
      <c r="FU110" s="47"/>
      <c r="FV110" s="47"/>
      <c r="FW110" s="47"/>
      <c r="FX110" s="47"/>
      <c r="FY110" s="47"/>
      <c r="FZ110" s="47"/>
      <c r="GA110" s="47"/>
      <c r="GB110" s="47"/>
      <c r="GC110" s="47"/>
      <c r="GD110" s="47"/>
      <c r="GE110" s="47"/>
      <c r="GF110" s="47"/>
      <c r="GG110" s="47"/>
      <c r="GH110" s="47"/>
      <c r="GI110" s="47"/>
      <c r="GJ110" s="47"/>
      <c r="GK110" s="47"/>
      <c r="GL110" s="47"/>
      <c r="GM110" s="47"/>
      <c r="GN110" s="47"/>
      <c r="GO110" s="47"/>
      <c r="GP110" s="47"/>
      <c r="GQ110" s="47"/>
      <c r="GR110" s="47"/>
      <c r="GS110" s="47"/>
      <c r="GT110" s="47"/>
      <c r="GU110" s="47"/>
      <c r="GV110" s="47"/>
      <c r="GW110" s="47"/>
      <c r="GX110" s="47"/>
      <c r="GY110" s="47"/>
      <c r="GZ110" s="47"/>
      <c r="HA110" s="47"/>
      <c r="HB110" s="47"/>
      <c r="HC110" s="47"/>
      <c r="HD110" s="47"/>
      <c r="HE110" s="47"/>
      <c r="HF110" s="47"/>
      <c r="HG110" s="47"/>
      <c r="HH110" s="47"/>
      <c r="HI110" s="47"/>
      <c r="HJ110" s="47"/>
      <c r="HK110" s="47"/>
      <c r="HL110" s="47"/>
      <c r="HM110" s="47"/>
      <c r="HN110" s="47"/>
      <c r="HO110" s="47"/>
      <c r="HP110" s="47"/>
      <c r="HQ110" s="47"/>
      <c r="HR110" s="47"/>
      <c r="HS110" s="47"/>
      <c r="HT110" s="47"/>
      <c r="HU110" s="47"/>
      <c r="HV110" s="47"/>
      <c r="HW110" s="47"/>
      <c r="HX110" s="47"/>
      <c r="HY110" s="47"/>
      <c r="HZ110" s="47"/>
      <c r="IA110" s="47"/>
      <c r="IB110" s="47"/>
      <c r="IC110" s="47"/>
      <c r="ID110" s="47"/>
      <c r="IE110" s="47"/>
      <c r="IF110" s="47"/>
      <c r="IG110" s="47"/>
      <c r="IH110" s="47"/>
      <c r="II110" s="47"/>
      <c r="IJ110" s="47"/>
      <c r="IK110" s="47"/>
      <c r="IL110" s="47"/>
      <c r="IM110" s="47"/>
      <c r="IN110" s="47"/>
      <c r="IO110" s="47"/>
      <c r="IP110" s="47"/>
      <c r="IQ110" s="47"/>
      <c r="IR110" s="47"/>
      <c r="IS110" s="47"/>
      <c r="IT110" s="47"/>
      <c r="IU110" s="47"/>
      <c r="IV110" s="47"/>
      <c r="IW110" s="1"/>
      <c r="IX110" s="1"/>
      <c r="IY110" s="1"/>
      <c r="IZ110" s="1"/>
      <c r="JA110" s="1"/>
      <c r="JB110" s="1"/>
      <c r="JC110" s="1"/>
      <c r="JD110" s="1"/>
      <c r="JE110" s="1"/>
      <c r="JF110" s="1"/>
      <c r="JG110" s="1"/>
      <c r="JH110" s="1"/>
      <c r="JI110" s="1"/>
      <c r="JJ110" s="1"/>
      <c r="JK110" s="1"/>
      <c r="JL110" s="1"/>
      <c r="JM110" s="1"/>
      <c r="JN110" s="1"/>
      <c r="JO110" s="1"/>
      <c r="JP110" s="1"/>
      <c r="JQ110" s="1"/>
      <c r="JR110" s="1"/>
      <c r="JS110" s="1"/>
      <c r="JT110" s="1"/>
      <c r="JU110" s="1"/>
      <c r="JV110" s="1"/>
      <c r="JW110" s="1"/>
      <c r="JX110" s="1"/>
      <c r="JY110" s="1"/>
      <c r="JZ110" s="1"/>
      <c r="KA110" s="1"/>
      <c r="KB110" s="1"/>
      <c r="KC110" s="1"/>
      <c r="KD110" s="1"/>
      <c r="KE110" s="1"/>
      <c r="KF110" s="1"/>
      <c r="KG110" s="1"/>
      <c r="KH110" s="1"/>
      <c r="KI110" s="1"/>
      <c r="KJ110" s="1"/>
      <c r="KK110" s="1"/>
      <c r="KL110" s="1"/>
      <c r="KM110" s="1"/>
      <c r="KN110" s="1"/>
      <c r="KO110" s="1"/>
      <c r="KP110" s="1"/>
      <c r="KQ110" s="1"/>
      <c r="KR110" s="1"/>
      <c r="KS110" s="1"/>
      <c r="KT110" s="1"/>
      <c r="KU110" s="1"/>
      <c r="KV110" s="1"/>
      <c r="KW110" s="1"/>
      <c r="KX110" s="1"/>
      <c r="KY110" s="1"/>
      <c r="KZ110" s="1"/>
      <c r="LA110" s="1"/>
      <c r="LB110" s="1"/>
      <c r="LC110" s="1"/>
      <c r="LD110" s="1"/>
      <c r="LE110" s="1"/>
      <c r="LF110" s="1"/>
      <c r="LG110" s="1"/>
      <c r="LH110" s="1"/>
      <c r="LI110" s="1"/>
      <c r="LJ110" s="1"/>
      <c r="LK110" s="1"/>
      <c r="LL110" s="1"/>
      <c r="LM110" s="1"/>
      <c r="LN110" s="1"/>
      <c r="LO110" s="1"/>
      <c r="LP110" s="1"/>
      <c r="LQ110" s="1"/>
      <c r="LR110" s="1"/>
      <c r="LS110" s="1"/>
      <c r="LT110" s="1"/>
      <c r="LU110" s="1"/>
      <c r="LV110" s="1"/>
      <c r="LW110" s="1"/>
      <c r="LX110" s="1"/>
      <c r="LY110" s="1"/>
      <c r="LZ110" s="1"/>
      <c r="MA110" s="1"/>
      <c r="MB110" s="1"/>
      <c r="MC110" s="1"/>
      <c r="MD110" s="1"/>
      <c r="ME110" s="1"/>
      <c r="MF110" s="1"/>
      <c r="MG110" s="1"/>
      <c r="MH110" s="1"/>
      <c r="MI110" s="1"/>
      <c r="MJ110" s="1"/>
      <c r="MK110" s="1"/>
      <c r="ML110" s="1"/>
      <c r="MM110" s="1"/>
      <c r="MN110" s="1"/>
      <c r="MO110" s="1"/>
      <c r="MP110" s="1"/>
      <c r="MQ110" s="1"/>
      <c r="MR110" s="1"/>
      <c r="MS110" s="1"/>
      <c r="MT110" s="1"/>
      <c r="MU110" s="1"/>
      <c r="MV110" s="1"/>
      <c r="MW110" s="1"/>
      <c r="MX110" s="1"/>
      <c r="MY110" s="1"/>
      <c r="MZ110" s="1"/>
      <c r="NA110" s="1"/>
      <c r="NB110" s="1"/>
      <c r="ND110" s="53">
        <v>7.5999999999999901E-2</v>
      </c>
      <c r="NE110" s="47">
        <v>7230.1198505932334</v>
      </c>
      <c r="NF110" s="13">
        <v>0.54500000000000004</v>
      </c>
      <c r="NG110" s="1">
        <f>Combine!A112</f>
        <v>48033</v>
      </c>
      <c r="NH110" s="14">
        <f>Combine!F112</f>
        <v>224757.218397989</v>
      </c>
    </row>
    <row r="111" spans="1:372" ht="12.75" customHeight="1" x14ac:dyDescent="0.3">
      <c r="A111" s="59"/>
      <c r="D111" s="61"/>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c r="BQ111" s="47"/>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c r="CO111" s="47"/>
      <c r="CP111" s="47"/>
      <c r="CQ111" s="47"/>
      <c r="CR111" s="47"/>
      <c r="CS111" s="47"/>
      <c r="CT111" s="47"/>
      <c r="CU111" s="47"/>
      <c r="CV111" s="47"/>
      <c r="CW111" s="47"/>
      <c r="CX111" s="47"/>
      <c r="CY111" s="47"/>
      <c r="CZ111" s="47"/>
      <c r="DA111" s="47"/>
      <c r="DB111" s="47"/>
      <c r="DC111" s="47"/>
      <c r="DD111" s="47"/>
      <c r="DE111" s="47"/>
      <c r="DF111" s="47"/>
      <c r="DG111" s="47"/>
      <c r="DH111" s="47"/>
      <c r="DI111" s="47"/>
      <c r="DJ111" s="47"/>
      <c r="DK111" s="47"/>
      <c r="DL111" s="47"/>
      <c r="DM111" s="47"/>
      <c r="DN111" s="47"/>
      <c r="DO111" s="47"/>
      <c r="DP111" s="47"/>
      <c r="DQ111" s="47"/>
      <c r="DR111" s="47"/>
      <c r="DS111" s="47"/>
      <c r="DT111" s="47"/>
      <c r="DU111" s="47"/>
      <c r="DV111" s="47"/>
      <c r="DW111" s="47"/>
      <c r="DX111" s="47"/>
      <c r="DY111" s="47"/>
      <c r="DZ111" s="47"/>
      <c r="EA111" s="47"/>
      <c r="EB111" s="47"/>
      <c r="EC111" s="47"/>
      <c r="ED111" s="47"/>
      <c r="EE111" s="47"/>
      <c r="EF111" s="47"/>
      <c r="EG111" s="47"/>
      <c r="EH111" s="47"/>
      <c r="EI111" s="47"/>
      <c r="EJ111" s="47"/>
      <c r="EK111" s="47"/>
      <c r="EL111" s="47"/>
      <c r="EM111" s="47"/>
      <c r="EN111" s="47"/>
      <c r="EO111" s="47"/>
      <c r="EP111" s="47"/>
      <c r="EQ111" s="47"/>
      <c r="ER111" s="47"/>
      <c r="ES111" s="47"/>
      <c r="ET111" s="47"/>
      <c r="EU111" s="47"/>
      <c r="EV111" s="47"/>
      <c r="EW111" s="47"/>
      <c r="EX111" s="47"/>
      <c r="EY111" s="47"/>
      <c r="EZ111" s="47"/>
      <c r="FA111" s="47"/>
      <c r="FB111" s="47"/>
      <c r="FC111" s="47"/>
      <c r="FD111" s="47"/>
      <c r="FE111" s="47"/>
      <c r="FF111" s="47"/>
      <c r="FG111" s="47"/>
      <c r="FH111" s="47"/>
      <c r="FI111" s="47"/>
      <c r="FJ111" s="47"/>
      <c r="FK111" s="47"/>
      <c r="FL111" s="47"/>
      <c r="FM111" s="47"/>
      <c r="FN111" s="47"/>
      <c r="FO111" s="47"/>
      <c r="FP111" s="47"/>
      <c r="FQ111" s="47"/>
      <c r="FR111" s="47"/>
      <c r="FS111" s="47"/>
      <c r="FT111" s="47"/>
      <c r="FU111" s="47"/>
      <c r="FV111" s="47"/>
      <c r="FW111" s="47"/>
      <c r="FX111" s="47"/>
      <c r="FY111" s="47"/>
      <c r="FZ111" s="47"/>
      <c r="GA111" s="47"/>
      <c r="GB111" s="47"/>
      <c r="GC111" s="47"/>
      <c r="GD111" s="47"/>
      <c r="GE111" s="47"/>
      <c r="GF111" s="47"/>
      <c r="GG111" s="47"/>
      <c r="GH111" s="47"/>
      <c r="GI111" s="47"/>
      <c r="GJ111" s="47"/>
      <c r="GK111" s="47"/>
      <c r="GL111" s="47"/>
      <c r="GM111" s="47"/>
      <c r="GN111" s="47"/>
      <c r="GO111" s="47"/>
      <c r="GP111" s="47"/>
      <c r="GQ111" s="47"/>
      <c r="GR111" s="47"/>
      <c r="GS111" s="47"/>
      <c r="GT111" s="47"/>
      <c r="GU111" s="47"/>
      <c r="GV111" s="47"/>
      <c r="GW111" s="47"/>
      <c r="GX111" s="47"/>
      <c r="GY111" s="47"/>
      <c r="GZ111" s="47"/>
      <c r="HA111" s="47"/>
      <c r="HB111" s="47"/>
      <c r="HC111" s="47"/>
      <c r="HD111" s="47"/>
      <c r="HE111" s="47"/>
      <c r="HF111" s="47"/>
      <c r="HG111" s="47"/>
      <c r="HH111" s="47"/>
      <c r="HI111" s="47"/>
      <c r="HJ111" s="47"/>
      <c r="HK111" s="47"/>
      <c r="HL111" s="47"/>
      <c r="HM111" s="47"/>
      <c r="HN111" s="47"/>
      <c r="HO111" s="47"/>
      <c r="HP111" s="47"/>
      <c r="HQ111" s="47"/>
      <c r="HR111" s="47"/>
      <c r="HS111" s="47"/>
      <c r="HT111" s="47"/>
      <c r="HU111" s="47"/>
      <c r="HV111" s="47"/>
      <c r="HW111" s="47"/>
      <c r="HX111" s="47"/>
      <c r="HY111" s="47"/>
      <c r="HZ111" s="47"/>
      <c r="IA111" s="47"/>
      <c r="IB111" s="47"/>
      <c r="IC111" s="47"/>
      <c r="ID111" s="47"/>
      <c r="IE111" s="47"/>
      <c r="IF111" s="47"/>
      <c r="IG111" s="47"/>
      <c r="IH111" s="47"/>
      <c r="II111" s="47"/>
      <c r="IJ111" s="47"/>
      <c r="IK111" s="47"/>
      <c r="IL111" s="47"/>
      <c r="IM111" s="47"/>
      <c r="IN111" s="47"/>
      <c r="IO111" s="47"/>
      <c r="IP111" s="47"/>
      <c r="IQ111" s="47"/>
      <c r="IR111" s="47"/>
      <c r="IS111" s="47"/>
      <c r="IT111" s="47"/>
      <c r="IU111" s="47"/>
      <c r="IV111" s="47"/>
      <c r="IW111" s="1"/>
      <c r="IX111" s="1"/>
      <c r="IY111" s="1"/>
      <c r="IZ111" s="1"/>
      <c r="JA111" s="1"/>
      <c r="JB111" s="1"/>
      <c r="JC111" s="1"/>
      <c r="JD111" s="1"/>
      <c r="JE111" s="1"/>
      <c r="JF111" s="1"/>
      <c r="JG111" s="1"/>
      <c r="JH111" s="1"/>
      <c r="JI111" s="1"/>
      <c r="JJ111" s="1"/>
      <c r="JK111" s="1"/>
      <c r="JL111" s="1"/>
      <c r="JM111" s="1"/>
      <c r="JN111" s="1"/>
      <c r="JO111" s="1"/>
      <c r="JP111" s="1"/>
      <c r="JQ111" s="1"/>
      <c r="JR111" s="1"/>
      <c r="JS111" s="1"/>
      <c r="JT111" s="1"/>
      <c r="JU111" s="1"/>
      <c r="JV111" s="1"/>
      <c r="JW111" s="1"/>
      <c r="JX111" s="1"/>
      <c r="JY111" s="1"/>
      <c r="JZ111" s="1"/>
      <c r="KA111" s="1"/>
      <c r="KB111" s="1"/>
      <c r="KC111" s="1"/>
      <c r="KD111" s="1"/>
      <c r="KE111" s="1"/>
      <c r="KF111" s="1"/>
      <c r="KG111" s="1"/>
      <c r="KH111" s="1"/>
      <c r="KI111" s="1"/>
      <c r="KJ111" s="1"/>
      <c r="KK111" s="1"/>
      <c r="KL111" s="1"/>
      <c r="KM111" s="1"/>
      <c r="KN111" s="1"/>
      <c r="KO111" s="1"/>
      <c r="KP111" s="1"/>
      <c r="KQ111" s="1"/>
      <c r="KR111" s="1"/>
      <c r="KS111" s="1"/>
      <c r="KT111" s="1"/>
      <c r="KU111" s="1"/>
      <c r="KV111" s="1"/>
      <c r="KW111" s="1"/>
      <c r="KX111" s="1"/>
      <c r="KY111" s="1"/>
      <c r="KZ111" s="1"/>
      <c r="LA111" s="1"/>
      <c r="LB111" s="1"/>
      <c r="LC111" s="1"/>
      <c r="LD111" s="1"/>
      <c r="LE111" s="1"/>
      <c r="LF111" s="1"/>
      <c r="LG111" s="1"/>
      <c r="LH111" s="1"/>
      <c r="LI111" s="1"/>
      <c r="LJ111" s="1"/>
      <c r="LK111" s="1"/>
      <c r="LL111" s="1"/>
      <c r="LM111" s="1"/>
      <c r="LN111" s="1"/>
      <c r="LO111" s="1"/>
      <c r="LP111" s="1"/>
      <c r="LQ111" s="1"/>
      <c r="LR111" s="1"/>
      <c r="LS111" s="1"/>
      <c r="LT111" s="1"/>
      <c r="LU111" s="1"/>
      <c r="LV111" s="1"/>
      <c r="LW111" s="1"/>
      <c r="LX111" s="1"/>
      <c r="LY111" s="1"/>
      <c r="LZ111" s="1"/>
      <c r="MA111" s="1"/>
      <c r="MB111" s="1"/>
      <c r="MC111" s="1"/>
      <c r="MD111" s="1"/>
      <c r="ME111" s="1"/>
      <c r="MF111" s="1"/>
      <c r="MG111" s="1"/>
      <c r="MH111" s="1"/>
      <c r="MI111" s="1"/>
      <c r="MJ111" s="1"/>
      <c r="MK111" s="1"/>
      <c r="ML111" s="1"/>
      <c r="MM111" s="1"/>
      <c r="MN111" s="1"/>
      <c r="MO111" s="1"/>
      <c r="MP111" s="1"/>
      <c r="MQ111" s="1"/>
      <c r="MR111" s="1"/>
      <c r="MS111" s="1"/>
      <c r="MT111" s="1"/>
      <c r="MU111" s="1"/>
      <c r="MV111" s="1"/>
      <c r="MW111" s="1"/>
      <c r="MX111" s="1"/>
      <c r="MY111" s="1"/>
      <c r="MZ111" s="1"/>
      <c r="NA111" s="1"/>
      <c r="NB111" s="1"/>
      <c r="ND111" s="53">
        <v>7.6999999999999902E-2</v>
      </c>
      <c r="NE111" s="47">
        <v>5077.4809937533373</v>
      </c>
      <c r="NF111" s="13">
        <v>0.55000000000000004</v>
      </c>
      <c r="NG111" s="1">
        <f>Combine!A113</f>
        <v>48377</v>
      </c>
      <c r="NH111" s="14">
        <f>Combine!F113</f>
        <v>455236.044563526</v>
      </c>
    </row>
    <row r="112" spans="1:372" ht="12.75" customHeight="1" x14ac:dyDescent="0.3">
      <c r="A112" s="59"/>
      <c r="D112" s="61"/>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c r="BQ112" s="47"/>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c r="CO112" s="47"/>
      <c r="CP112" s="47"/>
      <c r="CQ112" s="47"/>
      <c r="CR112" s="47"/>
      <c r="CS112" s="47"/>
      <c r="CT112" s="47"/>
      <c r="CU112" s="47"/>
      <c r="CV112" s="47"/>
      <c r="CW112" s="47"/>
      <c r="CX112" s="47"/>
      <c r="CY112" s="47"/>
      <c r="CZ112" s="47"/>
      <c r="DA112" s="47"/>
      <c r="DB112" s="47"/>
      <c r="DC112" s="47"/>
      <c r="DD112" s="47"/>
      <c r="DE112" s="47"/>
      <c r="DF112" s="47"/>
      <c r="DG112" s="47"/>
      <c r="DH112" s="47"/>
      <c r="DI112" s="47"/>
      <c r="DJ112" s="47"/>
      <c r="DK112" s="47"/>
      <c r="DL112" s="47"/>
      <c r="DM112" s="47"/>
      <c r="DN112" s="47"/>
      <c r="DO112" s="47"/>
      <c r="DP112" s="47"/>
      <c r="DQ112" s="47"/>
      <c r="DR112" s="47"/>
      <c r="DS112" s="47"/>
      <c r="DT112" s="47"/>
      <c r="DU112" s="47"/>
      <c r="DV112" s="47"/>
      <c r="DW112" s="47"/>
      <c r="DX112" s="47"/>
      <c r="DY112" s="47"/>
      <c r="DZ112" s="47"/>
      <c r="EA112" s="47"/>
      <c r="EB112" s="47"/>
      <c r="EC112" s="47"/>
      <c r="ED112" s="47"/>
      <c r="EE112" s="47"/>
      <c r="EF112" s="47"/>
      <c r="EG112" s="47"/>
      <c r="EH112" s="47"/>
      <c r="EI112" s="47"/>
      <c r="EJ112" s="47"/>
      <c r="EK112" s="47"/>
      <c r="EL112" s="47"/>
      <c r="EM112" s="47"/>
      <c r="EN112" s="47"/>
      <c r="EO112" s="47"/>
      <c r="EP112" s="47"/>
      <c r="EQ112" s="47"/>
      <c r="ER112" s="47"/>
      <c r="ES112" s="47"/>
      <c r="ET112" s="47"/>
      <c r="EU112" s="47"/>
      <c r="EV112" s="47"/>
      <c r="EW112" s="47"/>
      <c r="EX112" s="47"/>
      <c r="EY112" s="47"/>
      <c r="EZ112" s="47"/>
      <c r="FA112" s="47"/>
      <c r="FB112" s="47"/>
      <c r="FC112" s="47"/>
      <c r="FD112" s="47"/>
      <c r="FE112" s="47"/>
      <c r="FF112" s="47"/>
      <c r="FG112" s="47"/>
      <c r="FH112" s="47"/>
      <c r="FI112" s="47"/>
      <c r="FJ112" s="47"/>
      <c r="FK112" s="47"/>
      <c r="FL112" s="47"/>
      <c r="FM112" s="47"/>
      <c r="FN112" s="47"/>
      <c r="FO112" s="47"/>
      <c r="FP112" s="47"/>
      <c r="FQ112" s="47"/>
      <c r="FR112" s="47"/>
      <c r="FS112" s="47"/>
      <c r="FT112" s="47"/>
      <c r="FU112" s="47"/>
      <c r="FV112" s="47"/>
      <c r="FW112" s="47"/>
      <c r="FX112" s="47"/>
      <c r="FY112" s="47"/>
      <c r="FZ112" s="47"/>
      <c r="GA112" s="47"/>
      <c r="GB112" s="47"/>
      <c r="GC112" s="47"/>
      <c r="GD112" s="47"/>
      <c r="GE112" s="47"/>
      <c r="GF112" s="47"/>
      <c r="GG112" s="47"/>
      <c r="GH112" s="47"/>
      <c r="GI112" s="47"/>
      <c r="GJ112" s="47"/>
      <c r="GK112" s="47"/>
      <c r="GL112" s="47"/>
      <c r="GM112" s="47"/>
      <c r="GN112" s="47"/>
      <c r="GO112" s="47"/>
      <c r="GP112" s="47"/>
      <c r="GQ112" s="47"/>
      <c r="GR112" s="47"/>
      <c r="GS112" s="47"/>
      <c r="GT112" s="47"/>
      <c r="GU112" s="47"/>
      <c r="GV112" s="47"/>
      <c r="GW112" s="47"/>
      <c r="GX112" s="47"/>
      <c r="GY112" s="47"/>
      <c r="GZ112" s="47"/>
      <c r="HA112" s="47"/>
      <c r="HB112" s="47"/>
      <c r="HC112" s="47"/>
      <c r="HD112" s="47"/>
      <c r="HE112" s="47"/>
      <c r="HF112" s="47"/>
      <c r="HG112" s="47"/>
      <c r="HH112" s="47"/>
      <c r="HI112" s="47"/>
      <c r="HJ112" s="47"/>
      <c r="HK112" s="47"/>
      <c r="HL112" s="47"/>
      <c r="HM112" s="47"/>
      <c r="HN112" s="47"/>
      <c r="HO112" s="47"/>
      <c r="HP112" s="47"/>
      <c r="HQ112" s="47"/>
      <c r="HR112" s="47"/>
      <c r="HS112" s="47"/>
      <c r="HT112" s="47"/>
      <c r="HU112" s="47"/>
      <c r="HV112" s="47"/>
      <c r="HW112" s="47"/>
      <c r="HX112" s="47"/>
      <c r="HY112" s="47"/>
      <c r="HZ112" s="47"/>
      <c r="IA112" s="47"/>
      <c r="IB112" s="47"/>
      <c r="IC112" s="47"/>
      <c r="ID112" s="47"/>
      <c r="IE112" s="47"/>
      <c r="IF112" s="47"/>
      <c r="IG112" s="47"/>
      <c r="IH112" s="47"/>
      <c r="II112" s="47"/>
      <c r="IJ112" s="47"/>
      <c r="IK112" s="47"/>
      <c r="IL112" s="47"/>
      <c r="IM112" s="47"/>
      <c r="IN112" s="47"/>
      <c r="IO112" s="47"/>
      <c r="IP112" s="47"/>
      <c r="IQ112" s="47"/>
      <c r="IR112" s="47"/>
      <c r="IS112" s="47"/>
      <c r="IT112" s="47"/>
      <c r="IU112" s="47"/>
      <c r="IV112" s="47"/>
      <c r="IW112" s="1"/>
      <c r="IX112" s="1"/>
      <c r="IY112" s="1"/>
      <c r="IZ112" s="1"/>
      <c r="JA112" s="1"/>
      <c r="JB112" s="1"/>
      <c r="JC112" s="1"/>
      <c r="JD112" s="1"/>
      <c r="JE112" s="1"/>
      <c r="JF112" s="1"/>
      <c r="JG112" s="1"/>
      <c r="JH112" s="1"/>
      <c r="JI112" s="1"/>
      <c r="JJ112" s="1"/>
      <c r="JK112" s="1"/>
      <c r="JL112" s="1"/>
      <c r="JM112" s="1"/>
      <c r="JN112" s="1"/>
      <c r="JO112" s="1"/>
      <c r="JP112" s="1"/>
      <c r="JQ112" s="1"/>
      <c r="JR112" s="1"/>
      <c r="JS112" s="1"/>
      <c r="JT112" s="1"/>
      <c r="JU112" s="1"/>
      <c r="JV112" s="1"/>
      <c r="JW112" s="1"/>
      <c r="JX112" s="1"/>
      <c r="JY112" s="1"/>
      <c r="JZ112" s="1"/>
      <c r="KA112" s="1"/>
      <c r="KB112" s="1"/>
      <c r="KC112" s="1"/>
      <c r="KD112" s="1"/>
      <c r="KE112" s="1"/>
      <c r="KF112" s="1"/>
      <c r="KG112" s="1"/>
      <c r="KH112" s="1"/>
      <c r="KI112" s="1"/>
      <c r="KJ112" s="1"/>
      <c r="KK112" s="1"/>
      <c r="KL112" s="1"/>
      <c r="KM112" s="1"/>
      <c r="KN112" s="1"/>
      <c r="KO112" s="1"/>
      <c r="KP112" s="1"/>
      <c r="KQ112" s="1"/>
      <c r="KR112" s="1"/>
      <c r="KS112" s="1"/>
      <c r="KT112" s="1"/>
      <c r="KU112" s="1"/>
      <c r="KV112" s="1"/>
      <c r="KW112" s="1"/>
      <c r="KX112" s="1"/>
      <c r="KY112" s="1"/>
      <c r="KZ112" s="1"/>
      <c r="LA112" s="1"/>
      <c r="LB112" s="1"/>
      <c r="LC112" s="1"/>
      <c r="LD112" s="1"/>
      <c r="LE112" s="1"/>
      <c r="LF112" s="1"/>
      <c r="LG112" s="1"/>
      <c r="LH112" s="1"/>
      <c r="LI112" s="1"/>
      <c r="LJ112" s="1"/>
      <c r="LK112" s="1"/>
      <c r="LL112" s="1"/>
      <c r="LM112" s="1"/>
      <c r="LN112" s="1"/>
      <c r="LO112" s="1"/>
      <c r="LP112" s="1"/>
      <c r="LQ112" s="1"/>
      <c r="LR112" s="1"/>
      <c r="LS112" s="1"/>
      <c r="LT112" s="1"/>
      <c r="LU112" s="1"/>
      <c r="LV112" s="1"/>
      <c r="LW112" s="1"/>
      <c r="LX112" s="1"/>
      <c r="LY112" s="1"/>
      <c r="LZ112" s="1"/>
      <c r="MA112" s="1"/>
      <c r="MB112" s="1"/>
      <c r="MC112" s="1"/>
      <c r="MD112" s="1"/>
      <c r="ME112" s="1"/>
      <c r="MF112" s="1"/>
      <c r="MG112" s="1"/>
      <c r="MH112" s="1"/>
      <c r="MI112" s="1"/>
      <c r="MJ112" s="1"/>
      <c r="MK112" s="1"/>
      <c r="ML112" s="1"/>
      <c r="MM112" s="1"/>
      <c r="MN112" s="1"/>
      <c r="MO112" s="1"/>
      <c r="MP112" s="1"/>
      <c r="MQ112" s="1"/>
      <c r="MR112" s="1"/>
      <c r="MS112" s="1"/>
      <c r="MT112" s="1"/>
      <c r="MU112" s="1"/>
      <c r="MV112" s="1"/>
      <c r="MW112" s="1"/>
      <c r="MX112" s="1"/>
      <c r="MY112" s="1"/>
      <c r="MZ112" s="1"/>
      <c r="NA112" s="1"/>
      <c r="NB112" s="1"/>
      <c r="ND112" s="53">
        <v>7.7999999999999903E-2</v>
      </c>
      <c r="NE112" s="47">
        <v>2921.1503838196868</v>
      </c>
      <c r="NF112" s="13">
        <v>0.55500000000000005</v>
      </c>
      <c r="NG112" s="1">
        <f>Combine!A114</f>
        <v>48030</v>
      </c>
      <c r="NH112" s="14">
        <f>Combine!F114</f>
        <v>144265.67585263299</v>
      </c>
    </row>
    <row r="113" spans="1:372" ht="12.75" customHeight="1" x14ac:dyDescent="0.3">
      <c r="A113" s="59"/>
      <c r="D113" s="61"/>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c r="BQ113" s="47"/>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c r="CO113" s="47"/>
      <c r="CP113" s="47"/>
      <c r="CQ113" s="47"/>
      <c r="CR113" s="47"/>
      <c r="CS113" s="47"/>
      <c r="CT113" s="47"/>
      <c r="CU113" s="47"/>
      <c r="CV113" s="47"/>
      <c r="CW113" s="47"/>
      <c r="CX113" s="47"/>
      <c r="CY113" s="47"/>
      <c r="CZ113" s="47"/>
      <c r="DA113" s="47"/>
      <c r="DB113" s="47"/>
      <c r="DC113" s="47"/>
      <c r="DD113" s="47"/>
      <c r="DE113" s="47"/>
      <c r="DF113" s="47"/>
      <c r="DG113" s="47"/>
      <c r="DH113" s="47"/>
      <c r="DI113" s="47"/>
      <c r="DJ113" s="47"/>
      <c r="DK113" s="47"/>
      <c r="DL113" s="47"/>
      <c r="DM113" s="47"/>
      <c r="DN113" s="47"/>
      <c r="DO113" s="47"/>
      <c r="DP113" s="47"/>
      <c r="DQ113" s="47"/>
      <c r="DR113" s="47"/>
      <c r="DS113" s="47"/>
      <c r="DT113" s="47"/>
      <c r="DU113" s="47"/>
      <c r="DV113" s="47"/>
      <c r="DW113" s="47"/>
      <c r="DX113" s="47"/>
      <c r="DY113" s="47"/>
      <c r="DZ113" s="47"/>
      <c r="EA113" s="47"/>
      <c r="EB113" s="47"/>
      <c r="EC113" s="47"/>
      <c r="ED113" s="47"/>
      <c r="EE113" s="47"/>
      <c r="EF113" s="47"/>
      <c r="EG113" s="47"/>
      <c r="EH113" s="47"/>
      <c r="EI113" s="47"/>
      <c r="EJ113" s="47"/>
      <c r="EK113" s="47"/>
      <c r="EL113" s="47"/>
      <c r="EM113" s="47"/>
      <c r="EN113" s="47"/>
      <c r="EO113" s="47"/>
      <c r="EP113" s="47"/>
      <c r="EQ113" s="47"/>
      <c r="ER113" s="47"/>
      <c r="ES113" s="47"/>
      <c r="ET113" s="47"/>
      <c r="EU113" s="47"/>
      <c r="EV113" s="47"/>
      <c r="EW113" s="47"/>
      <c r="EX113" s="47"/>
      <c r="EY113" s="47"/>
      <c r="EZ113" s="47"/>
      <c r="FA113" s="47"/>
      <c r="FB113" s="47"/>
      <c r="FC113" s="47"/>
      <c r="FD113" s="47"/>
      <c r="FE113" s="47"/>
      <c r="FF113" s="47"/>
      <c r="FG113" s="47"/>
      <c r="FH113" s="47"/>
      <c r="FI113" s="47"/>
      <c r="FJ113" s="47"/>
      <c r="FK113" s="47"/>
      <c r="FL113" s="47"/>
      <c r="FM113" s="47"/>
      <c r="FN113" s="47"/>
      <c r="FO113" s="47"/>
      <c r="FP113" s="47"/>
      <c r="FQ113" s="47"/>
      <c r="FR113" s="47"/>
      <c r="FS113" s="47"/>
      <c r="FT113" s="47"/>
      <c r="FU113" s="47"/>
      <c r="FV113" s="47"/>
      <c r="FW113" s="47"/>
      <c r="FX113" s="47"/>
      <c r="FY113" s="47"/>
      <c r="FZ113" s="47"/>
      <c r="GA113" s="47"/>
      <c r="GB113" s="47"/>
      <c r="GC113" s="47"/>
      <c r="GD113" s="47"/>
      <c r="GE113" s="47"/>
      <c r="GF113" s="47"/>
      <c r="GG113" s="47"/>
      <c r="GH113" s="47"/>
      <c r="GI113" s="47"/>
      <c r="GJ113" s="47"/>
      <c r="GK113" s="47"/>
      <c r="GL113" s="47"/>
      <c r="GM113" s="47"/>
      <c r="GN113" s="47"/>
      <c r="GO113" s="47"/>
      <c r="GP113" s="47"/>
      <c r="GQ113" s="47"/>
      <c r="GR113" s="47"/>
      <c r="GS113" s="47"/>
      <c r="GT113" s="47"/>
      <c r="GU113" s="47"/>
      <c r="GV113" s="47"/>
      <c r="GW113" s="47"/>
      <c r="GX113" s="47"/>
      <c r="GY113" s="47"/>
      <c r="GZ113" s="47"/>
      <c r="HA113" s="47"/>
      <c r="HB113" s="47"/>
      <c r="HC113" s="47"/>
      <c r="HD113" s="47"/>
      <c r="HE113" s="47"/>
      <c r="HF113" s="47"/>
      <c r="HG113" s="47"/>
      <c r="HH113" s="47"/>
      <c r="HI113" s="47"/>
      <c r="HJ113" s="47"/>
      <c r="HK113" s="47"/>
      <c r="HL113" s="47"/>
      <c r="HM113" s="47"/>
      <c r="HN113" s="47"/>
      <c r="HO113" s="47"/>
      <c r="HP113" s="47"/>
      <c r="HQ113" s="47"/>
      <c r="HR113" s="47"/>
      <c r="HS113" s="47"/>
      <c r="HT113" s="47"/>
      <c r="HU113" s="47"/>
      <c r="HV113" s="47"/>
      <c r="HW113" s="47"/>
      <c r="HX113" s="47"/>
      <c r="HY113" s="47"/>
      <c r="HZ113" s="47"/>
      <c r="IA113" s="47"/>
      <c r="IB113" s="47"/>
      <c r="IC113" s="47"/>
      <c r="ID113" s="47"/>
      <c r="IE113" s="47"/>
      <c r="IF113" s="47"/>
      <c r="IG113" s="47"/>
      <c r="IH113" s="47"/>
      <c r="II113" s="47"/>
      <c r="IJ113" s="47"/>
      <c r="IK113" s="47"/>
      <c r="IL113" s="47"/>
      <c r="IM113" s="47"/>
      <c r="IN113" s="47"/>
      <c r="IO113" s="47"/>
      <c r="IP113" s="47"/>
      <c r="IQ113" s="47"/>
      <c r="IR113" s="47"/>
      <c r="IS113" s="47"/>
      <c r="IT113" s="47"/>
      <c r="IU113" s="47"/>
      <c r="IV113" s="47"/>
      <c r="IW113" s="1"/>
      <c r="IX113" s="1"/>
      <c r="IY113" s="1"/>
      <c r="IZ113" s="1"/>
      <c r="JA113" s="1"/>
      <c r="JB113" s="1"/>
      <c r="JC113" s="1"/>
      <c r="JD113" s="1"/>
      <c r="JE113" s="1"/>
      <c r="JF113" s="1"/>
      <c r="JG113" s="1"/>
      <c r="JH113" s="1"/>
      <c r="JI113" s="1"/>
      <c r="JJ113" s="1"/>
      <c r="JK113" s="1"/>
      <c r="JL113" s="1"/>
      <c r="JM113" s="1"/>
      <c r="JN113" s="1"/>
      <c r="JO113" s="1"/>
      <c r="JP113" s="1"/>
      <c r="JQ113" s="1"/>
      <c r="JR113" s="1"/>
      <c r="JS113" s="1"/>
      <c r="JT113" s="1"/>
      <c r="JU113" s="1"/>
      <c r="JV113" s="1"/>
      <c r="JW113" s="1"/>
      <c r="JX113" s="1"/>
      <c r="JY113" s="1"/>
      <c r="JZ113" s="1"/>
      <c r="KA113" s="1"/>
      <c r="KB113" s="1"/>
      <c r="KC113" s="1"/>
      <c r="KD113" s="1"/>
      <c r="KE113" s="1"/>
      <c r="KF113" s="1"/>
      <c r="KG113" s="1"/>
      <c r="KH113" s="1"/>
      <c r="KI113" s="1"/>
      <c r="KJ113" s="1"/>
      <c r="KK113" s="1"/>
      <c r="KL113" s="1"/>
      <c r="KM113" s="1"/>
      <c r="KN113" s="1"/>
      <c r="KO113" s="1"/>
      <c r="KP113" s="1"/>
      <c r="KQ113" s="1"/>
      <c r="KR113" s="1"/>
      <c r="KS113" s="1"/>
      <c r="KT113" s="1"/>
      <c r="KU113" s="1"/>
      <c r="KV113" s="1"/>
      <c r="KW113" s="1"/>
      <c r="KX113" s="1"/>
      <c r="KY113" s="1"/>
      <c r="KZ113" s="1"/>
      <c r="LA113" s="1"/>
      <c r="LB113" s="1"/>
      <c r="LC113" s="1"/>
      <c r="LD113" s="1"/>
      <c r="LE113" s="1"/>
      <c r="LF113" s="1"/>
      <c r="LG113" s="1"/>
      <c r="LH113" s="1"/>
      <c r="LI113" s="1"/>
      <c r="LJ113" s="1"/>
      <c r="LK113" s="1"/>
      <c r="LL113" s="1"/>
      <c r="LM113" s="1"/>
      <c r="LN113" s="1"/>
      <c r="LO113" s="1"/>
      <c r="LP113" s="1"/>
      <c r="LQ113" s="1"/>
      <c r="LR113" s="1"/>
      <c r="LS113" s="1"/>
      <c r="LT113" s="1"/>
      <c r="LU113" s="1"/>
      <c r="LV113" s="1"/>
      <c r="LW113" s="1"/>
      <c r="LX113" s="1"/>
      <c r="LY113" s="1"/>
      <c r="LZ113" s="1"/>
      <c r="MA113" s="1"/>
      <c r="MB113" s="1"/>
      <c r="MC113" s="1"/>
      <c r="MD113" s="1"/>
      <c r="ME113" s="1"/>
      <c r="MF113" s="1"/>
      <c r="MG113" s="1"/>
      <c r="MH113" s="1"/>
      <c r="MI113" s="1"/>
      <c r="MJ113" s="1"/>
      <c r="MK113" s="1"/>
      <c r="ML113" s="1"/>
      <c r="MM113" s="1"/>
      <c r="MN113" s="1"/>
      <c r="MO113" s="1"/>
      <c r="MP113" s="1"/>
      <c r="MQ113" s="1"/>
      <c r="MR113" s="1"/>
      <c r="MS113" s="1"/>
      <c r="MT113" s="1"/>
      <c r="MU113" s="1"/>
      <c r="MV113" s="1"/>
      <c r="MW113" s="1"/>
      <c r="MX113" s="1"/>
      <c r="MY113" s="1"/>
      <c r="MZ113" s="1"/>
      <c r="NA113" s="1"/>
      <c r="NB113" s="1"/>
      <c r="ND113" s="53">
        <v>7.8999999999999904E-2</v>
      </c>
      <c r="NE113" s="47">
        <v>761.20174276950934</v>
      </c>
      <c r="NF113" s="13">
        <v>0.56000000000000005</v>
      </c>
      <c r="NG113" s="1">
        <f>Combine!A115</f>
        <v>48201</v>
      </c>
      <c r="NH113" s="14">
        <f>Combine!F115</f>
        <v>438189.568337087</v>
      </c>
    </row>
    <row r="114" spans="1:372" ht="12.75" customHeight="1" x14ac:dyDescent="0.3">
      <c r="A114" s="59"/>
      <c r="D114" s="61"/>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c r="BQ114" s="47"/>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c r="CO114" s="47"/>
      <c r="CP114" s="47"/>
      <c r="CQ114" s="47"/>
      <c r="CR114" s="47"/>
      <c r="CS114" s="47"/>
      <c r="CT114" s="47"/>
      <c r="CU114" s="47"/>
      <c r="CV114" s="47"/>
      <c r="CW114" s="47"/>
      <c r="CX114" s="47"/>
      <c r="CY114" s="47"/>
      <c r="CZ114" s="47"/>
      <c r="DA114" s="47"/>
      <c r="DB114" s="47"/>
      <c r="DC114" s="47"/>
      <c r="DD114" s="47"/>
      <c r="DE114" s="47"/>
      <c r="DF114" s="47"/>
      <c r="DG114" s="47"/>
      <c r="DH114" s="47"/>
      <c r="DI114" s="47"/>
      <c r="DJ114" s="47"/>
      <c r="DK114" s="47"/>
      <c r="DL114" s="47"/>
      <c r="DM114" s="47"/>
      <c r="DN114" s="47"/>
      <c r="DO114" s="47"/>
      <c r="DP114" s="47"/>
      <c r="DQ114" s="47"/>
      <c r="DR114" s="47"/>
      <c r="DS114" s="47"/>
      <c r="DT114" s="47"/>
      <c r="DU114" s="47"/>
      <c r="DV114" s="47"/>
      <c r="DW114" s="47"/>
      <c r="DX114" s="47"/>
      <c r="DY114" s="47"/>
      <c r="DZ114" s="47"/>
      <c r="EA114" s="47"/>
      <c r="EB114" s="47"/>
      <c r="EC114" s="47"/>
      <c r="ED114" s="47"/>
      <c r="EE114" s="47"/>
      <c r="EF114" s="47"/>
      <c r="EG114" s="47"/>
      <c r="EH114" s="47"/>
      <c r="EI114" s="47"/>
      <c r="EJ114" s="47"/>
      <c r="EK114" s="47"/>
      <c r="EL114" s="47"/>
      <c r="EM114" s="47"/>
      <c r="EN114" s="47"/>
      <c r="EO114" s="47"/>
      <c r="EP114" s="47"/>
      <c r="EQ114" s="47"/>
      <c r="ER114" s="47"/>
      <c r="ES114" s="47"/>
      <c r="ET114" s="47"/>
      <c r="EU114" s="47"/>
      <c r="EV114" s="47"/>
      <c r="EW114" s="47"/>
      <c r="EX114" s="47"/>
      <c r="EY114" s="47"/>
      <c r="EZ114" s="47"/>
      <c r="FA114" s="47"/>
      <c r="FB114" s="47"/>
      <c r="FC114" s="47"/>
      <c r="FD114" s="47"/>
      <c r="FE114" s="47"/>
      <c r="FF114" s="47"/>
      <c r="FG114" s="47"/>
      <c r="FH114" s="47"/>
      <c r="FI114" s="47"/>
      <c r="FJ114" s="47"/>
      <c r="FK114" s="47"/>
      <c r="FL114" s="47"/>
      <c r="FM114" s="47"/>
      <c r="FN114" s="47"/>
      <c r="FO114" s="47"/>
      <c r="FP114" s="47"/>
      <c r="FQ114" s="47"/>
      <c r="FR114" s="47"/>
      <c r="FS114" s="47"/>
      <c r="FT114" s="47"/>
      <c r="FU114" s="47"/>
      <c r="FV114" s="47"/>
      <c r="FW114" s="47"/>
      <c r="FX114" s="47"/>
      <c r="FY114" s="47"/>
      <c r="FZ114" s="47"/>
      <c r="GA114" s="47"/>
      <c r="GB114" s="47"/>
      <c r="GC114" s="47"/>
      <c r="GD114" s="47"/>
      <c r="GE114" s="47"/>
      <c r="GF114" s="47"/>
      <c r="GG114" s="47"/>
      <c r="GH114" s="47"/>
      <c r="GI114" s="47"/>
      <c r="GJ114" s="47"/>
      <c r="GK114" s="47"/>
      <c r="GL114" s="47"/>
      <c r="GM114" s="47"/>
      <c r="GN114" s="47"/>
      <c r="GO114" s="47"/>
      <c r="GP114" s="47"/>
      <c r="GQ114" s="47"/>
      <c r="GR114" s="47"/>
      <c r="GS114" s="47"/>
      <c r="GT114" s="47"/>
      <c r="GU114" s="47"/>
      <c r="GV114" s="47"/>
      <c r="GW114" s="47"/>
      <c r="GX114" s="47"/>
      <c r="GY114" s="47"/>
      <c r="GZ114" s="47"/>
      <c r="HA114" s="47"/>
      <c r="HB114" s="47"/>
      <c r="HC114" s="47"/>
      <c r="HD114" s="47"/>
      <c r="HE114" s="47"/>
      <c r="HF114" s="47"/>
      <c r="HG114" s="47"/>
      <c r="HH114" s="47"/>
      <c r="HI114" s="47"/>
      <c r="HJ114" s="47"/>
      <c r="HK114" s="47"/>
      <c r="HL114" s="47"/>
      <c r="HM114" s="47"/>
      <c r="HN114" s="47"/>
      <c r="HO114" s="47"/>
      <c r="HP114" s="47"/>
      <c r="HQ114" s="47"/>
      <c r="HR114" s="47"/>
      <c r="HS114" s="47"/>
      <c r="HT114" s="47"/>
      <c r="HU114" s="47"/>
      <c r="HV114" s="47"/>
      <c r="HW114" s="47"/>
      <c r="HX114" s="47"/>
      <c r="HY114" s="47"/>
      <c r="HZ114" s="47"/>
      <c r="IA114" s="47"/>
      <c r="IB114" s="47"/>
      <c r="IC114" s="47"/>
      <c r="ID114" s="47"/>
      <c r="IE114" s="47"/>
      <c r="IF114" s="47"/>
      <c r="IG114" s="47"/>
      <c r="IH114" s="47"/>
      <c r="II114" s="47"/>
      <c r="IJ114" s="47"/>
      <c r="IK114" s="47"/>
      <c r="IL114" s="47"/>
      <c r="IM114" s="47"/>
      <c r="IN114" s="47"/>
      <c r="IO114" s="47"/>
      <c r="IP114" s="47"/>
      <c r="IQ114" s="47"/>
      <c r="IR114" s="47"/>
      <c r="IS114" s="47"/>
      <c r="IT114" s="47"/>
      <c r="IU114" s="47"/>
      <c r="IV114" s="47"/>
      <c r="IW114" s="1"/>
      <c r="IX114" s="1"/>
      <c r="IY114" s="1"/>
      <c r="IZ114" s="1"/>
      <c r="JA114" s="1"/>
      <c r="JB114" s="1"/>
      <c r="JC114" s="1"/>
      <c r="JD114" s="1"/>
      <c r="JE114" s="1"/>
      <c r="JF114" s="1"/>
      <c r="JG114" s="1"/>
      <c r="JH114" s="1"/>
      <c r="JI114" s="1"/>
      <c r="JJ114" s="1"/>
      <c r="JK114" s="1"/>
      <c r="JL114" s="1"/>
      <c r="JM114" s="1"/>
      <c r="JN114" s="1"/>
      <c r="JO114" s="1"/>
      <c r="JP114" s="1"/>
      <c r="JQ114" s="1"/>
      <c r="JR114" s="1"/>
      <c r="JS114" s="1"/>
      <c r="JT114" s="1"/>
      <c r="JU114" s="1"/>
      <c r="JV114" s="1"/>
      <c r="JW114" s="1"/>
      <c r="JX114" s="1"/>
      <c r="JY114" s="1"/>
      <c r="JZ114" s="1"/>
      <c r="KA114" s="1"/>
      <c r="KB114" s="1"/>
      <c r="KC114" s="1"/>
      <c r="KD114" s="1"/>
      <c r="KE114" s="1"/>
      <c r="KF114" s="1"/>
      <c r="KG114" s="1"/>
      <c r="KH114" s="1"/>
      <c r="KI114" s="1"/>
      <c r="KJ114" s="1"/>
      <c r="KK114" s="1"/>
      <c r="KL114" s="1"/>
      <c r="KM114" s="1"/>
      <c r="KN114" s="1"/>
      <c r="KO114" s="1"/>
      <c r="KP114" s="1"/>
      <c r="KQ114" s="1"/>
      <c r="KR114" s="1"/>
      <c r="KS114" s="1"/>
      <c r="KT114" s="1"/>
      <c r="KU114" s="1"/>
      <c r="KV114" s="1"/>
      <c r="KW114" s="1"/>
      <c r="KX114" s="1"/>
      <c r="KY114" s="1"/>
      <c r="KZ114" s="1"/>
      <c r="LA114" s="1"/>
      <c r="LB114" s="1"/>
      <c r="LC114" s="1"/>
      <c r="LD114" s="1"/>
      <c r="LE114" s="1"/>
      <c r="LF114" s="1"/>
      <c r="LG114" s="1"/>
      <c r="LH114" s="1"/>
      <c r="LI114" s="1"/>
      <c r="LJ114" s="1"/>
      <c r="LK114" s="1"/>
      <c r="LL114" s="1"/>
      <c r="LM114" s="1"/>
      <c r="LN114" s="1"/>
      <c r="LO114" s="1"/>
      <c r="LP114" s="1"/>
      <c r="LQ114" s="1"/>
      <c r="LR114" s="1"/>
      <c r="LS114" s="1"/>
      <c r="LT114" s="1"/>
      <c r="LU114" s="1"/>
      <c r="LV114" s="1"/>
      <c r="LW114" s="1"/>
      <c r="LX114" s="1"/>
      <c r="LY114" s="1"/>
      <c r="LZ114" s="1"/>
      <c r="MA114" s="1"/>
      <c r="MB114" s="1"/>
      <c r="MC114" s="1"/>
      <c r="MD114" s="1"/>
      <c r="ME114" s="1"/>
      <c r="MF114" s="1"/>
      <c r="MG114" s="1"/>
      <c r="MH114" s="1"/>
      <c r="MI114" s="1"/>
      <c r="MJ114" s="1"/>
      <c r="MK114" s="1"/>
      <c r="ML114" s="1"/>
      <c r="MM114" s="1"/>
      <c r="MN114" s="1"/>
      <c r="MO114" s="1"/>
      <c r="MP114" s="1"/>
      <c r="MQ114" s="1"/>
      <c r="MR114" s="1"/>
      <c r="MS114" s="1"/>
      <c r="MT114" s="1"/>
      <c r="MU114" s="1"/>
      <c r="MV114" s="1"/>
      <c r="MW114" s="1"/>
      <c r="MX114" s="1"/>
      <c r="MY114" s="1"/>
      <c r="MZ114" s="1"/>
      <c r="NA114" s="1"/>
      <c r="NB114" s="1"/>
      <c r="ND114" s="53">
        <v>7.9999999999999905E-2</v>
      </c>
      <c r="NE114" s="47">
        <v>-1402.2919549403259</v>
      </c>
      <c r="NF114" s="13">
        <v>0.56499999999999995</v>
      </c>
      <c r="NG114" s="1">
        <f>Combine!A116</f>
        <v>48206</v>
      </c>
      <c r="NH114" s="14">
        <f>Combine!F116</f>
        <v>71091.179204868895</v>
      </c>
    </row>
    <row r="115" spans="1:372" ht="12.75" customHeight="1" x14ac:dyDescent="0.3">
      <c r="A115" s="59"/>
      <c r="D115" s="61"/>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c r="AW115" s="47"/>
      <c r="AX115" s="47"/>
      <c r="AY115" s="47"/>
      <c r="AZ115" s="47"/>
      <c r="BA115" s="47"/>
      <c r="BB115" s="47"/>
      <c r="BC115" s="47"/>
      <c r="BD115" s="47"/>
      <c r="BE115" s="47"/>
      <c r="BF115" s="47"/>
      <c r="BG115" s="47"/>
      <c r="BH115" s="47"/>
      <c r="BI115" s="47"/>
      <c r="BJ115" s="47"/>
      <c r="BK115" s="47"/>
      <c r="BL115" s="47"/>
      <c r="BM115" s="47"/>
      <c r="BN115" s="47"/>
      <c r="BO115" s="47"/>
      <c r="BP115" s="47"/>
      <c r="BQ115" s="47"/>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c r="CO115" s="47"/>
      <c r="CP115" s="47"/>
      <c r="CQ115" s="47"/>
      <c r="CR115" s="47"/>
      <c r="CS115" s="47"/>
      <c r="CT115" s="47"/>
      <c r="CU115" s="47"/>
      <c r="CV115" s="47"/>
      <c r="CW115" s="47"/>
      <c r="CX115" s="47"/>
      <c r="CY115" s="47"/>
      <c r="CZ115" s="47"/>
      <c r="DA115" s="47"/>
      <c r="DB115" s="47"/>
      <c r="DC115" s="47"/>
      <c r="DD115" s="47"/>
      <c r="DE115" s="47"/>
      <c r="DF115" s="47"/>
      <c r="DG115" s="47"/>
      <c r="DH115" s="47"/>
      <c r="DI115" s="47"/>
      <c r="DJ115" s="47"/>
      <c r="DK115" s="47"/>
      <c r="DL115" s="47"/>
      <c r="DM115" s="47"/>
      <c r="DN115" s="47"/>
      <c r="DO115" s="47"/>
      <c r="DP115" s="47"/>
      <c r="DQ115" s="47"/>
      <c r="DR115" s="47"/>
      <c r="DS115" s="47"/>
      <c r="DT115" s="47"/>
      <c r="DU115" s="47"/>
      <c r="DV115" s="47"/>
      <c r="DW115" s="47"/>
      <c r="DX115" s="47"/>
      <c r="DY115" s="47"/>
      <c r="DZ115" s="47"/>
      <c r="EA115" s="47"/>
      <c r="EB115" s="47"/>
      <c r="EC115" s="47"/>
      <c r="ED115" s="47"/>
      <c r="EE115" s="47"/>
      <c r="EF115" s="47"/>
      <c r="EG115" s="47"/>
      <c r="EH115" s="47"/>
      <c r="EI115" s="47"/>
      <c r="EJ115" s="47"/>
      <c r="EK115" s="47"/>
      <c r="EL115" s="47"/>
      <c r="EM115" s="47"/>
      <c r="EN115" s="47"/>
      <c r="EO115" s="47"/>
      <c r="EP115" s="47"/>
      <c r="EQ115" s="47"/>
      <c r="ER115" s="47"/>
      <c r="ES115" s="47"/>
      <c r="ET115" s="47"/>
      <c r="EU115" s="47"/>
      <c r="EV115" s="47"/>
      <c r="EW115" s="47"/>
      <c r="EX115" s="47"/>
      <c r="EY115" s="47"/>
      <c r="EZ115" s="47"/>
      <c r="FA115" s="47"/>
      <c r="FB115" s="47"/>
      <c r="FC115" s="47"/>
      <c r="FD115" s="47"/>
      <c r="FE115" s="47"/>
      <c r="FF115" s="47"/>
      <c r="FG115" s="47"/>
      <c r="FH115" s="47"/>
      <c r="FI115" s="47"/>
      <c r="FJ115" s="47"/>
      <c r="FK115" s="47"/>
      <c r="FL115" s="47"/>
      <c r="FM115" s="47"/>
      <c r="FN115" s="47"/>
      <c r="FO115" s="47"/>
      <c r="FP115" s="47"/>
      <c r="FQ115" s="47"/>
      <c r="FR115" s="47"/>
      <c r="FS115" s="47"/>
      <c r="FT115" s="47"/>
      <c r="FU115" s="47"/>
      <c r="FV115" s="47"/>
      <c r="FW115" s="47"/>
      <c r="FX115" s="47"/>
      <c r="FY115" s="47"/>
      <c r="FZ115" s="47"/>
      <c r="GA115" s="47"/>
      <c r="GB115" s="47"/>
      <c r="GC115" s="47"/>
      <c r="GD115" s="47"/>
      <c r="GE115" s="47"/>
      <c r="GF115" s="47"/>
      <c r="GG115" s="47"/>
      <c r="GH115" s="47"/>
      <c r="GI115" s="47"/>
      <c r="GJ115" s="47"/>
      <c r="GK115" s="47"/>
      <c r="GL115" s="47"/>
      <c r="GM115" s="47"/>
      <c r="GN115" s="47"/>
      <c r="GO115" s="47"/>
      <c r="GP115" s="47"/>
      <c r="GQ115" s="47"/>
      <c r="GR115" s="47"/>
      <c r="GS115" s="47"/>
      <c r="GT115" s="47"/>
      <c r="GU115" s="47"/>
      <c r="GV115" s="47"/>
      <c r="GW115" s="47"/>
      <c r="GX115" s="47"/>
      <c r="GY115" s="47"/>
      <c r="GZ115" s="47"/>
      <c r="HA115" s="47"/>
      <c r="HB115" s="47"/>
      <c r="HC115" s="47"/>
      <c r="HD115" s="47"/>
      <c r="HE115" s="47"/>
      <c r="HF115" s="47"/>
      <c r="HG115" s="47"/>
      <c r="HH115" s="47"/>
      <c r="HI115" s="47"/>
      <c r="HJ115" s="47"/>
      <c r="HK115" s="47"/>
      <c r="HL115" s="47"/>
      <c r="HM115" s="47"/>
      <c r="HN115" s="47"/>
      <c r="HO115" s="47"/>
      <c r="HP115" s="47"/>
      <c r="HQ115" s="47"/>
      <c r="HR115" s="47"/>
      <c r="HS115" s="47"/>
      <c r="HT115" s="47"/>
      <c r="HU115" s="47"/>
      <c r="HV115" s="47"/>
      <c r="HW115" s="47"/>
      <c r="HX115" s="47"/>
      <c r="HY115" s="47"/>
      <c r="HZ115" s="47"/>
      <c r="IA115" s="47"/>
      <c r="IB115" s="47"/>
      <c r="IC115" s="47"/>
      <c r="ID115" s="47"/>
      <c r="IE115" s="47"/>
      <c r="IF115" s="47"/>
      <c r="IG115" s="47"/>
      <c r="IH115" s="47"/>
      <c r="II115" s="47"/>
      <c r="IJ115" s="47"/>
      <c r="IK115" s="47"/>
      <c r="IL115" s="47"/>
      <c r="IM115" s="47"/>
      <c r="IN115" s="47"/>
      <c r="IO115" s="47"/>
      <c r="IP115" s="47"/>
      <c r="IQ115" s="47"/>
      <c r="IR115" s="47"/>
      <c r="IS115" s="47"/>
      <c r="IT115" s="47"/>
      <c r="IU115" s="47"/>
      <c r="IV115" s="47"/>
      <c r="IW115" s="1"/>
      <c r="IX115" s="1"/>
      <c r="IY115" s="1"/>
      <c r="IZ115" s="1"/>
      <c r="JA115" s="1"/>
      <c r="JB115" s="1"/>
      <c r="JC115" s="1"/>
      <c r="JD115" s="1"/>
      <c r="JE115" s="1"/>
      <c r="JF115" s="1"/>
      <c r="JG115" s="1"/>
      <c r="JH115" s="1"/>
      <c r="JI115" s="1"/>
      <c r="JJ115" s="1"/>
      <c r="JK115" s="1"/>
      <c r="JL115" s="1"/>
      <c r="JM115" s="1"/>
      <c r="JN115" s="1"/>
      <c r="JO115" s="1"/>
      <c r="JP115" s="1"/>
      <c r="JQ115" s="1"/>
      <c r="JR115" s="1"/>
      <c r="JS115" s="1"/>
      <c r="JT115" s="1"/>
      <c r="JU115" s="1"/>
      <c r="JV115" s="1"/>
      <c r="JW115" s="1"/>
      <c r="JX115" s="1"/>
      <c r="JY115" s="1"/>
      <c r="JZ115" s="1"/>
      <c r="KA115" s="1"/>
      <c r="KB115" s="1"/>
      <c r="KC115" s="1"/>
      <c r="KD115" s="1"/>
      <c r="KE115" s="1"/>
      <c r="KF115" s="1"/>
      <c r="KG115" s="1"/>
      <c r="KH115" s="1"/>
      <c r="KI115" s="1"/>
      <c r="KJ115" s="1"/>
      <c r="KK115" s="1"/>
      <c r="KL115" s="1"/>
      <c r="KM115" s="1"/>
      <c r="KN115" s="1"/>
      <c r="KO115" s="1"/>
      <c r="KP115" s="1"/>
      <c r="KQ115" s="1"/>
      <c r="KR115" s="1"/>
      <c r="KS115" s="1"/>
      <c r="KT115" s="1"/>
      <c r="KU115" s="1"/>
      <c r="KV115" s="1"/>
      <c r="KW115" s="1"/>
      <c r="KX115" s="1"/>
      <c r="KY115" s="1"/>
      <c r="KZ115" s="1"/>
      <c r="LA115" s="1"/>
      <c r="LB115" s="1"/>
      <c r="LC115" s="1"/>
      <c r="LD115" s="1"/>
      <c r="LE115" s="1"/>
      <c r="LF115" s="1"/>
      <c r="LG115" s="1"/>
      <c r="LH115" s="1"/>
      <c r="LI115" s="1"/>
      <c r="LJ115" s="1"/>
      <c r="LK115" s="1"/>
      <c r="LL115" s="1"/>
      <c r="LM115" s="1"/>
      <c r="LN115" s="1"/>
      <c r="LO115" s="1"/>
      <c r="LP115" s="1"/>
      <c r="LQ115" s="1"/>
      <c r="LR115" s="1"/>
      <c r="LS115" s="1"/>
      <c r="LT115" s="1"/>
      <c r="LU115" s="1"/>
      <c r="LV115" s="1"/>
      <c r="LW115" s="1"/>
      <c r="LX115" s="1"/>
      <c r="LY115" s="1"/>
      <c r="LZ115" s="1"/>
      <c r="MA115" s="1"/>
      <c r="MB115" s="1"/>
      <c r="MC115" s="1"/>
      <c r="MD115" s="1"/>
      <c r="ME115" s="1"/>
      <c r="MF115" s="1"/>
      <c r="MG115" s="1"/>
      <c r="MH115" s="1"/>
      <c r="MI115" s="1"/>
      <c r="MJ115" s="1"/>
      <c r="MK115" s="1"/>
      <c r="ML115" s="1"/>
      <c r="MM115" s="1"/>
      <c r="MN115" s="1"/>
      <c r="MO115" s="1"/>
      <c r="MP115" s="1"/>
      <c r="MQ115" s="1"/>
      <c r="MR115" s="1"/>
      <c r="MS115" s="1"/>
      <c r="MT115" s="1"/>
      <c r="MU115" s="1"/>
      <c r="MV115" s="1"/>
      <c r="MW115" s="1"/>
      <c r="MX115" s="1"/>
      <c r="MY115" s="1"/>
      <c r="MZ115" s="1"/>
      <c r="NA115" s="1"/>
      <c r="NB115" s="1"/>
      <c r="ND115" s="53">
        <v>8.0999999999999905E-2</v>
      </c>
      <c r="NE115" s="47">
        <v>-3569.2584941119571</v>
      </c>
      <c r="NF115" s="13">
        <v>0.56999999999999995</v>
      </c>
      <c r="NG115" s="1">
        <f>Combine!A117</f>
        <v>48230</v>
      </c>
      <c r="NH115" s="14">
        <f>Combine!F117</f>
        <v>430537.594692691</v>
      </c>
    </row>
    <row r="116" spans="1:372" ht="12.75" customHeight="1" x14ac:dyDescent="0.3">
      <c r="A116" s="59"/>
      <c r="D116" s="61"/>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c r="AW116" s="47"/>
      <c r="AX116" s="47"/>
      <c r="AY116" s="47"/>
      <c r="AZ116" s="47"/>
      <c r="BA116" s="47"/>
      <c r="BB116" s="47"/>
      <c r="BC116" s="47"/>
      <c r="BD116" s="47"/>
      <c r="BE116" s="47"/>
      <c r="BF116" s="47"/>
      <c r="BG116" s="47"/>
      <c r="BH116" s="47"/>
      <c r="BI116" s="47"/>
      <c r="BJ116" s="47"/>
      <c r="BK116" s="47"/>
      <c r="BL116" s="47"/>
      <c r="BM116" s="47"/>
      <c r="BN116" s="47"/>
      <c r="BO116" s="47"/>
      <c r="BP116" s="47"/>
      <c r="BQ116" s="47"/>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c r="CO116" s="47"/>
      <c r="CP116" s="47"/>
      <c r="CQ116" s="47"/>
      <c r="CR116" s="47"/>
      <c r="CS116" s="47"/>
      <c r="CT116" s="47"/>
      <c r="CU116" s="47"/>
      <c r="CV116" s="47"/>
      <c r="CW116" s="47"/>
      <c r="CX116" s="47"/>
      <c r="CY116" s="47"/>
      <c r="CZ116" s="47"/>
      <c r="DA116" s="47"/>
      <c r="DB116" s="47"/>
      <c r="DC116" s="47"/>
      <c r="DD116" s="47"/>
      <c r="DE116" s="47"/>
      <c r="DF116" s="47"/>
      <c r="DG116" s="47"/>
      <c r="DH116" s="47"/>
      <c r="DI116" s="47"/>
      <c r="DJ116" s="47"/>
      <c r="DK116" s="47"/>
      <c r="DL116" s="47"/>
      <c r="DM116" s="47"/>
      <c r="DN116" s="47"/>
      <c r="DO116" s="47"/>
      <c r="DP116" s="47"/>
      <c r="DQ116" s="47"/>
      <c r="DR116" s="47"/>
      <c r="DS116" s="47"/>
      <c r="DT116" s="47"/>
      <c r="DU116" s="47"/>
      <c r="DV116" s="47"/>
      <c r="DW116" s="47"/>
      <c r="DX116" s="47"/>
      <c r="DY116" s="47"/>
      <c r="DZ116" s="47"/>
      <c r="EA116" s="47"/>
      <c r="EB116" s="47"/>
      <c r="EC116" s="47"/>
      <c r="ED116" s="47"/>
      <c r="EE116" s="47"/>
      <c r="EF116" s="47"/>
      <c r="EG116" s="47"/>
      <c r="EH116" s="47"/>
      <c r="EI116" s="47"/>
      <c r="EJ116" s="47"/>
      <c r="EK116" s="47"/>
      <c r="EL116" s="47"/>
      <c r="EM116" s="47"/>
      <c r="EN116" s="47"/>
      <c r="EO116" s="47"/>
      <c r="EP116" s="47"/>
      <c r="EQ116" s="47"/>
      <c r="ER116" s="47"/>
      <c r="ES116" s="47"/>
      <c r="ET116" s="47"/>
      <c r="EU116" s="47"/>
      <c r="EV116" s="47"/>
      <c r="EW116" s="47"/>
      <c r="EX116" s="47"/>
      <c r="EY116" s="47"/>
      <c r="EZ116" s="47"/>
      <c r="FA116" s="47"/>
      <c r="FB116" s="47"/>
      <c r="FC116" s="47"/>
      <c r="FD116" s="47"/>
      <c r="FE116" s="47"/>
      <c r="FF116" s="47"/>
      <c r="FG116" s="47"/>
      <c r="FH116" s="47"/>
      <c r="FI116" s="47"/>
      <c r="FJ116" s="47"/>
      <c r="FK116" s="47"/>
      <c r="FL116" s="47"/>
      <c r="FM116" s="47"/>
      <c r="FN116" s="47"/>
      <c r="FO116" s="47"/>
      <c r="FP116" s="47"/>
      <c r="FQ116" s="47"/>
      <c r="FR116" s="47"/>
      <c r="FS116" s="47"/>
      <c r="FT116" s="47"/>
      <c r="FU116" s="47"/>
      <c r="FV116" s="47"/>
      <c r="FW116" s="47"/>
      <c r="FX116" s="47"/>
      <c r="FY116" s="47"/>
      <c r="FZ116" s="47"/>
      <c r="GA116" s="47"/>
      <c r="GB116" s="47"/>
      <c r="GC116" s="47"/>
      <c r="GD116" s="47"/>
      <c r="GE116" s="47"/>
      <c r="GF116" s="47"/>
      <c r="GG116" s="47"/>
      <c r="GH116" s="47"/>
      <c r="GI116" s="47"/>
      <c r="GJ116" s="47"/>
      <c r="GK116" s="47"/>
      <c r="GL116" s="47"/>
      <c r="GM116" s="47"/>
      <c r="GN116" s="47"/>
      <c r="GO116" s="47"/>
      <c r="GP116" s="47"/>
      <c r="GQ116" s="47"/>
      <c r="GR116" s="47"/>
      <c r="GS116" s="47"/>
      <c r="GT116" s="47"/>
      <c r="GU116" s="47"/>
      <c r="GV116" s="47"/>
      <c r="GW116" s="47"/>
      <c r="GX116" s="47"/>
      <c r="GY116" s="47"/>
      <c r="GZ116" s="47"/>
      <c r="HA116" s="47"/>
      <c r="HB116" s="47"/>
      <c r="HC116" s="47"/>
      <c r="HD116" s="47"/>
      <c r="HE116" s="47"/>
      <c r="HF116" s="47"/>
      <c r="HG116" s="47"/>
      <c r="HH116" s="47"/>
      <c r="HI116" s="47"/>
      <c r="HJ116" s="47"/>
      <c r="HK116" s="47"/>
      <c r="HL116" s="47"/>
      <c r="HM116" s="47"/>
      <c r="HN116" s="47"/>
      <c r="HO116" s="47"/>
      <c r="HP116" s="47"/>
      <c r="HQ116" s="47"/>
      <c r="HR116" s="47"/>
      <c r="HS116" s="47"/>
      <c r="HT116" s="47"/>
      <c r="HU116" s="47"/>
      <c r="HV116" s="47"/>
      <c r="HW116" s="47"/>
      <c r="HX116" s="47"/>
      <c r="HY116" s="47"/>
      <c r="HZ116" s="47"/>
      <c r="IA116" s="47"/>
      <c r="IB116" s="47"/>
      <c r="IC116" s="47"/>
      <c r="ID116" s="47"/>
      <c r="IE116" s="47"/>
      <c r="IF116" s="47"/>
      <c r="IG116" s="47"/>
      <c r="IH116" s="47"/>
      <c r="II116" s="47"/>
      <c r="IJ116" s="47"/>
      <c r="IK116" s="47"/>
      <c r="IL116" s="47"/>
      <c r="IM116" s="47"/>
      <c r="IN116" s="47"/>
      <c r="IO116" s="47"/>
      <c r="IP116" s="47"/>
      <c r="IQ116" s="47"/>
      <c r="IR116" s="47"/>
      <c r="IS116" s="47"/>
      <c r="IT116" s="47"/>
      <c r="IU116" s="47"/>
      <c r="IV116" s="47"/>
      <c r="IW116" s="1"/>
      <c r="IX116" s="1"/>
      <c r="IY116" s="1"/>
      <c r="IZ116" s="1"/>
      <c r="JA116" s="1"/>
      <c r="JB116" s="1"/>
      <c r="JC116" s="1"/>
      <c r="JD116" s="1"/>
      <c r="JE116" s="1"/>
      <c r="JF116" s="1"/>
      <c r="JG116" s="1"/>
      <c r="JH116" s="1"/>
      <c r="JI116" s="1"/>
      <c r="JJ116" s="1"/>
      <c r="JK116" s="1"/>
      <c r="JL116" s="1"/>
      <c r="JM116" s="1"/>
      <c r="JN116" s="1"/>
      <c r="JO116" s="1"/>
      <c r="JP116" s="1"/>
      <c r="JQ116" s="1"/>
      <c r="JR116" s="1"/>
      <c r="JS116" s="1"/>
      <c r="JT116" s="1"/>
      <c r="JU116" s="1"/>
      <c r="JV116" s="1"/>
      <c r="JW116" s="1"/>
      <c r="JX116" s="1"/>
      <c r="JY116" s="1"/>
      <c r="JZ116" s="1"/>
      <c r="KA116" s="1"/>
      <c r="KB116" s="1"/>
      <c r="KC116" s="1"/>
      <c r="KD116" s="1"/>
      <c r="KE116" s="1"/>
      <c r="KF116" s="1"/>
      <c r="KG116" s="1"/>
      <c r="KH116" s="1"/>
      <c r="KI116" s="1"/>
      <c r="KJ116" s="1"/>
      <c r="KK116" s="1"/>
      <c r="KL116" s="1"/>
      <c r="KM116" s="1"/>
      <c r="KN116" s="1"/>
      <c r="KO116" s="1"/>
      <c r="KP116" s="1"/>
      <c r="KQ116" s="1"/>
      <c r="KR116" s="1"/>
      <c r="KS116" s="1"/>
      <c r="KT116" s="1"/>
      <c r="KU116" s="1"/>
      <c r="KV116" s="1"/>
      <c r="KW116" s="1"/>
      <c r="KX116" s="1"/>
      <c r="KY116" s="1"/>
      <c r="KZ116" s="1"/>
      <c r="LA116" s="1"/>
      <c r="LB116" s="1"/>
      <c r="LC116" s="1"/>
      <c r="LD116" s="1"/>
      <c r="LE116" s="1"/>
      <c r="LF116" s="1"/>
      <c r="LG116" s="1"/>
      <c r="LH116" s="1"/>
      <c r="LI116" s="1"/>
      <c r="LJ116" s="1"/>
      <c r="LK116" s="1"/>
      <c r="LL116" s="1"/>
      <c r="LM116" s="1"/>
      <c r="LN116" s="1"/>
      <c r="LO116" s="1"/>
      <c r="LP116" s="1"/>
      <c r="LQ116" s="1"/>
      <c r="LR116" s="1"/>
      <c r="LS116" s="1"/>
      <c r="LT116" s="1"/>
      <c r="LU116" s="1"/>
      <c r="LV116" s="1"/>
      <c r="LW116" s="1"/>
      <c r="LX116" s="1"/>
      <c r="LY116" s="1"/>
      <c r="LZ116" s="1"/>
      <c r="MA116" s="1"/>
      <c r="MB116" s="1"/>
      <c r="MC116" s="1"/>
      <c r="MD116" s="1"/>
      <c r="ME116" s="1"/>
      <c r="MF116" s="1"/>
      <c r="MG116" s="1"/>
      <c r="MH116" s="1"/>
      <c r="MI116" s="1"/>
      <c r="MJ116" s="1"/>
      <c r="MK116" s="1"/>
      <c r="ML116" s="1"/>
      <c r="MM116" s="1"/>
      <c r="MN116" s="1"/>
      <c r="MO116" s="1"/>
      <c r="MP116" s="1"/>
      <c r="MQ116" s="1"/>
      <c r="MR116" s="1"/>
      <c r="MS116" s="1"/>
      <c r="MT116" s="1"/>
      <c r="MU116" s="1"/>
      <c r="MV116" s="1"/>
      <c r="MW116" s="1"/>
      <c r="MX116" s="1"/>
      <c r="MY116" s="1"/>
      <c r="MZ116" s="1"/>
      <c r="NA116" s="1"/>
      <c r="NB116" s="1"/>
      <c r="ND116" s="53">
        <v>8.1999999999999906E-2</v>
      </c>
      <c r="NE116" s="47">
        <v>-5739.6264298548276</v>
      </c>
      <c r="NF116" s="13">
        <v>0.57499999999999996</v>
      </c>
      <c r="NG116" s="1">
        <f>Combine!A118</f>
        <v>48202</v>
      </c>
      <c r="NH116" s="14">
        <f>Combine!F118</f>
        <v>159604.48734221299</v>
      </c>
    </row>
    <row r="117" spans="1:372" ht="12.75" customHeight="1" x14ac:dyDescent="0.3">
      <c r="A117" s="59"/>
      <c r="D117" s="61"/>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c r="AW117" s="47"/>
      <c r="AX117" s="47"/>
      <c r="AY117" s="47"/>
      <c r="AZ117" s="47"/>
      <c r="BA117" s="47"/>
      <c r="BB117" s="47"/>
      <c r="BC117" s="47"/>
      <c r="BD117" s="47"/>
      <c r="BE117" s="47"/>
      <c r="BF117" s="47"/>
      <c r="BG117" s="47"/>
      <c r="BH117" s="47"/>
      <c r="BI117" s="47"/>
      <c r="BJ117" s="47"/>
      <c r="BK117" s="47"/>
      <c r="BL117" s="47"/>
      <c r="BM117" s="47"/>
      <c r="BN117" s="47"/>
      <c r="BO117" s="47"/>
      <c r="BP117" s="47"/>
      <c r="BQ117" s="47"/>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c r="CO117" s="47"/>
      <c r="CP117" s="47"/>
      <c r="CQ117" s="47"/>
      <c r="CR117" s="47"/>
      <c r="CS117" s="47"/>
      <c r="CT117" s="47"/>
      <c r="CU117" s="47"/>
      <c r="CV117" s="47"/>
      <c r="CW117" s="47"/>
      <c r="CX117" s="47"/>
      <c r="CY117" s="47"/>
      <c r="CZ117" s="47"/>
      <c r="DA117" s="47"/>
      <c r="DB117" s="47"/>
      <c r="DC117" s="47"/>
      <c r="DD117" s="47"/>
      <c r="DE117" s="47"/>
      <c r="DF117" s="47"/>
      <c r="DG117" s="47"/>
      <c r="DH117" s="47"/>
      <c r="DI117" s="47"/>
      <c r="DJ117" s="47"/>
      <c r="DK117" s="47"/>
      <c r="DL117" s="47"/>
      <c r="DM117" s="47"/>
      <c r="DN117" s="47"/>
      <c r="DO117" s="47"/>
      <c r="DP117" s="47"/>
      <c r="DQ117" s="47"/>
      <c r="DR117" s="47"/>
      <c r="DS117" s="47"/>
      <c r="DT117" s="47"/>
      <c r="DU117" s="47"/>
      <c r="DV117" s="47"/>
      <c r="DW117" s="47"/>
      <c r="DX117" s="47"/>
      <c r="DY117" s="47"/>
      <c r="DZ117" s="47"/>
      <c r="EA117" s="47"/>
      <c r="EB117" s="47"/>
      <c r="EC117" s="47"/>
      <c r="ED117" s="47"/>
      <c r="EE117" s="47"/>
      <c r="EF117" s="47"/>
      <c r="EG117" s="47"/>
      <c r="EH117" s="47"/>
      <c r="EI117" s="47"/>
      <c r="EJ117" s="47"/>
      <c r="EK117" s="47"/>
      <c r="EL117" s="47"/>
      <c r="EM117" s="47"/>
      <c r="EN117" s="47"/>
      <c r="EO117" s="47"/>
      <c r="EP117" s="47"/>
      <c r="EQ117" s="47"/>
      <c r="ER117" s="47"/>
      <c r="ES117" s="47"/>
      <c r="ET117" s="47"/>
      <c r="EU117" s="47"/>
      <c r="EV117" s="47"/>
      <c r="EW117" s="47"/>
      <c r="EX117" s="47"/>
      <c r="EY117" s="47"/>
      <c r="EZ117" s="47"/>
      <c r="FA117" s="47"/>
      <c r="FB117" s="47"/>
      <c r="FC117" s="47"/>
      <c r="FD117" s="47"/>
      <c r="FE117" s="47"/>
      <c r="FF117" s="47"/>
      <c r="FG117" s="47"/>
      <c r="FH117" s="47"/>
      <c r="FI117" s="47"/>
      <c r="FJ117" s="47"/>
      <c r="FK117" s="47"/>
      <c r="FL117" s="47"/>
      <c r="FM117" s="47"/>
      <c r="FN117" s="47"/>
      <c r="FO117" s="47"/>
      <c r="FP117" s="47"/>
      <c r="FQ117" s="47"/>
      <c r="FR117" s="47"/>
      <c r="FS117" s="47"/>
      <c r="FT117" s="47"/>
      <c r="FU117" s="47"/>
      <c r="FV117" s="47"/>
      <c r="FW117" s="47"/>
      <c r="FX117" s="47"/>
      <c r="FY117" s="47"/>
      <c r="FZ117" s="47"/>
      <c r="GA117" s="47"/>
      <c r="GB117" s="47"/>
      <c r="GC117" s="47"/>
      <c r="GD117" s="47"/>
      <c r="GE117" s="47"/>
      <c r="GF117" s="47"/>
      <c r="GG117" s="47"/>
      <c r="GH117" s="47"/>
      <c r="GI117" s="47"/>
      <c r="GJ117" s="47"/>
      <c r="GK117" s="47"/>
      <c r="GL117" s="47"/>
      <c r="GM117" s="47"/>
      <c r="GN117" s="47"/>
      <c r="GO117" s="47"/>
      <c r="GP117" s="47"/>
      <c r="GQ117" s="47"/>
      <c r="GR117" s="47"/>
      <c r="GS117" s="47"/>
      <c r="GT117" s="47"/>
      <c r="GU117" s="47"/>
      <c r="GV117" s="47"/>
      <c r="GW117" s="47"/>
      <c r="GX117" s="47"/>
      <c r="GY117" s="47"/>
      <c r="GZ117" s="47"/>
      <c r="HA117" s="47"/>
      <c r="HB117" s="47"/>
      <c r="HC117" s="47"/>
      <c r="HD117" s="47"/>
      <c r="HE117" s="47"/>
      <c r="HF117" s="47"/>
      <c r="HG117" s="47"/>
      <c r="HH117" s="47"/>
      <c r="HI117" s="47"/>
      <c r="HJ117" s="47"/>
      <c r="HK117" s="47"/>
      <c r="HL117" s="47"/>
      <c r="HM117" s="47"/>
      <c r="HN117" s="47"/>
      <c r="HO117" s="47"/>
      <c r="HP117" s="47"/>
      <c r="HQ117" s="47"/>
      <c r="HR117" s="47"/>
      <c r="HS117" s="47"/>
      <c r="HT117" s="47"/>
      <c r="HU117" s="47"/>
      <c r="HV117" s="47"/>
      <c r="HW117" s="47"/>
      <c r="HX117" s="47"/>
      <c r="HY117" s="47"/>
      <c r="HZ117" s="47"/>
      <c r="IA117" s="47"/>
      <c r="IB117" s="47"/>
      <c r="IC117" s="47"/>
      <c r="ID117" s="47"/>
      <c r="IE117" s="47"/>
      <c r="IF117" s="47"/>
      <c r="IG117" s="47"/>
      <c r="IH117" s="47"/>
      <c r="II117" s="47"/>
      <c r="IJ117" s="47"/>
      <c r="IK117" s="47"/>
      <c r="IL117" s="47"/>
      <c r="IM117" s="47"/>
      <c r="IN117" s="47"/>
      <c r="IO117" s="47"/>
      <c r="IP117" s="47"/>
      <c r="IQ117" s="47"/>
      <c r="IR117" s="47"/>
      <c r="IS117" s="47"/>
      <c r="IT117" s="47"/>
      <c r="IU117" s="47"/>
      <c r="IV117" s="47"/>
      <c r="IW117" s="1"/>
      <c r="IX117" s="1"/>
      <c r="IY117" s="1"/>
      <c r="IZ117" s="1"/>
      <c r="JA117" s="1"/>
      <c r="JB117" s="1"/>
      <c r="JC117" s="1"/>
      <c r="JD117" s="1"/>
      <c r="JE117" s="1"/>
      <c r="JF117" s="1"/>
      <c r="JG117" s="1"/>
      <c r="JH117" s="1"/>
      <c r="JI117" s="1"/>
      <c r="JJ117" s="1"/>
      <c r="JK117" s="1"/>
      <c r="JL117" s="1"/>
      <c r="JM117" s="1"/>
      <c r="JN117" s="1"/>
      <c r="JO117" s="1"/>
      <c r="JP117" s="1"/>
      <c r="JQ117" s="1"/>
      <c r="JR117" s="1"/>
      <c r="JS117" s="1"/>
      <c r="JT117" s="1"/>
      <c r="JU117" s="1"/>
      <c r="JV117" s="1"/>
      <c r="JW117" s="1"/>
      <c r="JX117" s="1"/>
      <c r="JY117" s="1"/>
      <c r="JZ117" s="1"/>
      <c r="KA117" s="1"/>
      <c r="KB117" s="1"/>
      <c r="KC117" s="1"/>
      <c r="KD117" s="1"/>
      <c r="KE117" s="1"/>
      <c r="KF117" s="1"/>
      <c r="KG117" s="1"/>
      <c r="KH117" s="1"/>
      <c r="KI117" s="1"/>
      <c r="KJ117" s="1"/>
      <c r="KK117" s="1"/>
      <c r="KL117" s="1"/>
      <c r="KM117" s="1"/>
      <c r="KN117" s="1"/>
      <c r="KO117" s="1"/>
      <c r="KP117" s="1"/>
      <c r="KQ117" s="1"/>
      <c r="KR117" s="1"/>
      <c r="KS117" s="1"/>
      <c r="KT117" s="1"/>
      <c r="KU117" s="1"/>
      <c r="KV117" s="1"/>
      <c r="KW117" s="1"/>
      <c r="KX117" s="1"/>
      <c r="KY117" s="1"/>
      <c r="KZ117" s="1"/>
      <c r="LA117" s="1"/>
      <c r="LB117" s="1"/>
      <c r="LC117" s="1"/>
      <c r="LD117" s="1"/>
      <c r="LE117" s="1"/>
      <c r="LF117" s="1"/>
      <c r="LG117" s="1"/>
      <c r="LH117" s="1"/>
      <c r="LI117" s="1"/>
      <c r="LJ117" s="1"/>
      <c r="LK117" s="1"/>
      <c r="LL117" s="1"/>
      <c r="LM117" s="1"/>
      <c r="LN117" s="1"/>
      <c r="LO117" s="1"/>
      <c r="LP117" s="1"/>
      <c r="LQ117" s="1"/>
      <c r="LR117" s="1"/>
      <c r="LS117" s="1"/>
      <c r="LT117" s="1"/>
      <c r="LU117" s="1"/>
      <c r="LV117" s="1"/>
      <c r="LW117" s="1"/>
      <c r="LX117" s="1"/>
      <c r="LY117" s="1"/>
      <c r="LZ117" s="1"/>
      <c r="MA117" s="1"/>
      <c r="MB117" s="1"/>
      <c r="MC117" s="1"/>
      <c r="MD117" s="1"/>
      <c r="ME117" s="1"/>
      <c r="MF117" s="1"/>
      <c r="MG117" s="1"/>
      <c r="MH117" s="1"/>
      <c r="MI117" s="1"/>
      <c r="MJ117" s="1"/>
      <c r="MK117" s="1"/>
      <c r="ML117" s="1"/>
      <c r="MM117" s="1"/>
      <c r="MN117" s="1"/>
      <c r="MO117" s="1"/>
      <c r="MP117" s="1"/>
      <c r="MQ117" s="1"/>
      <c r="MR117" s="1"/>
      <c r="MS117" s="1"/>
      <c r="MT117" s="1"/>
      <c r="MU117" s="1"/>
      <c r="MV117" s="1"/>
      <c r="MW117" s="1"/>
      <c r="MX117" s="1"/>
      <c r="MY117" s="1"/>
      <c r="MZ117" s="1"/>
      <c r="NA117" s="1"/>
      <c r="NB117" s="1"/>
      <c r="ND117" s="53">
        <v>8.2999999999999893E-2</v>
      </c>
      <c r="NE117" s="47">
        <v>-7913.3250979603536</v>
      </c>
      <c r="NF117" s="13">
        <v>0.57999999999999996</v>
      </c>
      <c r="NG117" s="1">
        <f>Combine!A119</f>
        <v>48084</v>
      </c>
      <c r="NH117" s="14">
        <f>Combine!F119</f>
        <v>448361.57819014299</v>
      </c>
    </row>
    <row r="118" spans="1:372" ht="12.75" customHeight="1" x14ac:dyDescent="0.3">
      <c r="A118" s="59"/>
      <c r="D118" s="61"/>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c r="AW118" s="47"/>
      <c r="AX118" s="47"/>
      <c r="AY118" s="47"/>
      <c r="AZ118" s="47"/>
      <c r="BA118" s="47"/>
      <c r="BB118" s="47"/>
      <c r="BC118" s="47"/>
      <c r="BD118" s="47"/>
      <c r="BE118" s="47"/>
      <c r="BF118" s="47"/>
      <c r="BG118" s="47"/>
      <c r="BH118" s="47"/>
      <c r="BI118" s="47"/>
      <c r="BJ118" s="47"/>
      <c r="BK118" s="47"/>
      <c r="BL118" s="47"/>
      <c r="BM118" s="47"/>
      <c r="BN118" s="47"/>
      <c r="BO118" s="47"/>
      <c r="BP118" s="47"/>
      <c r="BQ118" s="47"/>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c r="CO118" s="47"/>
      <c r="CP118" s="47"/>
      <c r="CQ118" s="47"/>
      <c r="CR118" s="47"/>
      <c r="CS118" s="47"/>
      <c r="CT118" s="47"/>
      <c r="CU118" s="47"/>
      <c r="CV118" s="47"/>
      <c r="CW118" s="47"/>
      <c r="CX118" s="47"/>
      <c r="CY118" s="47"/>
      <c r="CZ118" s="47"/>
      <c r="DA118" s="47"/>
      <c r="DB118" s="47"/>
      <c r="DC118" s="47"/>
      <c r="DD118" s="47"/>
      <c r="DE118" s="47"/>
      <c r="DF118" s="47"/>
      <c r="DG118" s="47"/>
      <c r="DH118" s="47"/>
      <c r="DI118" s="47"/>
      <c r="DJ118" s="47"/>
      <c r="DK118" s="47"/>
      <c r="DL118" s="47"/>
      <c r="DM118" s="47"/>
      <c r="DN118" s="47"/>
      <c r="DO118" s="47"/>
      <c r="DP118" s="47"/>
      <c r="DQ118" s="47"/>
      <c r="DR118" s="47"/>
      <c r="DS118" s="47"/>
      <c r="DT118" s="47"/>
      <c r="DU118" s="47"/>
      <c r="DV118" s="47"/>
      <c r="DW118" s="47"/>
      <c r="DX118" s="47"/>
      <c r="DY118" s="47"/>
      <c r="DZ118" s="47"/>
      <c r="EA118" s="47"/>
      <c r="EB118" s="47"/>
      <c r="EC118" s="47"/>
      <c r="ED118" s="47"/>
      <c r="EE118" s="47"/>
      <c r="EF118" s="47"/>
      <c r="EG118" s="47"/>
      <c r="EH118" s="47"/>
      <c r="EI118" s="47"/>
      <c r="EJ118" s="47"/>
      <c r="EK118" s="47"/>
      <c r="EL118" s="47"/>
      <c r="EM118" s="47"/>
      <c r="EN118" s="47"/>
      <c r="EO118" s="47"/>
      <c r="EP118" s="47"/>
      <c r="EQ118" s="47"/>
      <c r="ER118" s="47"/>
      <c r="ES118" s="47"/>
      <c r="ET118" s="47"/>
      <c r="EU118" s="47"/>
      <c r="EV118" s="47"/>
      <c r="EW118" s="47"/>
      <c r="EX118" s="47"/>
      <c r="EY118" s="47"/>
      <c r="EZ118" s="47"/>
      <c r="FA118" s="47"/>
      <c r="FB118" s="47"/>
      <c r="FC118" s="47"/>
      <c r="FD118" s="47"/>
      <c r="FE118" s="47"/>
      <c r="FF118" s="47"/>
      <c r="FG118" s="47"/>
      <c r="FH118" s="47"/>
      <c r="FI118" s="47"/>
      <c r="FJ118" s="47"/>
      <c r="FK118" s="47"/>
      <c r="FL118" s="47"/>
      <c r="FM118" s="47"/>
      <c r="FN118" s="47"/>
      <c r="FO118" s="47"/>
      <c r="FP118" s="47"/>
      <c r="FQ118" s="47"/>
      <c r="FR118" s="47"/>
      <c r="FS118" s="47"/>
      <c r="FT118" s="47"/>
      <c r="FU118" s="47"/>
      <c r="FV118" s="47"/>
      <c r="FW118" s="47"/>
      <c r="FX118" s="47"/>
      <c r="FY118" s="47"/>
      <c r="FZ118" s="47"/>
      <c r="GA118" s="47"/>
      <c r="GB118" s="47"/>
      <c r="GC118" s="47"/>
      <c r="GD118" s="47"/>
      <c r="GE118" s="47"/>
      <c r="GF118" s="47"/>
      <c r="GG118" s="47"/>
      <c r="GH118" s="47"/>
      <c r="GI118" s="47"/>
      <c r="GJ118" s="47"/>
      <c r="GK118" s="47"/>
      <c r="GL118" s="47"/>
      <c r="GM118" s="47"/>
      <c r="GN118" s="47"/>
      <c r="GO118" s="47"/>
      <c r="GP118" s="47"/>
      <c r="GQ118" s="47"/>
      <c r="GR118" s="47"/>
      <c r="GS118" s="47"/>
      <c r="GT118" s="47"/>
      <c r="GU118" s="47"/>
      <c r="GV118" s="47"/>
      <c r="GW118" s="47"/>
      <c r="GX118" s="47"/>
      <c r="GY118" s="47"/>
      <c r="GZ118" s="47"/>
      <c r="HA118" s="47"/>
      <c r="HB118" s="47"/>
      <c r="HC118" s="47"/>
      <c r="HD118" s="47"/>
      <c r="HE118" s="47"/>
      <c r="HF118" s="47"/>
      <c r="HG118" s="47"/>
      <c r="HH118" s="47"/>
      <c r="HI118" s="47"/>
      <c r="HJ118" s="47"/>
      <c r="HK118" s="47"/>
      <c r="HL118" s="47"/>
      <c r="HM118" s="47"/>
      <c r="HN118" s="47"/>
      <c r="HO118" s="47"/>
      <c r="HP118" s="47"/>
      <c r="HQ118" s="47"/>
      <c r="HR118" s="47"/>
      <c r="HS118" s="47"/>
      <c r="HT118" s="47"/>
      <c r="HU118" s="47"/>
      <c r="HV118" s="47"/>
      <c r="HW118" s="47"/>
      <c r="HX118" s="47"/>
      <c r="HY118" s="47"/>
      <c r="HZ118" s="47"/>
      <c r="IA118" s="47"/>
      <c r="IB118" s="47"/>
      <c r="IC118" s="47"/>
      <c r="ID118" s="47"/>
      <c r="IE118" s="47"/>
      <c r="IF118" s="47"/>
      <c r="IG118" s="47"/>
      <c r="IH118" s="47"/>
      <c r="II118" s="47"/>
      <c r="IJ118" s="47"/>
      <c r="IK118" s="47"/>
      <c r="IL118" s="47"/>
      <c r="IM118" s="47"/>
      <c r="IN118" s="47"/>
      <c r="IO118" s="47"/>
      <c r="IP118" s="47"/>
      <c r="IQ118" s="47"/>
      <c r="IR118" s="47"/>
      <c r="IS118" s="47"/>
      <c r="IT118" s="47"/>
      <c r="IU118" s="47"/>
      <c r="IV118" s="47"/>
      <c r="IW118" s="1"/>
      <c r="IX118" s="1"/>
      <c r="IY118" s="1"/>
      <c r="IZ118" s="1"/>
      <c r="JA118" s="1"/>
      <c r="JB118" s="1"/>
      <c r="JC118" s="1"/>
      <c r="JD118" s="1"/>
      <c r="JE118" s="1"/>
      <c r="JF118" s="1"/>
      <c r="JG118" s="1"/>
      <c r="JH118" s="1"/>
      <c r="JI118" s="1"/>
      <c r="JJ118" s="1"/>
      <c r="JK118" s="1"/>
      <c r="JL118" s="1"/>
      <c r="JM118" s="1"/>
      <c r="JN118" s="1"/>
      <c r="JO118" s="1"/>
      <c r="JP118" s="1"/>
      <c r="JQ118" s="1"/>
      <c r="JR118" s="1"/>
      <c r="JS118" s="1"/>
      <c r="JT118" s="1"/>
      <c r="JU118" s="1"/>
      <c r="JV118" s="1"/>
      <c r="JW118" s="1"/>
      <c r="JX118" s="1"/>
      <c r="JY118" s="1"/>
      <c r="JZ118" s="1"/>
      <c r="KA118" s="1"/>
      <c r="KB118" s="1"/>
      <c r="KC118" s="1"/>
      <c r="KD118" s="1"/>
      <c r="KE118" s="1"/>
      <c r="KF118" s="1"/>
      <c r="KG118" s="1"/>
      <c r="KH118" s="1"/>
      <c r="KI118" s="1"/>
      <c r="KJ118" s="1"/>
      <c r="KK118" s="1"/>
      <c r="KL118" s="1"/>
      <c r="KM118" s="1"/>
      <c r="KN118" s="1"/>
      <c r="KO118" s="1"/>
      <c r="KP118" s="1"/>
      <c r="KQ118" s="1"/>
      <c r="KR118" s="1"/>
      <c r="KS118" s="1"/>
      <c r="KT118" s="1"/>
      <c r="KU118" s="1"/>
      <c r="KV118" s="1"/>
      <c r="KW118" s="1"/>
      <c r="KX118" s="1"/>
      <c r="KY118" s="1"/>
      <c r="KZ118" s="1"/>
      <c r="LA118" s="1"/>
      <c r="LB118" s="1"/>
      <c r="LC118" s="1"/>
      <c r="LD118" s="1"/>
      <c r="LE118" s="1"/>
      <c r="LF118" s="1"/>
      <c r="LG118" s="1"/>
      <c r="LH118" s="1"/>
      <c r="LI118" s="1"/>
      <c r="LJ118" s="1"/>
      <c r="LK118" s="1"/>
      <c r="LL118" s="1"/>
      <c r="LM118" s="1"/>
      <c r="LN118" s="1"/>
      <c r="LO118" s="1"/>
      <c r="LP118" s="1"/>
      <c r="LQ118" s="1"/>
      <c r="LR118" s="1"/>
      <c r="LS118" s="1"/>
      <c r="LT118" s="1"/>
      <c r="LU118" s="1"/>
      <c r="LV118" s="1"/>
      <c r="LW118" s="1"/>
      <c r="LX118" s="1"/>
      <c r="LY118" s="1"/>
      <c r="LZ118" s="1"/>
      <c r="MA118" s="1"/>
      <c r="MB118" s="1"/>
      <c r="MC118" s="1"/>
      <c r="MD118" s="1"/>
      <c r="ME118" s="1"/>
      <c r="MF118" s="1"/>
      <c r="MG118" s="1"/>
      <c r="MH118" s="1"/>
      <c r="MI118" s="1"/>
      <c r="MJ118" s="1"/>
      <c r="MK118" s="1"/>
      <c r="ML118" s="1"/>
      <c r="MM118" s="1"/>
      <c r="MN118" s="1"/>
      <c r="MO118" s="1"/>
      <c r="MP118" s="1"/>
      <c r="MQ118" s="1"/>
      <c r="MR118" s="1"/>
      <c r="MS118" s="1"/>
      <c r="MT118" s="1"/>
      <c r="MU118" s="1"/>
      <c r="MV118" s="1"/>
      <c r="MW118" s="1"/>
      <c r="MX118" s="1"/>
      <c r="MY118" s="1"/>
      <c r="MZ118" s="1"/>
      <c r="NA118" s="1"/>
      <c r="NB118" s="1"/>
      <c r="ND118" s="53">
        <v>8.3999999999999894E-2</v>
      </c>
      <c r="NE118" s="47">
        <v>-10090.284624603693</v>
      </c>
      <c r="NF118" s="13">
        <v>0.58499999999999996</v>
      </c>
      <c r="NG118" s="1">
        <f>Combine!A120</f>
        <v>48072</v>
      </c>
      <c r="NH118" s="14">
        <f>Combine!F120</f>
        <v>275381.023361506</v>
      </c>
    </row>
    <row r="119" spans="1:372" ht="12.75" customHeight="1" x14ac:dyDescent="0.3">
      <c r="A119" s="59"/>
      <c r="D119" s="61"/>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c r="AW119" s="47"/>
      <c r="AX119" s="47"/>
      <c r="AY119" s="47"/>
      <c r="AZ119" s="47"/>
      <c r="BA119" s="47"/>
      <c r="BB119" s="47"/>
      <c r="BC119" s="47"/>
      <c r="BD119" s="47"/>
      <c r="BE119" s="47"/>
      <c r="BF119" s="47"/>
      <c r="BG119" s="47"/>
      <c r="BH119" s="47"/>
      <c r="BI119" s="47"/>
      <c r="BJ119" s="47"/>
      <c r="BK119" s="47"/>
      <c r="BL119" s="47"/>
      <c r="BM119" s="47"/>
      <c r="BN119" s="47"/>
      <c r="BO119" s="47"/>
      <c r="BP119" s="47"/>
      <c r="BQ119" s="47"/>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c r="CO119" s="47"/>
      <c r="CP119" s="47"/>
      <c r="CQ119" s="47"/>
      <c r="CR119" s="47"/>
      <c r="CS119" s="47"/>
      <c r="CT119" s="47"/>
      <c r="CU119" s="47"/>
      <c r="CV119" s="47"/>
      <c r="CW119" s="47"/>
      <c r="CX119" s="47"/>
      <c r="CY119" s="47"/>
      <c r="CZ119" s="47"/>
      <c r="DA119" s="47"/>
      <c r="DB119" s="47"/>
      <c r="DC119" s="47"/>
      <c r="DD119" s="47"/>
      <c r="DE119" s="47"/>
      <c r="DF119" s="47"/>
      <c r="DG119" s="47"/>
      <c r="DH119" s="47"/>
      <c r="DI119" s="47"/>
      <c r="DJ119" s="47"/>
      <c r="DK119" s="47"/>
      <c r="DL119" s="47"/>
      <c r="DM119" s="47"/>
      <c r="DN119" s="47"/>
      <c r="DO119" s="47"/>
      <c r="DP119" s="47"/>
      <c r="DQ119" s="47"/>
      <c r="DR119" s="47"/>
      <c r="DS119" s="47"/>
      <c r="DT119" s="47"/>
      <c r="DU119" s="47"/>
      <c r="DV119" s="47"/>
      <c r="DW119" s="47"/>
      <c r="DX119" s="47"/>
      <c r="DY119" s="47"/>
      <c r="DZ119" s="47"/>
      <c r="EA119" s="47"/>
      <c r="EB119" s="47"/>
      <c r="EC119" s="47"/>
      <c r="ED119" s="47"/>
      <c r="EE119" s="47"/>
      <c r="EF119" s="47"/>
      <c r="EG119" s="47"/>
      <c r="EH119" s="47"/>
      <c r="EI119" s="47"/>
      <c r="EJ119" s="47"/>
      <c r="EK119" s="47"/>
      <c r="EL119" s="47"/>
      <c r="EM119" s="47"/>
      <c r="EN119" s="47"/>
      <c r="EO119" s="47"/>
      <c r="EP119" s="47"/>
      <c r="EQ119" s="47"/>
      <c r="ER119" s="47"/>
      <c r="ES119" s="47"/>
      <c r="ET119" s="47"/>
      <c r="EU119" s="47"/>
      <c r="EV119" s="47"/>
      <c r="EW119" s="47"/>
      <c r="EX119" s="47"/>
      <c r="EY119" s="47"/>
      <c r="EZ119" s="47"/>
      <c r="FA119" s="47"/>
      <c r="FB119" s="47"/>
      <c r="FC119" s="47"/>
      <c r="FD119" s="47"/>
      <c r="FE119" s="47"/>
      <c r="FF119" s="47"/>
      <c r="FG119" s="47"/>
      <c r="FH119" s="47"/>
      <c r="FI119" s="47"/>
      <c r="FJ119" s="47"/>
      <c r="FK119" s="47"/>
      <c r="FL119" s="47"/>
      <c r="FM119" s="47"/>
      <c r="FN119" s="47"/>
      <c r="FO119" s="47"/>
      <c r="FP119" s="47"/>
      <c r="FQ119" s="47"/>
      <c r="FR119" s="47"/>
      <c r="FS119" s="47"/>
      <c r="FT119" s="47"/>
      <c r="FU119" s="47"/>
      <c r="FV119" s="47"/>
      <c r="FW119" s="47"/>
      <c r="FX119" s="47"/>
      <c r="FY119" s="47"/>
      <c r="FZ119" s="47"/>
      <c r="GA119" s="47"/>
      <c r="GB119" s="47"/>
      <c r="GC119" s="47"/>
      <c r="GD119" s="47"/>
      <c r="GE119" s="47"/>
      <c r="GF119" s="47"/>
      <c r="GG119" s="47"/>
      <c r="GH119" s="47"/>
      <c r="GI119" s="47"/>
      <c r="GJ119" s="47"/>
      <c r="GK119" s="47"/>
      <c r="GL119" s="47"/>
      <c r="GM119" s="47"/>
      <c r="GN119" s="47"/>
      <c r="GO119" s="47"/>
      <c r="GP119" s="47"/>
      <c r="GQ119" s="47"/>
      <c r="GR119" s="47"/>
      <c r="GS119" s="47"/>
      <c r="GT119" s="47"/>
      <c r="GU119" s="47"/>
      <c r="GV119" s="47"/>
      <c r="GW119" s="47"/>
      <c r="GX119" s="47"/>
      <c r="GY119" s="47"/>
      <c r="GZ119" s="47"/>
      <c r="HA119" s="47"/>
      <c r="HB119" s="47"/>
      <c r="HC119" s="47"/>
      <c r="HD119" s="47"/>
      <c r="HE119" s="47"/>
      <c r="HF119" s="47"/>
      <c r="HG119" s="47"/>
      <c r="HH119" s="47"/>
      <c r="HI119" s="47"/>
      <c r="HJ119" s="47"/>
      <c r="HK119" s="47"/>
      <c r="HL119" s="47"/>
      <c r="HM119" s="47"/>
      <c r="HN119" s="47"/>
      <c r="HO119" s="47"/>
      <c r="HP119" s="47"/>
      <c r="HQ119" s="47"/>
      <c r="HR119" s="47"/>
      <c r="HS119" s="47"/>
      <c r="HT119" s="47"/>
      <c r="HU119" s="47"/>
      <c r="HV119" s="47"/>
      <c r="HW119" s="47"/>
      <c r="HX119" s="47"/>
      <c r="HY119" s="47"/>
      <c r="HZ119" s="47"/>
      <c r="IA119" s="47"/>
      <c r="IB119" s="47"/>
      <c r="IC119" s="47"/>
      <c r="ID119" s="47"/>
      <c r="IE119" s="47"/>
      <c r="IF119" s="47"/>
      <c r="IG119" s="47"/>
      <c r="IH119" s="47"/>
      <c r="II119" s="47"/>
      <c r="IJ119" s="47"/>
      <c r="IK119" s="47"/>
      <c r="IL119" s="47"/>
      <c r="IM119" s="47"/>
      <c r="IN119" s="47"/>
      <c r="IO119" s="47"/>
      <c r="IP119" s="47"/>
      <c r="IQ119" s="47"/>
      <c r="IR119" s="47"/>
      <c r="IS119" s="47"/>
      <c r="IT119" s="47"/>
      <c r="IU119" s="47"/>
      <c r="IV119" s="47"/>
      <c r="IW119" s="1"/>
      <c r="IX119" s="1"/>
      <c r="IY119" s="1"/>
      <c r="IZ119" s="1"/>
      <c r="JA119" s="1"/>
      <c r="JB119" s="1"/>
      <c r="JC119" s="1"/>
      <c r="JD119" s="1"/>
      <c r="JE119" s="1"/>
      <c r="JF119" s="1"/>
      <c r="JG119" s="1"/>
      <c r="JH119" s="1"/>
      <c r="JI119" s="1"/>
      <c r="JJ119" s="1"/>
      <c r="JK119" s="1"/>
      <c r="JL119" s="1"/>
      <c r="JM119" s="1"/>
      <c r="JN119" s="1"/>
      <c r="JO119" s="1"/>
      <c r="JP119" s="1"/>
      <c r="JQ119" s="1"/>
      <c r="JR119" s="1"/>
      <c r="JS119" s="1"/>
      <c r="JT119" s="1"/>
      <c r="JU119" s="1"/>
      <c r="JV119" s="1"/>
      <c r="JW119" s="1"/>
      <c r="JX119" s="1"/>
      <c r="JY119" s="1"/>
      <c r="JZ119" s="1"/>
      <c r="KA119" s="1"/>
      <c r="KB119" s="1"/>
      <c r="KC119" s="1"/>
      <c r="KD119" s="1"/>
      <c r="KE119" s="1"/>
      <c r="KF119" s="1"/>
      <c r="KG119" s="1"/>
      <c r="KH119" s="1"/>
      <c r="KI119" s="1"/>
      <c r="KJ119" s="1"/>
      <c r="KK119" s="1"/>
      <c r="KL119" s="1"/>
      <c r="KM119" s="1"/>
      <c r="KN119" s="1"/>
      <c r="KO119" s="1"/>
      <c r="KP119" s="1"/>
      <c r="KQ119" s="1"/>
      <c r="KR119" s="1"/>
      <c r="KS119" s="1"/>
      <c r="KT119" s="1"/>
      <c r="KU119" s="1"/>
      <c r="KV119" s="1"/>
      <c r="KW119" s="1"/>
      <c r="KX119" s="1"/>
      <c r="KY119" s="1"/>
      <c r="KZ119" s="1"/>
      <c r="LA119" s="1"/>
      <c r="LB119" s="1"/>
      <c r="LC119" s="1"/>
      <c r="LD119" s="1"/>
      <c r="LE119" s="1"/>
      <c r="LF119" s="1"/>
      <c r="LG119" s="1"/>
      <c r="LH119" s="1"/>
      <c r="LI119" s="1"/>
      <c r="LJ119" s="1"/>
      <c r="LK119" s="1"/>
      <c r="LL119" s="1"/>
      <c r="LM119" s="1"/>
      <c r="LN119" s="1"/>
      <c r="LO119" s="1"/>
      <c r="LP119" s="1"/>
      <c r="LQ119" s="1"/>
      <c r="LR119" s="1"/>
      <c r="LS119" s="1"/>
      <c r="LT119" s="1"/>
      <c r="LU119" s="1"/>
      <c r="LV119" s="1"/>
      <c r="LW119" s="1"/>
      <c r="LX119" s="1"/>
      <c r="LY119" s="1"/>
      <c r="LZ119" s="1"/>
      <c r="MA119" s="1"/>
      <c r="MB119" s="1"/>
      <c r="MC119" s="1"/>
      <c r="MD119" s="1"/>
      <c r="ME119" s="1"/>
      <c r="MF119" s="1"/>
      <c r="MG119" s="1"/>
      <c r="MH119" s="1"/>
      <c r="MI119" s="1"/>
      <c r="MJ119" s="1"/>
      <c r="MK119" s="1"/>
      <c r="ML119" s="1"/>
      <c r="MM119" s="1"/>
      <c r="MN119" s="1"/>
      <c r="MO119" s="1"/>
      <c r="MP119" s="1"/>
      <c r="MQ119" s="1"/>
      <c r="MR119" s="1"/>
      <c r="MS119" s="1"/>
      <c r="MT119" s="1"/>
      <c r="MU119" s="1"/>
      <c r="MV119" s="1"/>
      <c r="MW119" s="1"/>
      <c r="MX119" s="1"/>
      <c r="MY119" s="1"/>
      <c r="MZ119" s="1"/>
      <c r="NA119" s="1"/>
      <c r="NB119" s="1"/>
      <c r="ND119" s="53">
        <v>8.4999999999999895E-2</v>
      </c>
      <c r="NE119" s="47">
        <v>-12270.435935384519</v>
      </c>
      <c r="NF119" s="13">
        <v>0.59</v>
      </c>
      <c r="NG119" s="1">
        <f>Combine!A121</f>
        <v>48225</v>
      </c>
      <c r="NH119" s="14">
        <f>Combine!F121</f>
        <v>137493.933810316</v>
      </c>
    </row>
    <row r="120" spans="1:372" ht="12.75" customHeight="1" x14ac:dyDescent="0.3">
      <c r="A120" s="59"/>
      <c r="D120" s="61"/>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c r="AW120" s="47"/>
      <c r="AX120" s="47"/>
      <c r="AY120" s="47"/>
      <c r="AZ120" s="47"/>
      <c r="BA120" s="47"/>
      <c r="BB120" s="47"/>
      <c r="BC120" s="47"/>
      <c r="BD120" s="47"/>
      <c r="BE120" s="47"/>
      <c r="BF120" s="47"/>
      <c r="BG120" s="47"/>
      <c r="BH120" s="47"/>
      <c r="BI120" s="47"/>
      <c r="BJ120" s="47"/>
      <c r="BK120" s="47"/>
      <c r="BL120" s="47"/>
      <c r="BM120" s="47"/>
      <c r="BN120" s="47"/>
      <c r="BO120" s="47"/>
      <c r="BP120" s="47"/>
      <c r="BQ120" s="47"/>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c r="CO120" s="47"/>
      <c r="CP120" s="47"/>
      <c r="CQ120" s="47"/>
      <c r="CR120" s="47"/>
      <c r="CS120" s="47"/>
      <c r="CT120" s="47"/>
      <c r="CU120" s="47"/>
      <c r="CV120" s="47"/>
      <c r="CW120" s="47"/>
      <c r="CX120" s="47"/>
      <c r="CY120" s="47"/>
      <c r="CZ120" s="47"/>
      <c r="DA120" s="47"/>
      <c r="DB120" s="47"/>
      <c r="DC120" s="47"/>
      <c r="DD120" s="47"/>
      <c r="DE120" s="47"/>
      <c r="DF120" s="47"/>
      <c r="DG120" s="47"/>
      <c r="DH120" s="47"/>
      <c r="DI120" s="47"/>
      <c r="DJ120" s="47"/>
      <c r="DK120" s="47"/>
      <c r="DL120" s="47"/>
      <c r="DM120" s="47"/>
      <c r="DN120" s="47"/>
      <c r="DO120" s="47"/>
      <c r="DP120" s="47"/>
      <c r="DQ120" s="47"/>
      <c r="DR120" s="47"/>
      <c r="DS120" s="47"/>
      <c r="DT120" s="47"/>
      <c r="DU120" s="47"/>
      <c r="DV120" s="47"/>
      <c r="DW120" s="47"/>
      <c r="DX120" s="47"/>
      <c r="DY120" s="47"/>
      <c r="DZ120" s="47"/>
      <c r="EA120" s="47"/>
      <c r="EB120" s="47"/>
      <c r="EC120" s="47"/>
      <c r="ED120" s="47"/>
      <c r="EE120" s="47"/>
      <c r="EF120" s="47"/>
      <c r="EG120" s="47"/>
      <c r="EH120" s="47"/>
      <c r="EI120" s="47"/>
      <c r="EJ120" s="47"/>
      <c r="EK120" s="47"/>
      <c r="EL120" s="47"/>
      <c r="EM120" s="47"/>
      <c r="EN120" s="47"/>
      <c r="EO120" s="47"/>
      <c r="EP120" s="47"/>
      <c r="EQ120" s="47"/>
      <c r="ER120" s="47"/>
      <c r="ES120" s="47"/>
      <c r="ET120" s="47"/>
      <c r="EU120" s="47"/>
      <c r="EV120" s="47"/>
      <c r="EW120" s="47"/>
      <c r="EX120" s="47"/>
      <c r="EY120" s="47"/>
      <c r="EZ120" s="47"/>
      <c r="FA120" s="47"/>
      <c r="FB120" s="47"/>
      <c r="FC120" s="47"/>
      <c r="FD120" s="47"/>
      <c r="FE120" s="47"/>
      <c r="FF120" s="47"/>
      <c r="FG120" s="47"/>
      <c r="FH120" s="47"/>
      <c r="FI120" s="47"/>
      <c r="FJ120" s="47"/>
      <c r="FK120" s="47"/>
      <c r="FL120" s="47"/>
      <c r="FM120" s="47"/>
      <c r="FN120" s="47"/>
      <c r="FO120" s="47"/>
      <c r="FP120" s="47"/>
      <c r="FQ120" s="47"/>
      <c r="FR120" s="47"/>
      <c r="FS120" s="47"/>
      <c r="FT120" s="47"/>
      <c r="FU120" s="47"/>
      <c r="FV120" s="47"/>
      <c r="FW120" s="47"/>
      <c r="FX120" s="47"/>
      <c r="FY120" s="47"/>
      <c r="FZ120" s="47"/>
      <c r="GA120" s="47"/>
      <c r="GB120" s="47"/>
      <c r="GC120" s="47"/>
      <c r="GD120" s="47"/>
      <c r="GE120" s="47"/>
      <c r="GF120" s="47"/>
      <c r="GG120" s="47"/>
      <c r="GH120" s="47"/>
      <c r="GI120" s="47"/>
      <c r="GJ120" s="47"/>
      <c r="GK120" s="47"/>
      <c r="GL120" s="47"/>
      <c r="GM120" s="47"/>
      <c r="GN120" s="47"/>
      <c r="GO120" s="47"/>
      <c r="GP120" s="47"/>
      <c r="GQ120" s="47"/>
      <c r="GR120" s="47"/>
      <c r="GS120" s="47"/>
      <c r="GT120" s="47"/>
      <c r="GU120" s="47"/>
      <c r="GV120" s="47"/>
      <c r="GW120" s="47"/>
      <c r="GX120" s="47"/>
      <c r="GY120" s="47"/>
      <c r="GZ120" s="47"/>
      <c r="HA120" s="47"/>
      <c r="HB120" s="47"/>
      <c r="HC120" s="47"/>
      <c r="HD120" s="47"/>
      <c r="HE120" s="47"/>
      <c r="HF120" s="47"/>
      <c r="HG120" s="47"/>
      <c r="HH120" s="47"/>
      <c r="HI120" s="47"/>
      <c r="HJ120" s="47"/>
      <c r="HK120" s="47"/>
      <c r="HL120" s="47"/>
      <c r="HM120" s="47"/>
      <c r="HN120" s="47"/>
      <c r="HO120" s="47"/>
      <c r="HP120" s="47"/>
      <c r="HQ120" s="47"/>
      <c r="HR120" s="47"/>
      <c r="HS120" s="47"/>
      <c r="HT120" s="47"/>
      <c r="HU120" s="47"/>
      <c r="HV120" s="47"/>
      <c r="HW120" s="47"/>
      <c r="HX120" s="47"/>
      <c r="HY120" s="47"/>
      <c r="HZ120" s="47"/>
      <c r="IA120" s="47"/>
      <c r="IB120" s="47"/>
      <c r="IC120" s="47"/>
      <c r="ID120" s="47"/>
      <c r="IE120" s="47"/>
      <c r="IF120" s="47"/>
      <c r="IG120" s="47"/>
      <c r="IH120" s="47"/>
      <c r="II120" s="47"/>
      <c r="IJ120" s="47"/>
      <c r="IK120" s="47"/>
      <c r="IL120" s="47"/>
      <c r="IM120" s="47"/>
      <c r="IN120" s="47"/>
      <c r="IO120" s="47"/>
      <c r="IP120" s="47"/>
      <c r="IQ120" s="47"/>
      <c r="IR120" s="47"/>
      <c r="IS120" s="47"/>
      <c r="IT120" s="47"/>
      <c r="IU120" s="47"/>
      <c r="IV120" s="47"/>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D120" s="53">
        <v>8.5999999999999896E-2</v>
      </c>
      <c r="NE120" s="47">
        <v>-14453.710763714049</v>
      </c>
      <c r="NF120" s="13">
        <v>0.59499999999999997</v>
      </c>
      <c r="NG120" s="1">
        <f>Combine!A122</f>
        <v>48034</v>
      </c>
      <c r="NH120" s="14">
        <f>Combine!F122</f>
        <v>325467.21105200303</v>
      </c>
    </row>
    <row r="121" spans="1:372" ht="12.75" customHeight="1" x14ac:dyDescent="0.3">
      <c r="A121" s="59"/>
      <c r="D121" s="61"/>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c r="BA121" s="47"/>
      <c r="BB121" s="47"/>
      <c r="BC121" s="47"/>
      <c r="BD121" s="47"/>
      <c r="BE121" s="47"/>
      <c r="BF121" s="47"/>
      <c r="BG121" s="47"/>
      <c r="BH121" s="47"/>
      <c r="BI121" s="47"/>
      <c r="BJ121" s="47"/>
      <c r="BK121" s="47"/>
      <c r="BL121" s="47"/>
      <c r="BM121" s="47"/>
      <c r="BN121" s="47"/>
      <c r="BO121" s="47"/>
      <c r="BP121" s="47"/>
      <c r="BQ121" s="47"/>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c r="CO121" s="47"/>
      <c r="CP121" s="47"/>
      <c r="CQ121" s="47"/>
      <c r="CR121" s="47"/>
      <c r="CS121" s="47"/>
      <c r="CT121" s="47"/>
      <c r="CU121" s="47"/>
      <c r="CV121" s="47"/>
      <c r="CW121" s="47"/>
      <c r="CX121" s="47"/>
      <c r="CY121" s="47"/>
      <c r="CZ121" s="47"/>
      <c r="DA121" s="47"/>
      <c r="DB121" s="47"/>
      <c r="DC121" s="47"/>
      <c r="DD121" s="47"/>
      <c r="DE121" s="47"/>
      <c r="DF121" s="47"/>
      <c r="DG121" s="47"/>
      <c r="DH121" s="47"/>
      <c r="DI121" s="47"/>
      <c r="DJ121" s="47"/>
      <c r="DK121" s="47"/>
      <c r="DL121" s="47"/>
      <c r="DM121" s="47"/>
      <c r="DN121" s="47"/>
      <c r="DO121" s="47"/>
      <c r="DP121" s="47"/>
      <c r="DQ121" s="47"/>
      <c r="DR121" s="47"/>
      <c r="DS121" s="47"/>
      <c r="DT121" s="47"/>
      <c r="DU121" s="47"/>
      <c r="DV121" s="47"/>
      <c r="DW121" s="47"/>
      <c r="DX121" s="47"/>
      <c r="DY121" s="47"/>
      <c r="DZ121" s="47"/>
      <c r="EA121" s="47"/>
      <c r="EB121" s="47"/>
      <c r="EC121" s="47"/>
      <c r="ED121" s="47"/>
      <c r="EE121" s="47"/>
      <c r="EF121" s="47"/>
      <c r="EG121" s="47"/>
      <c r="EH121" s="47"/>
      <c r="EI121" s="47"/>
      <c r="EJ121" s="47"/>
      <c r="EK121" s="47"/>
      <c r="EL121" s="47"/>
      <c r="EM121" s="47"/>
      <c r="EN121" s="47"/>
      <c r="EO121" s="47"/>
      <c r="EP121" s="47"/>
      <c r="EQ121" s="47"/>
      <c r="ER121" s="47"/>
      <c r="ES121" s="47"/>
      <c r="ET121" s="47"/>
      <c r="EU121" s="47"/>
      <c r="EV121" s="47"/>
      <c r="EW121" s="47"/>
      <c r="EX121" s="47"/>
      <c r="EY121" s="47"/>
      <c r="EZ121" s="47"/>
      <c r="FA121" s="47"/>
      <c r="FB121" s="47"/>
      <c r="FC121" s="47"/>
      <c r="FD121" s="47"/>
      <c r="FE121" s="47"/>
      <c r="FF121" s="47"/>
      <c r="FG121" s="47"/>
      <c r="FH121" s="47"/>
      <c r="FI121" s="47"/>
      <c r="FJ121" s="47"/>
      <c r="FK121" s="47"/>
      <c r="FL121" s="47"/>
      <c r="FM121" s="47"/>
      <c r="FN121" s="47"/>
      <c r="FO121" s="47"/>
      <c r="FP121" s="47"/>
      <c r="FQ121" s="47"/>
      <c r="FR121" s="47"/>
      <c r="FS121" s="47"/>
      <c r="FT121" s="47"/>
      <c r="FU121" s="47"/>
      <c r="FV121" s="47"/>
      <c r="FW121" s="47"/>
      <c r="FX121" s="47"/>
      <c r="FY121" s="47"/>
      <c r="FZ121" s="47"/>
      <c r="GA121" s="47"/>
      <c r="GB121" s="47"/>
      <c r="GC121" s="47"/>
      <c r="GD121" s="47"/>
      <c r="GE121" s="47"/>
      <c r="GF121" s="47"/>
      <c r="GG121" s="47"/>
      <c r="GH121" s="47"/>
      <c r="GI121" s="47"/>
      <c r="GJ121" s="47"/>
      <c r="GK121" s="47"/>
      <c r="GL121" s="47"/>
      <c r="GM121" s="47"/>
      <c r="GN121" s="47"/>
      <c r="GO121" s="47"/>
      <c r="GP121" s="47"/>
      <c r="GQ121" s="47"/>
      <c r="GR121" s="47"/>
      <c r="GS121" s="47"/>
      <c r="GT121" s="47"/>
      <c r="GU121" s="47"/>
      <c r="GV121" s="47"/>
      <c r="GW121" s="47"/>
      <c r="GX121" s="47"/>
      <c r="GY121" s="47"/>
      <c r="GZ121" s="47"/>
      <c r="HA121" s="47"/>
      <c r="HB121" s="47"/>
      <c r="HC121" s="47"/>
      <c r="HD121" s="47"/>
      <c r="HE121" s="47"/>
      <c r="HF121" s="47"/>
      <c r="HG121" s="47"/>
      <c r="HH121" s="47"/>
      <c r="HI121" s="47"/>
      <c r="HJ121" s="47"/>
      <c r="HK121" s="47"/>
      <c r="HL121" s="47"/>
      <c r="HM121" s="47"/>
      <c r="HN121" s="47"/>
      <c r="HO121" s="47"/>
      <c r="HP121" s="47"/>
      <c r="HQ121" s="47"/>
      <c r="HR121" s="47"/>
      <c r="HS121" s="47"/>
      <c r="HT121" s="47"/>
      <c r="HU121" s="47"/>
      <c r="HV121" s="47"/>
      <c r="HW121" s="47"/>
      <c r="HX121" s="47"/>
      <c r="HY121" s="47"/>
      <c r="HZ121" s="47"/>
      <c r="IA121" s="47"/>
      <c r="IB121" s="47"/>
      <c r="IC121" s="47"/>
      <c r="ID121" s="47"/>
      <c r="IE121" s="47"/>
      <c r="IF121" s="47"/>
      <c r="IG121" s="47"/>
      <c r="IH121" s="47"/>
      <c r="II121" s="47"/>
      <c r="IJ121" s="47"/>
      <c r="IK121" s="47"/>
      <c r="IL121" s="47"/>
      <c r="IM121" s="47"/>
      <c r="IN121" s="47"/>
      <c r="IO121" s="47"/>
      <c r="IP121" s="47"/>
      <c r="IQ121" s="47"/>
      <c r="IR121" s="47"/>
      <c r="IS121" s="47"/>
      <c r="IT121" s="47"/>
      <c r="IU121" s="47"/>
      <c r="IV121" s="47"/>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D121" s="53">
        <v>8.6999999999999897E-2</v>
      </c>
      <c r="NE121" s="47">
        <v>-16640.041658558144</v>
      </c>
      <c r="NF121" s="13">
        <v>0.6</v>
      </c>
      <c r="NG121" s="1">
        <f>Combine!A123</f>
        <v>49348</v>
      </c>
      <c r="NH121" s="14">
        <f>Combine!F123</f>
        <v>283161.93227629602</v>
      </c>
    </row>
    <row r="122" spans="1:372" ht="12.75" customHeight="1" x14ac:dyDescent="0.3">
      <c r="A122" s="59"/>
      <c r="D122" s="61"/>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c r="AW122" s="47"/>
      <c r="AX122" s="47"/>
      <c r="AY122" s="47"/>
      <c r="AZ122" s="47"/>
      <c r="BA122" s="47"/>
      <c r="BB122" s="47"/>
      <c r="BC122" s="47"/>
      <c r="BD122" s="47"/>
      <c r="BE122" s="47"/>
      <c r="BF122" s="47"/>
      <c r="BG122" s="47"/>
      <c r="BH122" s="47"/>
      <c r="BI122" s="47"/>
      <c r="BJ122" s="47"/>
      <c r="BK122" s="47"/>
      <c r="BL122" s="47"/>
      <c r="BM122" s="47"/>
      <c r="BN122" s="47"/>
      <c r="BO122" s="47"/>
      <c r="BP122" s="47"/>
      <c r="BQ122" s="47"/>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c r="CO122" s="47"/>
      <c r="CP122" s="47"/>
      <c r="CQ122" s="47"/>
      <c r="CR122" s="47"/>
      <c r="CS122" s="47"/>
      <c r="CT122" s="47"/>
      <c r="CU122" s="47"/>
      <c r="CV122" s="47"/>
      <c r="CW122" s="47"/>
      <c r="CX122" s="47"/>
      <c r="CY122" s="47"/>
      <c r="CZ122" s="47"/>
      <c r="DA122" s="47"/>
      <c r="DB122" s="47"/>
      <c r="DC122" s="47"/>
      <c r="DD122" s="47"/>
      <c r="DE122" s="47"/>
      <c r="DF122" s="47"/>
      <c r="DG122" s="47"/>
      <c r="DH122" s="47"/>
      <c r="DI122" s="47"/>
      <c r="DJ122" s="47"/>
      <c r="DK122" s="47"/>
      <c r="DL122" s="47"/>
      <c r="DM122" s="47"/>
      <c r="DN122" s="47"/>
      <c r="DO122" s="47"/>
      <c r="DP122" s="47"/>
      <c r="DQ122" s="47"/>
      <c r="DR122" s="47"/>
      <c r="DS122" s="47"/>
      <c r="DT122" s="47"/>
      <c r="DU122" s="47"/>
      <c r="DV122" s="47"/>
      <c r="DW122" s="47"/>
      <c r="DX122" s="47"/>
      <c r="DY122" s="47"/>
      <c r="DZ122" s="47"/>
      <c r="EA122" s="47"/>
      <c r="EB122" s="47"/>
      <c r="EC122" s="47"/>
      <c r="ED122" s="47"/>
      <c r="EE122" s="47"/>
      <c r="EF122" s="47"/>
      <c r="EG122" s="47"/>
      <c r="EH122" s="47"/>
      <c r="EI122" s="47"/>
      <c r="EJ122" s="47"/>
      <c r="EK122" s="47"/>
      <c r="EL122" s="47"/>
      <c r="EM122" s="47"/>
      <c r="EN122" s="47"/>
      <c r="EO122" s="47"/>
      <c r="EP122" s="47"/>
      <c r="EQ122" s="47"/>
      <c r="ER122" s="47"/>
      <c r="ES122" s="47"/>
      <c r="ET122" s="47"/>
      <c r="EU122" s="47"/>
      <c r="EV122" s="47"/>
      <c r="EW122" s="47"/>
      <c r="EX122" s="47"/>
      <c r="EY122" s="47"/>
      <c r="EZ122" s="47"/>
      <c r="FA122" s="47"/>
      <c r="FB122" s="47"/>
      <c r="FC122" s="47"/>
      <c r="FD122" s="47"/>
      <c r="FE122" s="47"/>
      <c r="FF122" s="47"/>
      <c r="FG122" s="47"/>
      <c r="FH122" s="47"/>
      <c r="FI122" s="47"/>
      <c r="FJ122" s="47"/>
      <c r="FK122" s="47"/>
      <c r="FL122" s="47"/>
      <c r="FM122" s="47"/>
      <c r="FN122" s="47"/>
      <c r="FO122" s="47"/>
      <c r="FP122" s="47"/>
      <c r="FQ122" s="47"/>
      <c r="FR122" s="47"/>
      <c r="FS122" s="47"/>
      <c r="FT122" s="47"/>
      <c r="FU122" s="47"/>
      <c r="FV122" s="47"/>
      <c r="FW122" s="47"/>
      <c r="FX122" s="47"/>
      <c r="FY122" s="47"/>
      <c r="FZ122" s="47"/>
      <c r="GA122" s="47"/>
      <c r="GB122" s="47"/>
      <c r="GC122" s="47"/>
      <c r="GD122" s="47"/>
      <c r="GE122" s="47"/>
      <c r="GF122" s="47"/>
      <c r="GG122" s="47"/>
      <c r="GH122" s="47"/>
      <c r="GI122" s="47"/>
      <c r="GJ122" s="47"/>
      <c r="GK122" s="47"/>
      <c r="GL122" s="47"/>
      <c r="GM122" s="47"/>
      <c r="GN122" s="47"/>
      <c r="GO122" s="47"/>
      <c r="GP122" s="47"/>
      <c r="GQ122" s="47"/>
      <c r="GR122" s="47"/>
      <c r="GS122" s="47"/>
      <c r="GT122" s="47"/>
      <c r="GU122" s="47"/>
      <c r="GV122" s="47"/>
      <c r="GW122" s="47"/>
      <c r="GX122" s="47"/>
      <c r="GY122" s="47"/>
      <c r="GZ122" s="47"/>
      <c r="HA122" s="47"/>
      <c r="HB122" s="47"/>
      <c r="HC122" s="47"/>
      <c r="HD122" s="47"/>
      <c r="HE122" s="47"/>
      <c r="HF122" s="47"/>
      <c r="HG122" s="47"/>
      <c r="HH122" s="47"/>
      <c r="HI122" s="47"/>
      <c r="HJ122" s="47"/>
      <c r="HK122" s="47"/>
      <c r="HL122" s="47"/>
      <c r="HM122" s="47"/>
      <c r="HN122" s="47"/>
      <c r="HO122" s="47"/>
      <c r="HP122" s="47"/>
      <c r="HQ122" s="47"/>
      <c r="HR122" s="47"/>
      <c r="HS122" s="47"/>
      <c r="HT122" s="47"/>
      <c r="HU122" s="47"/>
      <c r="HV122" s="47"/>
      <c r="HW122" s="47"/>
      <c r="HX122" s="47"/>
      <c r="HY122" s="47"/>
      <c r="HZ122" s="47"/>
      <c r="IA122" s="47"/>
      <c r="IB122" s="47"/>
      <c r="IC122" s="47"/>
      <c r="ID122" s="47"/>
      <c r="IE122" s="47"/>
      <c r="IF122" s="47"/>
      <c r="IG122" s="47"/>
      <c r="IH122" s="47"/>
      <c r="II122" s="47"/>
      <c r="IJ122" s="47"/>
      <c r="IK122" s="47"/>
      <c r="IL122" s="47"/>
      <c r="IM122" s="47"/>
      <c r="IN122" s="47"/>
      <c r="IO122" s="47"/>
      <c r="IP122" s="47"/>
      <c r="IQ122" s="47"/>
      <c r="IR122" s="47"/>
      <c r="IS122" s="47"/>
      <c r="IT122" s="47"/>
      <c r="IU122" s="47"/>
      <c r="IV122" s="47"/>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D122" s="53">
        <v>8.7999999999999898E-2</v>
      </c>
      <c r="NE122" s="47">
        <v>-18829.361991545698</v>
      </c>
      <c r="NF122" s="13">
        <v>0.60499999999999998</v>
      </c>
      <c r="NG122" s="1">
        <f>Combine!A124</f>
        <v>48383</v>
      </c>
      <c r="NH122" s="14">
        <f>Combine!F124</f>
        <v>361784.96738643502</v>
      </c>
    </row>
    <row r="123" spans="1:372" ht="12.75" customHeight="1" x14ac:dyDescent="0.3">
      <c r="A123" s="59"/>
      <c r="D123" s="61"/>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c r="AW123" s="47"/>
      <c r="AX123" s="47"/>
      <c r="AY123" s="47"/>
      <c r="AZ123" s="47"/>
      <c r="BA123" s="47"/>
      <c r="BB123" s="47"/>
      <c r="BC123" s="47"/>
      <c r="BD123" s="47"/>
      <c r="BE123" s="47"/>
      <c r="BF123" s="47"/>
      <c r="BG123" s="47"/>
      <c r="BH123" s="47"/>
      <c r="BI123" s="47"/>
      <c r="BJ123" s="47"/>
      <c r="BK123" s="47"/>
      <c r="BL123" s="47"/>
      <c r="BM123" s="47"/>
      <c r="BN123" s="47"/>
      <c r="BO123" s="47"/>
      <c r="BP123" s="47"/>
      <c r="BQ123" s="47"/>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c r="CO123" s="47"/>
      <c r="CP123" s="47"/>
      <c r="CQ123" s="47"/>
      <c r="CR123" s="47"/>
      <c r="CS123" s="47"/>
      <c r="CT123" s="47"/>
      <c r="CU123" s="47"/>
      <c r="CV123" s="47"/>
      <c r="CW123" s="47"/>
      <c r="CX123" s="47"/>
      <c r="CY123" s="47"/>
      <c r="CZ123" s="47"/>
      <c r="DA123" s="47"/>
      <c r="DB123" s="47"/>
      <c r="DC123" s="47"/>
      <c r="DD123" s="47"/>
      <c r="DE123" s="47"/>
      <c r="DF123" s="47"/>
      <c r="DG123" s="47"/>
      <c r="DH123" s="47"/>
      <c r="DI123" s="47"/>
      <c r="DJ123" s="47"/>
      <c r="DK123" s="47"/>
      <c r="DL123" s="47"/>
      <c r="DM123" s="47"/>
      <c r="DN123" s="47"/>
      <c r="DO123" s="47"/>
      <c r="DP123" s="47"/>
      <c r="DQ123" s="47"/>
      <c r="DR123" s="47"/>
      <c r="DS123" s="47"/>
      <c r="DT123" s="47"/>
      <c r="DU123" s="47"/>
      <c r="DV123" s="47"/>
      <c r="DW123" s="47"/>
      <c r="DX123" s="47"/>
      <c r="DY123" s="47"/>
      <c r="DZ123" s="47"/>
      <c r="EA123" s="47"/>
      <c r="EB123" s="47"/>
      <c r="EC123" s="47"/>
      <c r="ED123" s="47"/>
      <c r="EE123" s="47"/>
      <c r="EF123" s="47"/>
      <c r="EG123" s="47"/>
      <c r="EH123" s="47"/>
      <c r="EI123" s="47"/>
      <c r="EJ123" s="47"/>
      <c r="EK123" s="47"/>
      <c r="EL123" s="47"/>
      <c r="EM123" s="47"/>
      <c r="EN123" s="47"/>
      <c r="EO123" s="47"/>
      <c r="EP123" s="47"/>
      <c r="EQ123" s="47"/>
      <c r="ER123" s="47"/>
      <c r="ES123" s="47"/>
      <c r="ET123" s="47"/>
      <c r="EU123" s="47"/>
      <c r="EV123" s="47"/>
      <c r="EW123" s="47"/>
      <c r="EX123" s="47"/>
      <c r="EY123" s="47"/>
      <c r="EZ123" s="47"/>
      <c r="FA123" s="47"/>
      <c r="FB123" s="47"/>
      <c r="FC123" s="47"/>
      <c r="FD123" s="47"/>
      <c r="FE123" s="47"/>
      <c r="FF123" s="47"/>
      <c r="FG123" s="47"/>
      <c r="FH123" s="47"/>
      <c r="FI123" s="47"/>
      <c r="FJ123" s="47"/>
      <c r="FK123" s="47"/>
      <c r="FL123" s="47"/>
      <c r="FM123" s="47"/>
      <c r="FN123" s="47"/>
      <c r="FO123" s="47"/>
      <c r="FP123" s="47"/>
      <c r="FQ123" s="47"/>
      <c r="FR123" s="47"/>
      <c r="FS123" s="47"/>
      <c r="FT123" s="47"/>
      <c r="FU123" s="47"/>
      <c r="FV123" s="47"/>
      <c r="FW123" s="47"/>
      <c r="FX123" s="47"/>
      <c r="FY123" s="47"/>
      <c r="FZ123" s="47"/>
      <c r="GA123" s="47"/>
      <c r="GB123" s="47"/>
      <c r="GC123" s="47"/>
      <c r="GD123" s="47"/>
      <c r="GE123" s="47"/>
      <c r="GF123" s="47"/>
      <c r="GG123" s="47"/>
      <c r="GH123" s="47"/>
      <c r="GI123" s="47"/>
      <c r="GJ123" s="47"/>
      <c r="GK123" s="47"/>
      <c r="GL123" s="47"/>
      <c r="GM123" s="47"/>
      <c r="GN123" s="47"/>
      <c r="GO123" s="47"/>
      <c r="GP123" s="47"/>
      <c r="GQ123" s="47"/>
      <c r="GR123" s="47"/>
      <c r="GS123" s="47"/>
      <c r="GT123" s="47"/>
      <c r="GU123" s="47"/>
      <c r="GV123" s="47"/>
      <c r="GW123" s="47"/>
      <c r="GX123" s="47"/>
      <c r="GY123" s="47"/>
      <c r="GZ123" s="47"/>
      <c r="HA123" s="47"/>
      <c r="HB123" s="47"/>
      <c r="HC123" s="47"/>
      <c r="HD123" s="47"/>
      <c r="HE123" s="47"/>
      <c r="HF123" s="47"/>
      <c r="HG123" s="47"/>
      <c r="HH123" s="47"/>
      <c r="HI123" s="47"/>
      <c r="HJ123" s="47"/>
      <c r="HK123" s="47"/>
      <c r="HL123" s="47"/>
      <c r="HM123" s="47"/>
      <c r="HN123" s="47"/>
      <c r="HO123" s="47"/>
      <c r="HP123" s="47"/>
      <c r="HQ123" s="47"/>
      <c r="HR123" s="47"/>
      <c r="HS123" s="47"/>
      <c r="HT123" s="47"/>
      <c r="HU123" s="47"/>
      <c r="HV123" s="47"/>
      <c r="HW123" s="47"/>
      <c r="HX123" s="47"/>
      <c r="HY123" s="47"/>
      <c r="HZ123" s="47"/>
      <c r="IA123" s="47"/>
      <c r="IB123" s="47"/>
      <c r="IC123" s="47"/>
      <c r="ID123" s="47"/>
      <c r="IE123" s="47"/>
      <c r="IF123" s="47"/>
      <c r="IG123" s="47"/>
      <c r="IH123" s="47"/>
      <c r="II123" s="47"/>
      <c r="IJ123" s="47"/>
      <c r="IK123" s="47"/>
      <c r="IL123" s="47"/>
      <c r="IM123" s="47"/>
      <c r="IN123" s="47"/>
      <c r="IO123" s="47"/>
      <c r="IP123" s="47"/>
      <c r="IQ123" s="47"/>
      <c r="IR123" s="47"/>
      <c r="IS123" s="47"/>
      <c r="IT123" s="47"/>
      <c r="IU123" s="47"/>
      <c r="IV123" s="47"/>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D123" s="53">
        <v>8.8999999999999899E-2</v>
      </c>
      <c r="NE123" s="47">
        <v>-21021.605963450671</v>
      </c>
      <c r="NF123" s="13">
        <v>0.61</v>
      </c>
      <c r="NG123" s="1">
        <f>Combine!A125</f>
        <v>48017</v>
      </c>
      <c r="NH123" s="14">
        <f>Combine!F125</f>
        <v>253649.749770931</v>
      </c>
    </row>
    <row r="124" spans="1:372" ht="12.75" customHeight="1" x14ac:dyDescent="0.3">
      <c r="A124" s="59"/>
      <c r="D124" s="61"/>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c r="AW124" s="47"/>
      <c r="AX124" s="47"/>
      <c r="AY124" s="47"/>
      <c r="AZ124" s="47"/>
      <c r="BA124" s="47"/>
      <c r="BB124" s="47"/>
      <c r="BC124" s="47"/>
      <c r="BD124" s="47"/>
      <c r="BE124" s="47"/>
      <c r="BF124" s="47"/>
      <c r="BG124" s="47"/>
      <c r="BH124" s="47"/>
      <c r="BI124" s="47"/>
      <c r="BJ124" s="47"/>
      <c r="BK124" s="47"/>
      <c r="BL124" s="47"/>
      <c r="BM124" s="47"/>
      <c r="BN124" s="47"/>
      <c r="BO124" s="47"/>
      <c r="BP124" s="47"/>
      <c r="BQ124" s="47"/>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c r="CO124" s="47"/>
      <c r="CP124" s="47"/>
      <c r="CQ124" s="47"/>
      <c r="CR124" s="47"/>
      <c r="CS124" s="47"/>
      <c r="CT124" s="47"/>
      <c r="CU124" s="47"/>
      <c r="CV124" s="47"/>
      <c r="CW124" s="47"/>
      <c r="CX124" s="47"/>
      <c r="CY124" s="47"/>
      <c r="CZ124" s="47"/>
      <c r="DA124" s="47"/>
      <c r="DB124" s="47"/>
      <c r="DC124" s="47"/>
      <c r="DD124" s="47"/>
      <c r="DE124" s="47"/>
      <c r="DF124" s="47"/>
      <c r="DG124" s="47"/>
      <c r="DH124" s="47"/>
      <c r="DI124" s="47"/>
      <c r="DJ124" s="47"/>
      <c r="DK124" s="47"/>
      <c r="DL124" s="47"/>
      <c r="DM124" s="47"/>
      <c r="DN124" s="47"/>
      <c r="DO124" s="47"/>
      <c r="DP124" s="47"/>
      <c r="DQ124" s="47"/>
      <c r="DR124" s="47"/>
      <c r="DS124" s="47"/>
      <c r="DT124" s="47"/>
      <c r="DU124" s="47"/>
      <c r="DV124" s="47"/>
      <c r="DW124" s="47"/>
      <c r="DX124" s="47"/>
      <c r="DY124" s="47"/>
      <c r="DZ124" s="47"/>
      <c r="EA124" s="47"/>
      <c r="EB124" s="47"/>
      <c r="EC124" s="47"/>
      <c r="ED124" s="47"/>
      <c r="EE124" s="47"/>
      <c r="EF124" s="47"/>
      <c r="EG124" s="47"/>
      <c r="EH124" s="47"/>
      <c r="EI124" s="47"/>
      <c r="EJ124" s="47"/>
      <c r="EK124" s="47"/>
      <c r="EL124" s="47"/>
      <c r="EM124" s="47"/>
      <c r="EN124" s="47"/>
      <c r="EO124" s="47"/>
      <c r="EP124" s="47"/>
      <c r="EQ124" s="47"/>
      <c r="ER124" s="47"/>
      <c r="ES124" s="47"/>
      <c r="ET124" s="47"/>
      <c r="EU124" s="47"/>
      <c r="EV124" s="47"/>
      <c r="EW124" s="47"/>
      <c r="EX124" s="47"/>
      <c r="EY124" s="47"/>
      <c r="EZ124" s="47"/>
      <c r="FA124" s="47"/>
      <c r="FB124" s="47"/>
      <c r="FC124" s="47"/>
      <c r="FD124" s="47"/>
      <c r="FE124" s="47"/>
      <c r="FF124" s="47"/>
      <c r="FG124" s="47"/>
      <c r="FH124" s="47"/>
      <c r="FI124" s="47"/>
      <c r="FJ124" s="47"/>
      <c r="FK124" s="47"/>
      <c r="FL124" s="47"/>
      <c r="FM124" s="47"/>
      <c r="FN124" s="47"/>
      <c r="FO124" s="47"/>
      <c r="FP124" s="47"/>
      <c r="FQ124" s="47"/>
      <c r="FR124" s="47"/>
      <c r="FS124" s="47"/>
      <c r="FT124" s="47"/>
      <c r="FU124" s="47"/>
      <c r="FV124" s="47"/>
      <c r="FW124" s="47"/>
      <c r="FX124" s="47"/>
      <c r="FY124" s="47"/>
      <c r="FZ124" s="47"/>
      <c r="GA124" s="47"/>
      <c r="GB124" s="47"/>
      <c r="GC124" s="47"/>
      <c r="GD124" s="47"/>
      <c r="GE124" s="47"/>
      <c r="GF124" s="47"/>
      <c r="GG124" s="47"/>
      <c r="GH124" s="47"/>
      <c r="GI124" s="47"/>
      <c r="GJ124" s="47"/>
      <c r="GK124" s="47"/>
      <c r="GL124" s="47"/>
      <c r="GM124" s="47"/>
      <c r="GN124" s="47"/>
      <c r="GO124" s="47"/>
      <c r="GP124" s="47"/>
      <c r="GQ124" s="47"/>
      <c r="GR124" s="47"/>
      <c r="GS124" s="47"/>
      <c r="GT124" s="47"/>
      <c r="GU124" s="47"/>
      <c r="GV124" s="47"/>
      <c r="GW124" s="47"/>
      <c r="GX124" s="47"/>
      <c r="GY124" s="47"/>
      <c r="GZ124" s="47"/>
      <c r="HA124" s="47"/>
      <c r="HB124" s="47"/>
      <c r="HC124" s="47"/>
      <c r="HD124" s="47"/>
      <c r="HE124" s="47"/>
      <c r="HF124" s="47"/>
      <c r="HG124" s="47"/>
      <c r="HH124" s="47"/>
      <c r="HI124" s="47"/>
      <c r="HJ124" s="47"/>
      <c r="HK124" s="47"/>
      <c r="HL124" s="47"/>
      <c r="HM124" s="47"/>
      <c r="HN124" s="47"/>
      <c r="HO124" s="47"/>
      <c r="HP124" s="47"/>
      <c r="HQ124" s="47"/>
      <c r="HR124" s="47"/>
      <c r="HS124" s="47"/>
      <c r="HT124" s="47"/>
      <c r="HU124" s="47"/>
      <c r="HV124" s="47"/>
      <c r="HW124" s="47"/>
      <c r="HX124" s="47"/>
      <c r="HY124" s="47"/>
      <c r="HZ124" s="47"/>
      <c r="IA124" s="47"/>
      <c r="IB124" s="47"/>
      <c r="IC124" s="47"/>
      <c r="ID124" s="47"/>
      <c r="IE124" s="47"/>
      <c r="IF124" s="47"/>
      <c r="IG124" s="47"/>
      <c r="IH124" s="47"/>
      <c r="II124" s="47"/>
      <c r="IJ124" s="47"/>
      <c r="IK124" s="47"/>
      <c r="IL124" s="47"/>
      <c r="IM124" s="47"/>
      <c r="IN124" s="47"/>
      <c r="IO124" s="47"/>
      <c r="IP124" s="47"/>
      <c r="IQ124" s="47"/>
      <c r="IR124" s="47"/>
      <c r="IS124" s="47"/>
      <c r="IT124" s="47"/>
      <c r="IU124" s="47"/>
      <c r="IV124" s="47"/>
      <c r="IW124" s="1"/>
      <c r="IX124" s="1"/>
      <c r="IY124" s="1"/>
      <c r="IZ124" s="1"/>
      <c r="JA124" s="1"/>
      <c r="JB124" s="1"/>
      <c r="JC124" s="1"/>
      <c r="JD124" s="1"/>
      <c r="JE124" s="1"/>
      <c r="JF124" s="1"/>
      <c r="JG124" s="1"/>
      <c r="JH124" s="1"/>
      <c r="JI124" s="1"/>
      <c r="JJ124" s="1"/>
      <c r="JK124" s="1"/>
      <c r="JL124" s="1"/>
      <c r="JM124" s="1"/>
      <c r="JN124" s="1"/>
      <c r="JO124" s="1"/>
      <c r="JP124" s="1"/>
      <c r="JQ124" s="1"/>
      <c r="JR124" s="1"/>
      <c r="JS124" s="1"/>
      <c r="JT124" s="1"/>
      <c r="JU124" s="1"/>
      <c r="JV124" s="1"/>
      <c r="JW124" s="1"/>
      <c r="JX124" s="1"/>
      <c r="JY124" s="1"/>
      <c r="JZ124" s="1"/>
      <c r="KA124" s="1"/>
      <c r="KB124" s="1"/>
      <c r="KC124" s="1"/>
      <c r="KD124" s="1"/>
      <c r="KE124" s="1"/>
      <c r="KF124" s="1"/>
      <c r="KG124" s="1"/>
      <c r="KH124" s="1"/>
      <c r="KI124" s="1"/>
      <c r="KJ124" s="1"/>
      <c r="KK124" s="1"/>
      <c r="KL124" s="1"/>
      <c r="KM124" s="1"/>
      <c r="KN124" s="1"/>
      <c r="KO124" s="1"/>
      <c r="KP124" s="1"/>
      <c r="KQ124" s="1"/>
      <c r="KR124" s="1"/>
      <c r="KS124" s="1"/>
      <c r="KT124" s="1"/>
      <c r="KU124" s="1"/>
      <c r="KV124" s="1"/>
      <c r="KW124" s="1"/>
      <c r="KX124" s="1"/>
      <c r="KY124" s="1"/>
      <c r="KZ124" s="1"/>
      <c r="LA124" s="1"/>
      <c r="LB124" s="1"/>
      <c r="LC124" s="1"/>
      <c r="LD124" s="1"/>
      <c r="LE124" s="1"/>
      <c r="LF124" s="1"/>
      <c r="LG124" s="1"/>
      <c r="LH124" s="1"/>
      <c r="LI124" s="1"/>
      <c r="LJ124" s="1"/>
      <c r="LK124" s="1"/>
      <c r="LL124" s="1"/>
      <c r="LM124" s="1"/>
      <c r="LN124" s="1"/>
      <c r="LO124" s="1"/>
      <c r="LP124" s="1"/>
      <c r="LQ124" s="1"/>
      <c r="LR124" s="1"/>
      <c r="LS124" s="1"/>
      <c r="LT124" s="1"/>
      <c r="LU124" s="1"/>
      <c r="LV124" s="1"/>
      <c r="LW124" s="1"/>
      <c r="LX124" s="1"/>
      <c r="LY124" s="1"/>
      <c r="LZ124" s="1"/>
      <c r="MA124" s="1"/>
      <c r="MB124" s="1"/>
      <c r="MC124" s="1"/>
      <c r="MD124" s="1"/>
      <c r="ME124" s="1"/>
      <c r="MF124" s="1"/>
      <c r="MG124" s="1"/>
      <c r="MH124" s="1"/>
      <c r="MI124" s="1"/>
      <c r="MJ124" s="1"/>
      <c r="MK124" s="1"/>
      <c r="ML124" s="1"/>
      <c r="MM124" s="1"/>
      <c r="MN124" s="1"/>
      <c r="MO124" s="1"/>
      <c r="MP124" s="1"/>
      <c r="MQ124" s="1"/>
      <c r="MR124" s="1"/>
      <c r="MS124" s="1"/>
      <c r="MT124" s="1"/>
      <c r="MU124" s="1"/>
      <c r="MV124" s="1"/>
      <c r="MW124" s="1"/>
      <c r="MX124" s="1"/>
      <c r="MY124" s="1"/>
      <c r="MZ124" s="1"/>
      <c r="NA124" s="1"/>
      <c r="NB124" s="1"/>
      <c r="ND124" s="53">
        <v>8.99999999999999E-2</v>
      </c>
      <c r="NE124" s="47">
        <v>-23216.708610063928</v>
      </c>
      <c r="NF124" s="13">
        <v>0.61499999999999999</v>
      </c>
      <c r="NG124" s="1">
        <f>Combine!A126</f>
        <v>48166</v>
      </c>
      <c r="NH124" s="14">
        <f>Combine!F126</f>
        <v>189239.476675304</v>
      </c>
    </row>
    <row r="125" spans="1:372" ht="12.75" customHeight="1" x14ac:dyDescent="0.3">
      <c r="A125" s="59"/>
      <c r="D125" s="61"/>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c r="AW125" s="47"/>
      <c r="AX125" s="47"/>
      <c r="AY125" s="47"/>
      <c r="AZ125" s="47"/>
      <c r="BA125" s="47"/>
      <c r="BB125" s="47"/>
      <c r="BC125" s="47"/>
      <c r="BD125" s="47"/>
      <c r="BE125" s="47"/>
      <c r="BF125" s="47"/>
      <c r="BG125" s="47"/>
      <c r="BH125" s="47"/>
      <c r="BI125" s="47"/>
      <c r="BJ125" s="47"/>
      <c r="BK125" s="47"/>
      <c r="BL125" s="47"/>
      <c r="BM125" s="47"/>
      <c r="BN125" s="47"/>
      <c r="BO125" s="47"/>
      <c r="BP125" s="47"/>
      <c r="BQ125" s="47"/>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c r="CO125" s="47"/>
      <c r="CP125" s="47"/>
      <c r="CQ125" s="47"/>
      <c r="CR125" s="47"/>
      <c r="CS125" s="47"/>
      <c r="CT125" s="47"/>
      <c r="CU125" s="47"/>
      <c r="CV125" s="47"/>
      <c r="CW125" s="47"/>
      <c r="CX125" s="47"/>
      <c r="CY125" s="47"/>
      <c r="CZ125" s="47"/>
      <c r="DA125" s="47"/>
      <c r="DB125" s="47"/>
      <c r="DC125" s="47"/>
      <c r="DD125" s="47"/>
      <c r="DE125" s="47"/>
      <c r="DF125" s="47"/>
      <c r="DG125" s="47"/>
      <c r="DH125" s="47"/>
      <c r="DI125" s="47"/>
      <c r="DJ125" s="47"/>
      <c r="DK125" s="47"/>
      <c r="DL125" s="47"/>
      <c r="DM125" s="47"/>
      <c r="DN125" s="47"/>
      <c r="DO125" s="47"/>
      <c r="DP125" s="47"/>
      <c r="DQ125" s="47"/>
      <c r="DR125" s="47"/>
      <c r="DS125" s="47"/>
      <c r="DT125" s="47"/>
      <c r="DU125" s="47"/>
      <c r="DV125" s="47"/>
      <c r="DW125" s="47"/>
      <c r="DX125" s="47"/>
      <c r="DY125" s="47"/>
      <c r="DZ125" s="47"/>
      <c r="EA125" s="47"/>
      <c r="EB125" s="47"/>
      <c r="EC125" s="47"/>
      <c r="ED125" s="47"/>
      <c r="EE125" s="47"/>
      <c r="EF125" s="47"/>
      <c r="EG125" s="47"/>
      <c r="EH125" s="47"/>
      <c r="EI125" s="47"/>
      <c r="EJ125" s="47"/>
      <c r="EK125" s="47"/>
      <c r="EL125" s="47"/>
      <c r="EM125" s="47"/>
      <c r="EN125" s="47"/>
      <c r="EO125" s="47"/>
      <c r="EP125" s="47"/>
      <c r="EQ125" s="47"/>
      <c r="ER125" s="47"/>
      <c r="ES125" s="47"/>
      <c r="ET125" s="47"/>
      <c r="EU125" s="47"/>
      <c r="EV125" s="47"/>
      <c r="EW125" s="47"/>
      <c r="EX125" s="47"/>
      <c r="EY125" s="47"/>
      <c r="EZ125" s="47"/>
      <c r="FA125" s="47"/>
      <c r="FB125" s="47"/>
      <c r="FC125" s="47"/>
      <c r="FD125" s="47"/>
      <c r="FE125" s="47"/>
      <c r="FF125" s="47"/>
      <c r="FG125" s="47"/>
      <c r="FH125" s="47"/>
      <c r="FI125" s="47"/>
      <c r="FJ125" s="47"/>
      <c r="FK125" s="47"/>
      <c r="FL125" s="47"/>
      <c r="FM125" s="47"/>
      <c r="FN125" s="47"/>
      <c r="FO125" s="47"/>
      <c r="FP125" s="47"/>
      <c r="FQ125" s="47"/>
      <c r="FR125" s="47"/>
      <c r="FS125" s="47"/>
      <c r="FT125" s="47"/>
      <c r="FU125" s="47"/>
      <c r="FV125" s="47"/>
      <c r="FW125" s="47"/>
      <c r="FX125" s="47"/>
      <c r="FY125" s="47"/>
      <c r="FZ125" s="47"/>
      <c r="GA125" s="47"/>
      <c r="GB125" s="47"/>
      <c r="GC125" s="47"/>
      <c r="GD125" s="47"/>
      <c r="GE125" s="47"/>
      <c r="GF125" s="47"/>
      <c r="GG125" s="47"/>
      <c r="GH125" s="47"/>
      <c r="GI125" s="47"/>
      <c r="GJ125" s="47"/>
      <c r="GK125" s="47"/>
      <c r="GL125" s="47"/>
      <c r="GM125" s="47"/>
      <c r="GN125" s="47"/>
      <c r="GO125" s="47"/>
      <c r="GP125" s="47"/>
      <c r="GQ125" s="47"/>
      <c r="GR125" s="47"/>
      <c r="GS125" s="47"/>
      <c r="GT125" s="47"/>
      <c r="GU125" s="47"/>
      <c r="GV125" s="47"/>
      <c r="GW125" s="47"/>
      <c r="GX125" s="47"/>
      <c r="GY125" s="47"/>
      <c r="GZ125" s="47"/>
      <c r="HA125" s="47"/>
      <c r="HB125" s="47"/>
      <c r="HC125" s="47"/>
      <c r="HD125" s="47"/>
      <c r="HE125" s="47"/>
      <c r="HF125" s="47"/>
      <c r="HG125" s="47"/>
      <c r="HH125" s="47"/>
      <c r="HI125" s="47"/>
      <c r="HJ125" s="47"/>
      <c r="HK125" s="47"/>
      <c r="HL125" s="47"/>
      <c r="HM125" s="47"/>
      <c r="HN125" s="47"/>
      <c r="HO125" s="47"/>
      <c r="HP125" s="47"/>
      <c r="HQ125" s="47"/>
      <c r="HR125" s="47"/>
      <c r="HS125" s="47"/>
      <c r="HT125" s="47"/>
      <c r="HU125" s="47"/>
      <c r="HV125" s="47"/>
      <c r="HW125" s="47"/>
      <c r="HX125" s="47"/>
      <c r="HY125" s="47"/>
      <c r="HZ125" s="47"/>
      <c r="IA125" s="47"/>
      <c r="IB125" s="47"/>
      <c r="IC125" s="47"/>
      <c r="ID125" s="47"/>
      <c r="IE125" s="47"/>
      <c r="IF125" s="47"/>
      <c r="IG125" s="47"/>
      <c r="IH125" s="47"/>
      <c r="II125" s="47"/>
      <c r="IJ125" s="47"/>
      <c r="IK125" s="47"/>
      <c r="IL125" s="47"/>
      <c r="IM125" s="47"/>
      <c r="IN125" s="47"/>
      <c r="IO125" s="47"/>
      <c r="IP125" s="47"/>
      <c r="IQ125" s="47"/>
      <c r="IR125" s="47"/>
      <c r="IS125" s="47"/>
      <c r="IT125" s="47"/>
      <c r="IU125" s="47"/>
      <c r="IV125" s="47"/>
      <c r="IW125" s="1"/>
      <c r="IX125" s="1"/>
      <c r="IY125" s="1"/>
      <c r="IZ125" s="1"/>
      <c r="JA125" s="1"/>
      <c r="JB125" s="1"/>
      <c r="JC125" s="1"/>
      <c r="JD125" s="1"/>
      <c r="JE125" s="1"/>
      <c r="JF125" s="1"/>
      <c r="JG125" s="1"/>
      <c r="JH125" s="1"/>
      <c r="JI125" s="1"/>
      <c r="JJ125" s="1"/>
      <c r="JK125" s="1"/>
      <c r="JL125" s="1"/>
      <c r="JM125" s="1"/>
      <c r="JN125" s="1"/>
      <c r="JO125" s="1"/>
      <c r="JP125" s="1"/>
      <c r="JQ125" s="1"/>
      <c r="JR125" s="1"/>
      <c r="JS125" s="1"/>
      <c r="JT125" s="1"/>
      <c r="JU125" s="1"/>
      <c r="JV125" s="1"/>
      <c r="JW125" s="1"/>
      <c r="JX125" s="1"/>
      <c r="JY125" s="1"/>
      <c r="JZ125" s="1"/>
      <c r="KA125" s="1"/>
      <c r="KB125" s="1"/>
      <c r="KC125" s="1"/>
      <c r="KD125" s="1"/>
      <c r="KE125" s="1"/>
      <c r="KF125" s="1"/>
      <c r="KG125" s="1"/>
      <c r="KH125" s="1"/>
      <c r="KI125" s="1"/>
      <c r="KJ125" s="1"/>
      <c r="KK125" s="1"/>
      <c r="KL125" s="1"/>
      <c r="KM125" s="1"/>
      <c r="KN125" s="1"/>
      <c r="KO125" s="1"/>
      <c r="KP125" s="1"/>
      <c r="KQ125" s="1"/>
      <c r="KR125" s="1"/>
      <c r="KS125" s="1"/>
      <c r="KT125" s="1"/>
      <c r="KU125" s="1"/>
      <c r="KV125" s="1"/>
      <c r="KW125" s="1"/>
      <c r="KX125" s="1"/>
      <c r="KY125" s="1"/>
      <c r="KZ125" s="1"/>
      <c r="LA125" s="1"/>
      <c r="LB125" s="1"/>
      <c r="LC125" s="1"/>
      <c r="LD125" s="1"/>
      <c r="LE125" s="1"/>
      <c r="LF125" s="1"/>
      <c r="LG125" s="1"/>
      <c r="LH125" s="1"/>
      <c r="LI125" s="1"/>
      <c r="LJ125" s="1"/>
      <c r="LK125" s="1"/>
      <c r="LL125" s="1"/>
      <c r="LM125" s="1"/>
      <c r="LN125" s="1"/>
      <c r="LO125" s="1"/>
      <c r="LP125" s="1"/>
      <c r="LQ125" s="1"/>
      <c r="LR125" s="1"/>
      <c r="LS125" s="1"/>
      <c r="LT125" s="1"/>
      <c r="LU125" s="1"/>
      <c r="LV125" s="1"/>
      <c r="LW125" s="1"/>
      <c r="LX125" s="1"/>
      <c r="LY125" s="1"/>
      <c r="LZ125" s="1"/>
      <c r="MA125" s="1"/>
      <c r="MB125" s="1"/>
      <c r="MC125" s="1"/>
      <c r="MD125" s="1"/>
      <c r="ME125" s="1"/>
      <c r="MF125" s="1"/>
      <c r="MG125" s="1"/>
      <c r="MH125" s="1"/>
      <c r="MI125" s="1"/>
      <c r="MJ125" s="1"/>
      <c r="MK125" s="1"/>
      <c r="ML125" s="1"/>
      <c r="MM125" s="1"/>
      <c r="MN125" s="1"/>
      <c r="MO125" s="1"/>
      <c r="MP125" s="1"/>
      <c r="MQ125" s="1"/>
      <c r="MR125" s="1"/>
      <c r="MS125" s="1"/>
      <c r="MT125" s="1"/>
      <c r="MU125" s="1"/>
      <c r="MV125" s="1"/>
      <c r="MW125" s="1"/>
      <c r="MX125" s="1"/>
      <c r="MY125" s="1"/>
      <c r="MZ125" s="1"/>
      <c r="NA125" s="1"/>
      <c r="NB125" s="1"/>
      <c r="ND125" s="53">
        <v>9.09999999999999E-2</v>
      </c>
      <c r="NE125" s="47">
        <v>-25414.605807459033</v>
      </c>
      <c r="NF125" s="13">
        <v>0.62</v>
      </c>
      <c r="NG125" s="1">
        <f>Combine!A127</f>
        <v>48359</v>
      </c>
      <c r="NH125" s="14">
        <f>Combine!F127</f>
        <v>330401.02846807201</v>
      </c>
    </row>
    <row r="126" spans="1:372" ht="12.75" customHeight="1" x14ac:dyDescent="0.3">
      <c r="A126" s="59"/>
      <c r="D126" s="61"/>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c r="AW126" s="47"/>
      <c r="AX126" s="47"/>
      <c r="AY126" s="47"/>
      <c r="AZ126" s="47"/>
      <c r="BA126" s="47"/>
      <c r="BB126" s="47"/>
      <c r="BC126" s="47"/>
      <c r="BD126" s="47"/>
      <c r="BE126" s="47"/>
      <c r="BF126" s="47"/>
      <c r="BG126" s="47"/>
      <c r="BH126" s="47"/>
      <c r="BI126" s="47"/>
      <c r="BJ126" s="47"/>
      <c r="BK126" s="47"/>
      <c r="BL126" s="47"/>
      <c r="BM126" s="47"/>
      <c r="BN126" s="47"/>
      <c r="BO126" s="47"/>
      <c r="BP126" s="47"/>
      <c r="BQ126" s="47"/>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c r="CO126" s="47"/>
      <c r="CP126" s="47"/>
      <c r="CQ126" s="47"/>
      <c r="CR126" s="47"/>
      <c r="CS126" s="47"/>
      <c r="CT126" s="47"/>
      <c r="CU126" s="47"/>
      <c r="CV126" s="47"/>
      <c r="CW126" s="47"/>
      <c r="CX126" s="47"/>
      <c r="CY126" s="47"/>
      <c r="CZ126" s="47"/>
      <c r="DA126" s="47"/>
      <c r="DB126" s="47"/>
      <c r="DC126" s="47"/>
      <c r="DD126" s="47"/>
      <c r="DE126" s="47"/>
      <c r="DF126" s="47"/>
      <c r="DG126" s="47"/>
      <c r="DH126" s="47"/>
      <c r="DI126" s="47"/>
      <c r="DJ126" s="47"/>
      <c r="DK126" s="47"/>
      <c r="DL126" s="47"/>
      <c r="DM126" s="47"/>
      <c r="DN126" s="47"/>
      <c r="DO126" s="47"/>
      <c r="DP126" s="47"/>
      <c r="DQ126" s="47"/>
      <c r="DR126" s="47"/>
      <c r="DS126" s="47"/>
      <c r="DT126" s="47"/>
      <c r="DU126" s="47"/>
      <c r="DV126" s="47"/>
      <c r="DW126" s="47"/>
      <c r="DX126" s="47"/>
      <c r="DY126" s="47"/>
      <c r="DZ126" s="47"/>
      <c r="EA126" s="47"/>
      <c r="EB126" s="47"/>
      <c r="EC126" s="47"/>
      <c r="ED126" s="47"/>
      <c r="EE126" s="47"/>
      <c r="EF126" s="47"/>
      <c r="EG126" s="47"/>
      <c r="EH126" s="47"/>
      <c r="EI126" s="47"/>
      <c r="EJ126" s="47"/>
      <c r="EK126" s="47"/>
      <c r="EL126" s="47"/>
      <c r="EM126" s="47"/>
      <c r="EN126" s="47"/>
      <c r="EO126" s="47"/>
      <c r="EP126" s="47"/>
      <c r="EQ126" s="47"/>
      <c r="ER126" s="47"/>
      <c r="ES126" s="47"/>
      <c r="ET126" s="47"/>
      <c r="EU126" s="47"/>
      <c r="EV126" s="47"/>
      <c r="EW126" s="47"/>
      <c r="EX126" s="47"/>
      <c r="EY126" s="47"/>
      <c r="EZ126" s="47"/>
      <c r="FA126" s="47"/>
      <c r="FB126" s="47"/>
      <c r="FC126" s="47"/>
      <c r="FD126" s="47"/>
      <c r="FE126" s="47"/>
      <c r="FF126" s="47"/>
      <c r="FG126" s="47"/>
      <c r="FH126" s="47"/>
      <c r="FI126" s="47"/>
      <c r="FJ126" s="47"/>
      <c r="FK126" s="47"/>
      <c r="FL126" s="47"/>
      <c r="FM126" s="47"/>
      <c r="FN126" s="47"/>
      <c r="FO126" s="47"/>
      <c r="FP126" s="47"/>
      <c r="FQ126" s="47"/>
      <c r="FR126" s="47"/>
      <c r="FS126" s="47"/>
      <c r="FT126" s="47"/>
      <c r="FU126" s="47"/>
      <c r="FV126" s="47"/>
      <c r="FW126" s="47"/>
      <c r="FX126" s="47"/>
      <c r="FY126" s="47"/>
      <c r="FZ126" s="47"/>
      <c r="GA126" s="47"/>
      <c r="GB126" s="47"/>
      <c r="GC126" s="47"/>
      <c r="GD126" s="47"/>
      <c r="GE126" s="47"/>
      <c r="GF126" s="47"/>
      <c r="GG126" s="47"/>
      <c r="GH126" s="47"/>
      <c r="GI126" s="47"/>
      <c r="GJ126" s="47"/>
      <c r="GK126" s="47"/>
      <c r="GL126" s="47"/>
      <c r="GM126" s="47"/>
      <c r="GN126" s="47"/>
      <c r="GO126" s="47"/>
      <c r="GP126" s="47"/>
      <c r="GQ126" s="47"/>
      <c r="GR126" s="47"/>
      <c r="GS126" s="47"/>
      <c r="GT126" s="47"/>
      <c r="GU126" s="47"/>
      <c r="GV126" s="47"/>
      <c r="GW126" s="47"/>
      <c r="GX126" s="47"/>
      <c r="GY126" s="47"/>
      <c r="GZ126" s="47"/>
      <c r="HA126" s="47"/>
      <c r="HB126" s="47"/>
      <c r="HC126" s="47"/>
      <c r="HD126" s="47"/>
      <c r="HE126" s="47"/>
      <c r="HF126" s="47"/>
      <c r="HG126" s="47"/>
      <c r="HH126" s="47"/>
      <c r="HI126" s="47"/>
      <c r="HJ126" s="47"/>
      <c r="HK126" s="47"/>
      <c r="HL126" s="47"/>
      <c r="HM126" s="47"/>
      <c r="HN126" s="47"/>
      <c r="HO126" s="47"/>
      <c r="HP126" s="47"/>
      <c r="HQ126" s="47"/>
      <c r="HR126" s="47"/>
      <c r="HS126" s="47"/>
      <c r="HT126" s="47"/>
      <c r="HU126" s="47"/>
      <c r="HV126" s="47"/>
      <c r="HW126" s="47"/>
      <c r="HX126" s="47"/>
      <c r="HY126" s="47"/>
      <c r="HZ126" s="47"/>
      <c r="IA126" s="47"/>
      <c r="IB126" s="47"/>
      <c r="IC126" s="47"/>
      <c r="ID126" s="47"/>
      <c r="IE126" s="47"/>
      <c r="IF126" s="47"/>
      <c r="IG126" s="47"/>
      <c r="IH126" s="47"/>
      <c r="II126" s="47"/>
      <c r="IJ126" s="47"/>
      <c r="IK126" s="47"/>
      <c r="IL126" s="47"/>
      <c r="IM126" s="47"/>
      <c r="IN126" s="47"/>
      <c r="IO126" s="47"/>
      <c r="IP126" s="47"/>
      <c r="IQ126" s="47"/>
      <c r="IR126" s="47"/>
      <c r="IS126" s="47"/>
      <c r="IT126" s="47"/>
      <c r="IU126" s="47"/>
      <c r="IV126" s="47"/>
      <c r="IW126" s="1"/>
      <c r="IX126" s="1"/>
      <c r="IY126" s="1"/>
      <c r="IZ126" s="1"/>
      <c r="JA126" s="1"/>
      <c r="JB126" s="1"/>
      <c r="JC126" s="1"/>
      <c r="JD126" s="1"/>
      <c r="JE126" s="1"/>
      <c r="JF126" s="1"/>
      <c r="JG126" s="1"/>
      <c r="JH126" s="1"/>
      <c r="JI126" s="1"/>
      <c r="JJ126" s="1"/>
      <c r="JK126" s="1"/>
      <c r="JL126" s="1"/>
      <c r="JM126" s="1"/>
      <c r="JN126" s="1"/>
      <c r="JO126" s="1"/>
      <c r="JP126" s="1"/>
      <c r="JQ126" s="1"/>
      <c r="JR126" s="1"/>
      <c r="JS126" s="1"/>
      <c r="JT126" s="1"/>
      <c r="JU126" s="1"/>
      <c r="JV126" s="1"/>
      <c r="JW126" s="1"/>
      <c r="JX126" s="1"/>
      <c r="JY126" s="1"/>
      <c r="JZ126" s="1"/>
      <c r="KA126" s="1"/>
      <c r="KB126" s="1"/>
      <c r="KC126" s="1"/>
      <c r="KD126" s="1"/>
      <c r="KE126" s="1"/>
      <c r="KF126" s="1"/>
      <c r="KG126" s="1"/>
      <c r="KH126" s="1"/>
      <c r="KI126" s="1"/>
      <c r="KJ126" s="1"/>
      <c r="KK126" s="1"/>
      <c r="KL126" s="1"/>
      <c r="KM126" s="1"/>
      <c r="KN126" s="1"/>
      <c r="KO126" s="1"/>
      <c r="KP126" s="1"/>
      <c r="KQ126" s="1"/>
      <c r="KR126" s="1"/>
      <c r="KS126" s="1"/>
      <c r="KT126" s="1"/>
      <c r="KU126" s="1"/>
      <c r="KV126" s="1"/>
      <c r="KW126" s="1"/>
      <c r="KX126" s="1"/>
      <c r="KY126" s="1"/>
      <c r="KZ126" s="1"/>
      <c r="LA126" s="1"/>
      <c r="LB126" s="1"/>
      <c r="LC126" s="1"/>
      <c r="LD126" s="1"/>
      <c r="LE126" s="1"/>
      <c r="LF126" s="1"/>
      <c r="LG126" s="1"/>
      <c r="LH126" s="1"/>
      <c r="LI126" s="1"/>
      <c r="LJ126" s="1"/>
      <c r="LK126" s="1"/>
      <c r="LL126" s="1"/>
      <c r="LM126" s="1"/>
      <c r="LN126" s="1"/>
      <c r="LO126" s="1"/>
      <c r="LP126" s="1"/>
      <c r="LQ126" s="1"/>
      <c r="LR126" s="1"/>
      <c r="LS126" s="1"/>
      <c r="LT126" s="1"/>
      <c r="LU126" s="1"/>
      <c r="LV126" s="1"/>
      <c r="LW126" s="1"/>
      <c r="LX126" s="1"/>
      <c r="LY126" s="1"/>
      <c r="LZ126" s="1"/>
      <c r="MA126" s="1"/>
      <c r="MB126" s="1"/>
      <c r="MC126" s="1"/>
      <c r="MD126" s="1"/>
      <c r="ME126" s="1"/>
      <c r="MF126" s="1"/>
      <c r="MG126" s="1"/>
      <c r="MH126" s="1"/>
      <c r="MI126" s="1"/>
      <c r="MJ126" s="1"/>
      <c r="MK126" s="1"/>
      <c r="ML126" s="1"/>
      <c r="MM126" s="1"/>
      <c r="MN126" s="1"/>
      <c r="MO126" s="1"/>
      <c r="MP126" s="1"/>
      <c r="MQ126" s="1"/>
      <c r="MR126" s="1"/>
      <c r="MS126" s="1"/>
      <c r="MT126" s="1"/>
      <c r="MU126" s="1"/>
      <c r="MV126" s="1"/>
      <c r="MW126" s="1"/>
      <c r="MX126" s="1"/>
      <c r="MY126" s="1"/>
      <c r="MZ126" s="1"/>
      <c r="NA126" s="1"/>
      <c r="NB126" s="1"/>
      <c r="ND126" s="53">
        <v>9.1999999999999901E-2</v>
      </c>
      <c r="NE126" s="47">
        <v>-27615.234276667692</v>
      </c>
      <c r="NF126" s="13">
        <v>0.625</v>
      </c>
      <c r="NG126" s="1">
        <f>Combine!A128</f>
        <v>49007</v>
      </c>
      <c r="NH126" s="14">
        <f>Combine!F128</f>
        <v>84566.865153660896</v>
      </c>
    </row>
    <row r="127" spans="1:372" ht="12.75" customHeight="1" x14ac:dyDescent="0.3">
      <c r="A127" s="59"/>
      <c r="D127" s="61"/>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c r="AW127" s="47"/>
      <c r="AX127" s="47"/>
      <c r="AY127" s="47"/>
      <c r="AZ127" s="47"/>
      <c r="BA127" s="47"/>
      <c r="BB127" s="47"/>
      <c r="BC127" s="47"/>
      <c r="BD127" s="47"/>
      <c r="BE127" s="47"/>
      <c r="BF127" s="47"/>
      <c r="BG127" s="47"/>
      <c r="BH127" s="47"/>
      <c r="BI127" s="47"/>
      <c r="BJ127" s="47"/>
      <c r="BK127" s="47"/>
      <c r="BL127" s="47"/>
      <c r="BM127" s="47"/>
      <c r="BN127" s="47"/>
      <c r="BO127" s="47"/>
      <c r="BP127" s="47"/>
      <c r="BQ127" s="47"/>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c r="CO127" s="47"/>
      <c r="CP127" s="47"/>
      <c r="CQ127" s="47"/>
      <c r="CR127" s="47"/>
      <c r="CS127" s="47"/>
      <c r="CT127" s="47"/>
      <c r="CU127" s="47"/>
      <c r="CV127" s="47"/>
      <c r="CW127" s="47"/>
      <c r="CX127" s="47"/>
      <c r="CY127" s="47"/>
      <c r="CZ127" s="47"/>
      <c r="DA127" s="47"/>
      <c r="DB127" s="47"/>
      <c r="DC127" s="47"/>
      <c r="DD127" s="47"/>
      <c r="DE127" s="47"/>
      <c r="DF127" s="47"/>
      <c r="DG127" s="47"/>
      <c r="DH127" s="47"/>
      <c r="DI127" s="47"/>
      <c r="DJ127" s="47"/>
      <c r="DK127" s="47"/>
      <c r="DL127" s="47"/>
      <c r="DM127" s="47"/>
      <c r="DN127" s="47"/>
      <c r="DO127" s="47"/>
      <c r="DP127" s="47"/>
      <c r="DQ127" s="47"/>
      <c r="DR127" s="47"/>
      <c r="DS127" s="47"/>
      <c r="DT127" s="47"/>
      <c r="DU127" s="47"/>
      <c r="DV127" s="47"/>
      <c r="DW127" s="47"/>
      <c r="DX127" s="47"/>
      <c r="DY127" s="47"/>
      <c r="DZ127" s="47"/>
      <c r="EA127" s="47"/>
      <c r="EB127" s="47"/>
      <c r="EC127" s="47"/>
      <c r="ED127" s="47"/>
      <c r="EE127" s="47"/>
      <c r="EF127" s="47"/>
      <c r="EG127" s="47"/>
      <c r="EH127" s="47"/>
      <c r="EI127" s="47"/>
      <c r="EJ127" s="47"/>
      <c r="EK127" s="47"/>
      <c r="EL127" s="47"/>
      <c r="EM127" s="47"/>
      <c r="EN127" s="47"/>
      <c r="EO127" s="47"/>
      <c r="EP127" s="47"/>
      <c r="EQ127" s="47"/>
      <c r="ER127" s="47"/>
      <c r="ES127" s="47"/>
      <c r="ET127" s="47"/>
      <c r="EU127" s="47"/>
      <c r="EV127" s="47"/>
      <c r="EW127" s="47"/>
      <c r="EX127" s="47"/>
      <c r="EY127" s="47"/>
      <c r="EZ127" s="47"/>
      <c r="FA127" s="47"/>
      <c r="FB127" s="47"/>
      <c r="FC127" s="47"/>
      <c r="FD127" s="47"/>
      <c r="FE127" s="47"/>
      <c r="FF127" s="47"/>
      <c r="FG127" s="47"/>
      <c r="FH127" s="47"/>
      <c r="FI127" s="47"/>
      <c r="FJ127" s="47"/>
      <c r="FK127" s="47"/>
      <c r="FL127" s="47"/>
      <c r="FM127" s="47"/>
      <c r="FN127" s="47"/>
      <c r="FO127" s="47"/>
      <c r="FP127" s="47"/>
      <c r="FQ127" s="47"/>
      <c r="FR127" s="47"/>
      <c r="FS127" s="47"/>
      <c r="FT127" s="47"/>
      <c r="FU127" s="47"/>
      <c r="FV127" s="47"/>
      <c r="FW127" s="47"/>
      <c r="FX127" s="47"/>
      <c r="FY127" s="47"/>
      <c r="FZ127" s="47"/>
      <c r="GA127" s="47"/>
      <c r="GB127" s="47"/>
      <c r="GC127" s="47"/>
      <c r="GD127" s="47"/>
      <c r="GE127" s="47"/>
      <c r="GF127" s="47"/>
      <c r="GG127" s="47"/>
      <c r="GH127" s="47"/>
      <c r="GI127" s="47"/>
      <c r="GJ127" s="47"/>
      <c r="GK127" s="47"/>
      <c r="GL127" s="47"/>
      <c r="GM127" s="47"/>
      <c r="GN127" s="47"/>
      <c r="GO127" s="47"/>
      <c r="GP127" s="47"/>
      <c r="GQ127" s="47"/>
      <c r="GR127" s="47"/>
      <c r="GS127" s="47"/>
      <c r="GT127" s="47"/>
      <c r="GU127" s="47"/>
      <c r="GV127" s="47"/>
      <c r="GW127" s="47"/>
      <c r="GX127" s="47"/>
      <c r="GY127" s="47"/>
      <c r="GZ127" s="47"/>
      <c r="HA127" s="47"/>
      <c r="HB127" s="47"/>
      <c r="HC127" s="47"/>
      <c r="HD127" s="47"/>
      <c r="HE127" s="47"/>
      <c r="HF127" s="47"/>
      <c r="HG127" s="47"/>
      <c r="HH127" s="47"/>
      <c r="HI127" s="47"/>
      <c r="HJ127" s="47"/>
      <c r="HK127" s="47"/>
      <c r="HL127" s="47"/>
      <c r="HM127" s="47"/>
      <c r="HN127" s="47"/>
      <c r="HO127" s="47"/>
      <c r="HP127" s="47"/>
      <c r="HQ127" s="47"/>
      <c r="HR127" s="47"/>
      <c r="HS127" s="47"/>
      <c r="HT127" s="47"/>
      <c r="HU127" s="47"/>
      <c r="HV127" s="47"/>
      <c r="HW127" s="47"/>
      <c r="HX127" s="47"/>
      <c r="HY127" s="47"/>
      <c r="HZ127" s="47"/>
      <c r="IA127" s="47"/>
      <c r="IB127" s="47"/>
      <c r="IC127" s="47"/>
      <c r="ID127" s="47"/>
      <c r="IE127" s="47"/>
      <c r="IF127" s="47"/>
      <c r="IG127" s="47"/>
      <c r="IH127" s="47"/>
      <c r="II127" s="47"/>
      <c r="IJ127" s="47"/>
      <c r="IK127" s="47"/>
      <c r="IL127" s="47"/>
      <c r="IM127" s="47"/>
      <c r="IN127" s="47"/>
      <c r="IO127" s="47"/>
      <c r="IP127" s="47"/>
      <c r="IQ127" s="47"/>
      <c r="IR127" s="47"/>
      <c r="IS127" s="47"/>
      <c r="IT127" s="47"/>
      <c r="IU127" s="47"/>
      <c r="IV127" s="47"/>
      <c r="IW127" s="1"/>
      <c r="IX127" s="1"/>
      <c r="IY127" s="1"/>
      <c r="IZ127" s="1"/>
      <c r="JA127" s="1"/>
      <c r="JB127" s="1"/>
      <c r="JC127" s="1"/>
      <c r="JD127" s="1"/>
      <c r="JE127" s="1"/>
      <c r="JF127" s="1"/>
      <c r="JG127" s="1"/>
      <c r="JH127" s="1"/>
      <c r="JI127" s="1"/>
      <c r="JJ127" s="1"/>
      <c r="JK127" s="1"/>
      <c r="JL127" s="1"/>
      <c r="JM127" s="1"/>
      <c r="JN127" s="1"/>
      <c r="JO127" s="1"/>
      <c r="JP127" s="1"/>
      <c r="JQ127" s="1"/>
      <c r="JR127" s="1"/>
      <c r="JS127" s="1"/>
      <c r="JT127" s="1"/>
      <c r="JU127" s="1"/>
      <c r="JV127" s="1"/>
      <c r="JW127" s="1"/>
      <c r="JX127" s="1"/>
      <c r="JY127" s="1"/>
      <c r="JZ127" s="1"/>
      <c r="KA127" s="1"/>
      <c r="KB127" s="1"/>
      <c r="KC127" s="1"/>
      <c r="KD127" s="1"/>
      <c r="KE127" s="1"/>
      <c r="KF127" s="1"/>
      <c r="KG127" s="1"/>
      <c r="KH127" s="1"/>
      <c r="KI127" s="1"/>
      <c r="KJ127" s="1"/>
      <c r="KK127" s="1"/>
      <c r="KL127" s="1"/>
      <c r="KM127" s="1"/>
      <c r="KN127" s="1"/>
      <c r="KO127" s="1"/>
      <c r="KP127" s="1"/>
      <c r="KQ127" s="1"/>
      <c r="KR127" s="1"/>
      <c r="KS127" s="1"/>
      <c r="KT127" s="1"/>
      <c r="KU127" s="1"/>
      <c r="KV127" s="1"/>
      <c r="KW127" s="1"/>
      <c r="KX127" s="1"/>
      <c r="KY127" s="1"/>
      <c r="KZ127" s="1"/>
      <c r="LA127" s="1"/>
      <c r="LB127" s="1"/>
      <c r="LC127" s="1"/>
      <c r="LD127" s="1"/>
      <c r="LE127" s="1"/>
      <c r="LF127" s="1"/>
      <c r="LG127" s="1"/>
      <c r="LH127" s="1"/>
      <c r="LI127" s="1"/>
      <c r="LJ127" s="1"/>
      <c r="LK127" s="1"/>
      <c r="LL127" s="1"/>
      <c r="LM127" s="1"/>
      <c r="LN127" s="1"/>
      <c r="LO127" s="1"/>
      <c r="LP127" s="1"/>
      <c r="LQ127" s="1"/>
      <c r="LR127" s="1"/>
      <c r="LS127" s="1"/>
      <c r="LT127" s="1"/>
      <c r="LU127" s="1"/>
      <c r="LV127" s="1"/>
      <c r="LW127" s="1"/>
      <c r="LX127" s="1"/>
      <c r="LY127" s="1"/>
      <c r="LZ127" s="1"/>
      <c r="MA127" s="1"/>
      <c r="MB127" s="1"/>
      <c r="MC127" s="1"/>
      <c r="MD127" s="1"/>
      <c r="ME127" s="1"/>
      <c r="MF127" s="1"/>
      <c r="MG127" s="1"/>
      <c r="MH127" s="1"/>
      <c r="MI127" s="1"/>
      <c r="MJ127" s="1"/>
      <c r="MK127" s="1"/>
      <c r="ML127" s="1"/>
      <c r="MM127" s="1"/>
      <c r="MN127" s="1"/>
      <c r="MO127" s="1"/>
      <c r="MP127" s="1"/>
      <c r="MQ127" s="1"/>
      <c r="MR127" s="1"/>
      <c r="MS127" s="1"/>
      <c r="MT127" s="1"/>
      <c r="MU127" s="1"/>
      <c r="MV127" s="1"/>
      <c r="MW127" s="1"/>
      <c r="MX127" s="1"/>
      <c r="MY127" s="1"/>
      <c r="MZ127" s="1"/>
      <c r="NA127" s="1"/>
      <c r="NB127" s="1"/>
      <c r="ND127" s="53">
        <v>9.2999999999999902E-2</v>
      </c>
      <c r="NE127" s="47">
        <v>-29818.531587773799</v>
      </c>
      <c r="NF127" s="13">
        <v>0.63</v>
      </c>
      <c r="NG127" s="1">
        <f>Combine!A129</f>
        <v>48915</v>
      </c>
      <c r="NH127" s="14">
        <f>Combine!F129</f>
        <v>93736.010582893505</v>
      </c>
    </row>
    <row r="128" spans="1:372" ht="12.75" customHeight="1" x14ac:dyDescent="0.3">
      <c r="A128" s="59"/>
      <c r="D128" s="61"/>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c r="AW128" s="47"/>
      <c r="AX128" s="47"/>
      <c r="AY128" s="47"/>
      <c r="AZ128" s="47"/>
      <c r="BA128" s="47"/>
      <c r="BB128" s="47"/>
      <c r="BC128" s="47"/>
      <c r="BD128" s="47"/>
      <c r="BE128" s="47"/>
      <c r="BF128" s="47"/>
      <c r="BG128" s="47"/>
      <c r="BH128" s="47"/>
      <c r="BI128" s="47"/>
      <c r="BJ128" s="47"/>
      <c r="BK128" s="47"/>
      <c r="BL128" s="47"/>
      <c r="BM128" s="47"/>
      <c r="BN128" s="47"/>
      <c r="BO128" s="47"/>
      <c r="BP128" s="47"/>
      <c r="BQ128" s="47"/>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c r="CO128" s="47"/>
      <c r="CP128" s="47"/>
      <c r="CQ128" s="47"/>
      <c r="CR128" s="47"/>
      <c r="CS128" s="47"/>
      <c r="CT128" s="47"/>
      <c r="CU128" s="47"/>
      <c r="CV128" s="47"/>
      <c r="CW128" s="47"/>
      <c r="CX128" s="47"/>
      <c r="CY128" s="47"/>
      <c r="CZ128" s="47"/>
      <c r="DA128" s="47"/>
      <c r="DB128" s="47"/>
      <c r="DC128" s="47"/>
      <c r="DD128" s="47"/>
      <c r="DE128" s="47"/>
      <c r="DF128" s="47"/>
      <c r="DG128" s="47"/>
      <c r="DH128" s="47"/>
      <c r="DI128" s="47"/>
      <c r="DJ128" s="47"/>
      <c r="DK128" s="47"/>
      <c r="DL128" s="47"/>
      <c r="DM128" s="47"/>
      <c r="DN128" s="47"/>
      <c r="DO128" s="47"/>
      <c r="DP128" s="47"/>
      <c r="DQ128" s="47"/>
      <c r="DR128" s="47"/>
      <c r="DS128" s="47"/>
      <c r="DT128" s="47"/>
      <c r="DU128" s="47"/>
      <c r="DV128" s="47"/>
      <c r="DW128" s="47"/>
      <c r="DX128" s="47"/>
      <c r="DY128" s="47"/>
      <c r="DZ128" s="47"/>
      <c r="EA128" s="47"/>
      <c r="EB128" s="47"/>
      <c r="EC128" s="47"/>
      <c r="ED128" s="47"/>
      <c r="EE128" s="47"/>
      <c r="EF128" s="47"/>
      <c r="EG128" s="47"/>
      <c r="EH128" s="47"/>
      <c r="EI128" s="47"/>
      <c r="EJ128" s="47"/>
      <c r="EK128" s="47"/>
      <c r="EL128" s="47"/>
      <c r="EM128" s="47"/>
      <c r="EN128" s="47"/>
      <c r="EO128" s="47"/>
      <c r="EP128" s="47"/>
      <c r="EQ128" s="47"/>
      <c r="ER128" s="47"/>
      <c r="ES128" s="47"/>
      <c r="ET128" s="47"/>
      <c r="EU128" s="47"/>
      <c r="EV128" s="47"/>
      <c r="EW128" s="47"/>
      <c r="EX128" s="47"/>
      <c r="EY128" s="47"/>
      <c r="EZ128" s="47"/>
      <c r="FA128" s="47"/>
      <c r="FB128" s="47"/>
      <c r="FC128" s="47"/>
      <c r="FD128" s="47"/>
      <c r="FE128" s="47"/>
      <c r="FF128" s="47"/>
      <c r="FG128" s="47"/>
      <c r="FH128" s="47"/>
      <c r="FI128" s="47"/>
      <c r="FJ128" s="47"/>
      <c r="FK128" s="47"/>
      <c r="FL128" s="47"/>
      <c r="FM128" s="47"/>
      <c r="FN128" s="47"/>
      <c r="FO128" s="47"/>
      <c r="FP128" s="47"/>
      <c r="FQ128" s="47"/>
      <c r="FR128" s="47"/>
      <c r="FS128" s="47"/>
      <c r="FT128" s="47"/>
      <c r="FU128" s="47"/>
      <c r="FV128" s="47"/>
      <c r="FW128" s="47"/>
      <c r="FX128" s="47"/>
      <c r="FY128" s="47"/>
      <c r="FZ128" s="47"/>
      <c r="GA128" s="47"/>
      <c r="GB128" s="47"/>
      <c r="GC128" s="47"/>
      <c r="GD128" s="47"/>
      <c r="GE128" s="47"/>
      <c r="GF128" s="47"/>
      <c r="GG128" s="47"/>
      <c r="GH128" s="47"/>
      <c r="GI128" s="47"/>
      <c r="GJ128" s="47"/>
      <c r="GK128" s="47"/>
      <c r="GL128" s="47"/>
      <c r="GM128" s="47"/>
      <c r="GN128" s="47"/>
      <c r="GO128" s="47"/>
      <c r="GP128" s="47"/>
      <c r="GQ128" s="47"/>
      <c r="GR128" s="47"/>
      <c r="GS128" s="47"/>
      <c r="GT128" s="47"/>
      <c r="GU128" s="47"/>
      <c r="GV128" s="47"/>
      <c r="GW128" s="47"/>
      <c r="GX128" s="47"/>
      <c r="GY128" s="47"/>
      <c r="GZ128" s="47"/>
      <c r="HA128" s="47"/>
      <c r="HB128" s="47"/>
      <c r="HC128" s="47"/>
      <c r="HD128" s="47"/>
      <c r="HE128" s="47"/>
      <c r="HF128" s="47"/>
      <c r="HG128" s="47"/>
      <c r="HH128" s="47"/>
      <c r="HI128" s="47"/>
      <c r="HJ128" s="47"/>
      <c r="HK128" s="47"/>
      <c r="HL128" s="47"/>
      <c r="HM128" s="47"/>
      <c r="HN128" s="47"/>
      <c r="HO128" s="47"/>
      <c r="HP128" s="47"/>
      <c r="HQ128" s="47"/>
      <c r="HR128" s="47"/>
      <c r="HS128" s="47"/>
      <c r="HT128" s="47"/>
      <c r="HU128" s="47"/>
      <c r="HV128" s="47"/>
      <c r="HW128" s="47"/>
      <c r="HX128" s="47"/>
      <c r="HY128" s="47"/>
      <c r="HZ128" s="47"/>
      <c r="IA128" s="47"/>
      <c r="IB128" s="47"/>
      <c r="IC128" s="47"/>
      <c r="ID128" s="47"/>
      <c r="IE128" s="47"/>
      <c r="IF128" s="47"/>
      <c r="IG128" s="47"/>
      <c r="IH128" s="47"/>
      <c r="II128" s="47"/>
      <c r="IJ128" s="47"/>
      <c r="IK128" s="47"/>
      <c r="IL128" s="47"/>
      <c r="IM128" s="47"/>
      <c r="IN128" s="47"/>
      <c r="IO128" s="47"/>
      <c r="IP128" s="47"/>
      <c r="IQ128" s="47"/>
      <c r="IR128" s="47"/>
      <c r="IS128" s="47"/>
      <c r="IT128" s="47"/>
      <c r="IU128" s="47"/>
      <c r="IV128" s="47"/>
      <c r="IW128" s="1"/>
      <c r="IX128" s="1"/>
      <c r="IY128" s="1"/>
      <c r="IZ128" s="1"/>
      <c r="JA128" s="1"/>
      <c r="JB128" s="1"/>
      <c r="JC128" s="1"/>
      <c r="JD128" s="1"/>
      <c r="JE128" s="1"/>
      <c r="JF128" s="1"/>
      <c r="JG128" s="1"/>
      <c r="JH128" s="1"/>
      <c r="JI128" s="1"/>
      <c r="JJ128" s="1"/>
      <c r="JK128" s="1"/>
      <c r="JL128" s="1"/>
      <c r="JM128" s="1"/>
      <c r="JN128" s="1"/>
      <c r="JO128" s="1"/>
      <c r="JP128" s="1"/>
      <c r="JQ128" s="1"/>
      <c r="JR128" s="1"/>
      <c r="JS128" s="1"/>
      <c r="JT128" s="1"/>
      <c r="JU128" s="1"/>
      <c r="JV128" s="1"/>
      <c r="JW128" s="1"/>
      <c r="JX128" s="1"/>
      <c r="JY128" s="1"/>
      <c r="JZ128" s="1"/>
      <c r="KA128" s="1"/>
      <c r="KB128" s="1"/>
      <c r="KC128" s="1"/>
      <c r="KD128" s="1"/>
      <c r="KE128" s="1"/>
      <c r="KF128" s="1"/>
      <c r="KG128" s="1"/>
      <c r="KH128" s="1"/>
      <c r="KI128" s="1"/>
      <c r="KJ128" s="1"/>
      <c r="KK128" s="1"/>
      <c r="KL128" s="1"/>
      <c r="KM128" s="1"/>
      <c r="KN128" s="1"/>
      <c r="KO128" s="1"/>
      <c r="KP128" s="1"/>
      <c r="KQ128" s="1"/>
      <c r="KR128" s="1"/>
      <c r="KS128" s="1"/>
      <c r="KT128" s="1"/>
      <c r="KU128" s="1"/>
      <c r="KV128" s="1"/>
      <c r="KW128" s="1"/>
      <c r="KX128" s="1"/>
      <c r="KY128" s="1"/>
      <c r="KZ128" s="1"/>
      <c r="LA128" s="1"/>
      <c r="LB128" s="1"/>
      <c r="LC128" s="1"/>
      <c r="LD128" s="1"/>
      <c r="LE128" s="1"/>
      <c r="LF128" s="1"/>
      <c r="LG128" s="1"/>
      <c r="LH128" s="1"/>
      <c r="LI128" s="1"/>
      <c r="LJ128" s="1"/>
      <c r="LK128" s="1"/>
      <c r="LL128" s="1"/>
      <c r="LM128" s="1"/>
      <c r="LN128" s="1"/>
      <c r="LO128" s="1"/>
      <c r="LP128" s="1"/>
      <c r="LQ128" s="1"/>
      <c r="LR128" s="1"/>
      <c r="LS128" s="1"/>
      <c r="LT128" s="1"/>
      <c r="LU128" s="1"/>
      <c r="LV128" s="1"/>
      <c r="LW128" s="1"/>
      <c r="LX128" s="1"/>
      <c r="LY128" s="1"/>
      <c r="LZ128" s="1"/>
      <c r="MA128" s="1"/>
      <c r="MB128" s="1"/>
      <c r="MC128" s="1"/>
      <c r="MD128" s="1"/>
      <c r="ME128" s="1"/>
      <c r="MF128" s="1"/>
      <c r="MG128" s="1"/>
      <c r="MH128" s="1"/>
      <c r="MI128" s="1"/>
      <c r="MJ128" s="1"/>
      <c r="MK128" s="1"/>
      <c r="ML128" s="1"/>
      <c r="MM128" s="1"/>
      <c r="MN128" s="1"/>
      <c r="MO128" s="1"/>
      <c r="MP128" s="1"/>
      <c r="MQ128" s="1"/>
      <c r="MR128" s="1"/>
      <c r="MS128" s="1"/>
      <c r="MT128" s="1"/>
      <c r="MU128" s="1"/>
      <c r="MV128" s="1"/>
      <c r="MW128" s="1"/>
      <c r="MX128" s="1"/>
      <c r="MY128" s="1"/>
      <c r="MZ128" s="1"/>
      <c r="NA128" s="1"/>
      <c r="NB128" s="1"/>
      <c r="ND128" s="53">
        <v>9.3999999999999903E-2</v>
      </c>
      <c r="NE128" s="47">
        <v>-32024.436163437556</v>
      </c>
      <c r="NF128" s="1"/>
      <c r="NG128" s="1"/>
      <c r="NH128" s="1"/>
    </row>
    <row r="129" spans="1:372" ht="12.75" customHeight="1" x14ac:dyDescent="0.3">
      <c r="A129" s="59"/>
      <c r="D129" s="61"/>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c r="AW129" s="47"/>
      <c r="AX129" s="47"/>
      <c r="AY129" s="47"/>
      <c r="AZ129" s="47"/>
      <c r="BA129" s="47"/>
      <c r="BB129" s="47"/>
      <c r="BC129" s="47"/>
      <c r="BD129" s="47"/>
      <c r="BE129" s="47"/>
      <c r="BF129" s="47"/>
      <c r="BG129" s="47"/>
      <c r="BH129" s="47"/>
      <c r="BI129" s="47"/>
      <c r="BJ129" s="47"/>
      <c r="BK129" s="47"/>
      <c r="BL129" s="47"/>
      <c r="BM129" s="47"/>
      <c r="BN129" s="47"/>
      <c r="BO129" s="47"/>
      <c r="BP129" s="47"/>
      <c r="BQ129" s="47"/>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c r="CO129" s="47"/>
      <c r="CP129" s="47"/>
      <c r="CQ129" s="47"/>
      <c r="CR129" s="47"/>
      <c r="CS129" s="47"/>
      <c r="CT129" s="47"/>
      <c r="CU129" s="47"/>
      <c r="CV129" s="47"/>
      <c r="CW129" s="47"/>
      <c r="CX129" s="47"/>
      <c r="CY129" s="47"/>
      <c r="CZ129" s="47"/>
      <c r="DA129" s="47"/>
      <c r="DB129" s="47"/>
      <c r="DC129" s="47"/>
      <c r="DD129" s="47"/>
      <c r="DE129" s="47"/>
      <c r="DF129" s="47"/>
      <c r="DG129" s="47"/>
      <c r="DH129" s="47"/>
      <c r="DI129" s="47"/>
      <c r="DJ129" s="47"/>
      <c r="DK129" s="47"/>
      <c r="DL129" s="47"/>
      <c r="DM129" s="47"/>
      <c r="DN129" s="47"/>
      <c r="DO129" s="47"/>
      <c r="DP129" s="47"/>
      <c r="DQ129" s="47"/>
      <c r="DR129" s="47"/>
      <c r="DS129" s="47"/>
      <c r="DT129" s="47"/>
      <c r="DU129" s="47"/>
      <c r="DV129" s="47"/>
      <c r="DW129" s="47"/>
      <c r="DX129" s="47"/>
      <c r="DY129" s="47"/>
      <c r="DZ129" s="47"/>
      <c r="EA129" s="47"/>
      <c r="EB129" s="47"/>
      <c r="EC129" s="47"/>
      <c r="ED129" s="47"/>
      <c r="EE129" s="47"/>
      <c r="EF129" s="47"/>
      <c r="EG129" s="47"/>
      <c r="EH129" s="47"/>
      <c r="EI129" s="47"/>
      <c r="EJ129" s="47"/>
      <c r="EK129" s="47"/>
      <c r="EL129" s="47"/>
      <c r="EM129" s="47"/>
      <c r="EN129" s="47"/>
      <c r="EO129" s="47"/>
      <c r="EP129" s="47"/>
      <c r="EQ129" s="47"/>
      <c r="ER129" s="47"/>
      <c r="ES129" s="47"/>
      <c r="ET129" s="47"/>
      <c r="EU129" s="47"/>
      <c r="EV129" s="47"/>
      <c r="EW129" s="47"/>
      <c r="EX129" s="47"/>
      <c r="EY129" s="47"/>
      <c r="EZ129" s="47"/>
      <c r="FA129" s="47"/>
      <c r="FB129" s="47"/>
      <c r="FC129" s="47"/>
      <c r="FD129" s="47"/>
      <c r="FE129" s="47"/>
      <c r="FF129" s="47"/>
      <c r="FG129" s="47"/>
      <c r="FH129" s="47"/>
      <c r="FI129" s="47"/>
      <c r="FJ129" s="47"/>
      <c r="FK129" s="47"/>
      <c r="FL129" s="47"/>
      <c r="FM129" s="47"/>
      <c r="FN129" s="47"/>
      <c r="FO129" s="47"/>
      <c r="FP129" s="47"/>
      <c r="FQ129" s="47"/>
      <c r="FR129" s="47"/>
      <c r="FS129" s="47"/>
      <c r="FT129" s="47"/>
      <c r="FU129" s="47"/>
      <c r="FV129" s="47"/>
      <c r="FW129" s="47"/>
      <c r="FX129" s="47"/>
      <c r="FY129" s="47"/>
      <c r="FZ129" s="47"/>
      <c r="GA129" s="47"/>
      <c r="GB129" s="47"/>
      <c r="GC129" s="47"/>
      <c r="GD129" s="47"/>
      <c r="GE129" s="47"/>
      <c r="GF129" s="47"/>
      <c r="GG129" s="47"/>
      <c r="GH129" s="47"/>
      <c r="GI129" s="47"/>
      <c r="GJ129" s="47"/>
      <c r="GK129" s="47"/>
      <c r="GL129" s="47"/>
      <c r="GM129" s="47"/>
      <c r="GN129" s="47"/>
      <c r="GO129" s="47"/>
      <c r="GP129" s="47"/>
      <c r="GQ129" s="47"/>
      <c r="GR129" s="47"/>
      <c r="GS129" s="47"/>
      <c r="GT129" s="47"/>
      <c r="GU129" s="47"/>
      <c r="GV129" s="47"/>
      <c r="GW129" s="47"/>
      <c r="GX129" s="47"/>
      <c r="GY129" s="47"/>
      <c r="GZ129" s="47"/>
      <c r="HA129" s="47"/>
      <c r="HB129" s="47"/>
      <c r="HC129" s="47"/>
      <c r="HD129" s="47"/>
      <c r="HE129" s="47"/>
      <c r="HF129" s="47"/>
      <c r="HG129" s="47"/>
      <c r="HH129" s="47"/>
      <c r="HI129" s="47"/>
      <c r="HJ129" s="47"/>
      <c r="HK129" s="47"/>
      <c r="HL129" s="47"/>
      <c r="HM129" s="47"/>
      <c r="HN129" s="47"/>
      <c r="HO129" s="47"/>
      <c r="HP129" s="47"/>
      <c r="HQ129" s="47"/>
      <c r="HR129" s="47"/>
      <c r="HS129" s="47"/>
      <c r="HT129" s="47"/>
      <c r="HU129" s="47"/>
      <c r="HV129" s="47"/>
      <c r="HW129" s="47"/>
      <c r="HX129" s="47"/>
      <c r="HY129" s="47"/>
      <c r="HZ129" s="47"/>
      <c r="IA129" s="47"/>
      <c r="IB129" s="47"/>
      <c r="IC129" s="47"/>
      <c r="ID129" s="47"/>
      <c r="IE129" s="47"/>
      <c r="IF129" s="47"/>
      <c r="IG129" s="47"/>
      <c r="IH129" s="47"/>
      <c r="II129" s="47"/>
      <c r="IJ129" s="47"/>
      <c r="IK129" s="47"/>
      <c r="IL129" s="47"/>
      <c r="IM129" s="47"/>
      <c r="IN129" s="47"/>
      <c r="IO129" s="47"/>
      <c r="IP129" s="47"/>
      <c r="IQ129" s="47"/>
      <c r="IR129" s="47"/>
      <c r="IS129" s="47"/>
      <c r="IT129" s="47"/>
      <c r="IU129" s="47"/>
      <c r="IV129" s="47"/>
      <c r="IW129" s="1"/>
      <c r="IX129" s="1"/>
      <c r="IY129" s="1"/>
      <c r="IZ129" s="1"/>
      <c r="JA129" s="1"/>
      <c r="JB129" s="1"/>
      <c r="JC129" s="1"/>
      <c r="JD129" s="1"/>
      <c r="JE129" s="1"/>
      <c r="JF129" s="1"/>
      <c r="JG129" s="1"/>
      <c r="JH129" s="1"/>
      <c r="JI129" s="1"/>
      <c r="JJ129" s="1"/>
      <c r="JK129" s="1"/>
      <c r="JL129" s="1"/>
      <c r="JM129" s="1"/>
      <c r="JN129" s="1"/>
      <c r="JO129" s="1"/>
      <c r="JP129" s="1"/>
      <c r="JQ129" s="1"/>
      <c r="JR129" s="1"/>
      <c r="JS129" s="1"/>
      <c r="JT129" s="1"/>
      <c r="JU129" s="1"/>
      <c r="JV129" s="1"/>
      <c r="JW129" s="1"/>
      <c r="JX129" s="1"/>
      <c r="JY129" s="1"/>
      <c r="JZ129" s="1"/>
      <c r="KA129" s="1"/>
      <c r="KB129" s="1"/>
      <c r="KC129" s="1"/>
      <c r="KD129" s="1"/>
      <c r="KE129" s="1"/>
      <c r="KF129" s="1"/>
      <c r="KG129" s="1"/>
      <c r="KH129" s="1"/>
      <c r="KI129" s="1"/>
      <c r="KJ129" s="1"/>
      <c r="KK129" s="1"/>
      <c r="KL129" s="1"/>
      <c r="KM129" s="1"/>
      <c r="KN129" s="1"/>
      <c r="KO129" s="1"/>
      <c r="KP129" s="1"/>
      <c r="KQ129" s="1"/>
      <c r="KR129" s="1"/>
      <c r="KS129" s="1"/>
      <c r="KT129" s="1"/>
      <c r="KU129" s="1"/>
      <c r="KV129" s="1"/>
      <c r="KW129" s="1"/>
      <c r="KX129" s="1"/>
      <c r="KY129" s="1"/>
      <c r="KZ129" s="1"/>
      <c r="LA129" s="1"/>
      <c r="LB129" s="1"/>
      <c r="LC129" s="1"/>
      <c r="LD129" s="1"/>
      <c r="LE129" s="1"/>
      <c r="LF129" s="1"/>
      <c r="LG129" s="1"/>
      <c r="LH129" s="1"/>
      <c r="LI129" s="1"/>
      <c r="LJ129" s="1"/>
      <c r="LK129" s="1"/>
      <c r="LL129" s="1"/>
      <c r="LM129" s="1"/>
      <c r="LN129" s="1"/>
      <c r="LO129" s="1"/>
      <c r="LP129" s="1"/>
      <c r="LQ129" s="1"/>
      <c r="LR129" s="1"/>
      <c r="LS129" s="1"/>
      <c r="LT129" s="1"/>
      <c r="LU129" s="1"/>
      <c r="LV129" s="1"/>
      <c r="LW129" s="1"/>
      <c r="LX129" s="1"/>
      <c r="LY129" s="1"/>
      <c r="LZ129" s="1"/>
      <c r="MA129" s="1"/>
      <c r="MB129" s="1"/>
      <c r="MC129" s="1"/>
      <c r="MD129" s="1"/>
      <c r="ME129" s="1"/>
      <c r="MF129" s="1"/>
      <c r="MG129" s="1"/>
      <c r="MH129" s="1"/>
      <c r="MI129" s="1"/>
      <c r="MJ129" s="1"/>
      <c r="MK129" s="1"/>
      <c r="ML129" s="1"/>
      <c r="MM129" s="1"/>
      <c r="MN129" s="1"/>
      <c r="MO129" s="1"/>
      <c r="MP129" s="1"/>
      <c r="MQ129" s="1"/>
      <c r="MR129" s="1"/>
      <c r="MS129" s="1"/>
      <c r="MT129" s="1"/>
      <c r="MU129" s="1"/>
      <c r="MV129" s="1"/>
      <c r="MW129" s="1"/>
      <c r="MX129" s="1"/>
      <c r="MY129" s="1"/>
      <c r="MZ129" s="1"/>
      <c r="NA129" s="1"/>
      <c r="NB129" s="1"/>
      <c r="ND129" s="53">
        <v>9.4999999999999904E-2</v>
      </c>
      <c r="NE129" s="47">
        <v>-34232.887281867159</v>
      </c>
      <c r="NF129" s="1"/>
      <c r="NG129" s="1"/>
      <c r="NH129" s="1"/>
    </row>
    <row r="130" spans="1:372" ht="12.75" customHeight="1" x14ac:dyDescent="0.3">
      <c r="A130" s="59"/>
      <c r="D130" s="61"/>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c r="AW130" s="47"/>
      <c r="AX130" s="47"/>
      <c r="AY130" s="47"/>
      <c r="AZ130" s="47"/>
      <c r="BA130" s="47"/>
      <c r="BB130" s="47"/>
      <c r="BC130" s="47"/>
      <c r="BD130" s="47"/>
      <c r="BE130" s="47"/>
      <c r="BF130" s="47"/>
      <c r="BG130" s="47"/>
      <c r="BH130" s="47"/>
      <c r="BI130" s="47"/>
      <c r="BJ130" s="47"/>
      <c r="BK130" s="47"/>
      <c r="BL130" s="47"/>
      <c r="BM130" s="47"/>
      <c r="BN130" s="47"/>
      <c r="BO130" s="47"/>
      <c r="BP130" s="47"/>
      <c r="BQ130" s="47"/>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c r="CO130" s="47"/>
      <c r="CP130" s="47"/>
      <c r="CQ130" s="47"/>
      <c r="CR130" s="47"/>
      <c r="CS130" s="47"/>
      <c r="CT130" s="47"/>
      <c r="CU130" s="47"/>
      <c r="CV130" s="47"/>
      <c r="CW130" s="47"/>
      <c r="CX130" s="47"/>
      <c r="CY130" s="47"/>
      <c r="CZ130" s="47"/>
      <c r="DA130" s="47"/>
      <c r="DB130" s="47"/>
      <c r="DC130" s="47"/>
      <c r="DD130" s="47"/>
      <c r="DE130" s="47"/>
      <c r="DF130" s="47"/>
      <c r="DG130" s="47"/>
      <c r="DH130" s="47"/>
      <c r="DI130" s="47"/>
      <c r="DJ130" s="47"/>
      <c r="DK130" s="47"/>
      <c r="DL130" s="47"/>
      <c r="DM130" s="47"/>
      <c r="DN130" s="47"/>
      <c r="DO130" s="47"/>
      <c r="DP130" s="47"/>
      <c r="DQ130" s="47"/>
      <c r="DR130" s="47"/>
      <c r="DS130" s="47"/>
      <c r="DT130" s="47"/>
      <c r="DU130" s="47"/>
      <c r="DV130" s="47"/>
      <c r="DW130" s="47"/>
      <c r="DX130" s="47"/>
      <c r="DY130" s="47"/>
      <c r="DZ130" s="47"/>
      <c r="EA130" s="47"/>
      <c r="EB130" s="47"/>
      <c r="EC130" s="47"/>
      <c r="ED130" s="47"/>
      <c r="EE130" s="47"/>
      <c r="EF130" s="47"/>
      <c r="EG130" s="47"/>
      <c r="EH130" s="47"/>
      <c r="EI130" s="47"/>
      <c r="EJ130" s="47"/>
      <c r="EK130" s="47"/>
      <c r="EL130" s="47"/>
      <c r="EM130" s="47"/>
      <c r="EN130" s="47"/>
      <c r="EO130" s="47"/>
      <c r="EP130" s="47"/>
      <c r="EQ130" s="47"/>
      <c r="ER130" s="47"/>
      <c r="ES130" s="47"/>
      <c r="ET130" s="47"/>
      <c r="EU130" s="47"/>
      <c r="EV130" s="47"/>
      <c r="EW130" s="47"/>
      <c r="EX130" s="47"/>
      <c r="EY130" s="47"/>
      <c r="EZ130" s="47"/>
      <c r="FA130" s="47"/>
      <c r="FB130" s="47"/>
      <c r="FC130" s="47"/>
      <c r="FD130" s="47"/>
      <c r="FE130" s="47"/>
      <c r="FF130" s="47"/>
      <c r="FG130" s="47"/>
      <c r="FH130" s="47"/>
      <c r="FI130" s="47"/>
      <c r="FJ130" s="47"/>
      <c r="FK130" s="47"/>
      <c r="FL130" s="47"/>
      <c r="FM130" s="47"/>
      <c r="FN130" s="47"/>
      <c r="FO130" s="47"/>
      <c r="FP130" s="47"/>
      <c r="FQ130" s="47"/>
      <c r="FR130" s="47"/>
      <c r="FS130" s="47"/>
      <c r="FT130" s="47"/>
      <c r="FU130" s="47"/>
      <c r="FV130" s="47"/>
      <c r="FW130" s="47"/>
      <c r="FX130" s="47"/>
      <c r="FY130" s="47"/>
      <c r="FZ130" s="47"/>
      <c r="GA130" s="47"/>
      <c r="GB130" s="47"/>
      <c r="GC130" s="47"/>
      <c r="GD130" s="47"/>
      <c r="GE130" s="47"/>
      <c r="GF130" s="47"/>
      <c r="GG130" s="47"/>
      <c r="GH130" s="47"/>
      <c r="GI130" s="47"/>
      <c r="GJ130" s="47"/>
      <c r="GK130" s="47"/>
      <c r="GL130" s="47"/>
      <c r="GM130" s="47"/>
      <c r="GN130" s="47"/>
      <c r="GO130" s="47"/>
      <c r="GP130" s="47"/>
      <c r="GQ130" s="47"/>
      <c r="GR130" s="47"/>
      <c r="GS130" s="47"/>
      <c r="GT130" s="47"/>
      <c r="GU130" s="47"/>
      <c r="GV130" s="47"/>
      <c r="GW130" s="47"/>
      <c r="GX130" s="47"/>
      <c r="GY130" s="47"/>
      <c r="GZ130" s="47"/>
      <c r="HA130" s="47"/>
      <c r="HB130" s="47"/>
      <c r="HC130" s="47"/>
      <c r="HD130" s="47"/>
      <c r="HE130" s="47"/>
      <c r="HF130" s="47"/>
      <c r="HG130" s="47"/>
      <c r="HH130" s="47"/>
      <c r="HI130" s="47"/>
      <c r="HJ130" s="47"/>
      <c r="HK130" s="47"/>
      <c r="HL130" s="47"/>
      <c r="HM130" s="47"/>
      <c r="HN130" s="47"/>
      <c r="HO130" s="47"/>
      <c r="HP130" s="47"/>
      <c r="HQ130" s="47"/>
      <c r="HR130" s="47"/>
      <c r="HS130" s="47"/>
      <c r="HT130" s="47"/>
      <c r="HU130" s="47"/>
      <c r="HV130" s="47"/>
      <c r="HW130" s="47"/>
      <c r="HX130" s="47"/>
      <c r="HY130" s="47"/>
      <c r="HZ130" s="47"/>
      <c r="IA130" s="47"/>
      <c r="IB130" s="47"/>
      <c r="IC130" s="47"/>
      <c r="ID130" s="47"/>
      <c r="IE130" s="47"/>
      <c r="IF130" s="47"/>
      <c r="IG130" s="47"/>
      <c r="IH130" s="47"/>
      <c r="II130" s="47"/>
      <c r="IJ130" s="47"/>
      <c r="IK130" s="47"/>
      <c r="IL130" s="47"/>
      <c r="IM130" s="47"/>
      <c r="IN130" s="47"/>
      <c r="IO130" s="47"/>
      <c r="IP130" s="47"/>
      <c r="IQ130" s="47"/>
      <c r="IR130" s="47"/>
      <c r="IS130" s="47"/>
      <c r="IT130" s="47"/>
      <c r="IU130" s="47"/>
      <c r="IV130" s="47"/>
      <c r="IW130" s="1"/>
      <c r="IX130" s="1"/>
      <c r="IY130" s="1"/>
      <c r="IZ130" s="1"/>
      <c r="JA130" s="1"/>
      <c r="JB130" s="1"/>
      <c r="JC130" s="1"/>
      <c r="JD130" s="1"/>
      <c r="JE130" s="1"/>
      <c r="JF130" s="1"/>
      <c r="JG130" s="1"/>
      <c r="JH130" s="1"/>
      <c r="JI130" s="1"/>
      <c r="JJ130" s="1"/>
      <c r="JK130" s="1"/>
      <c r="JL130" s="1"/>
      <c r="JM130" s="1"/>
      <c r="JN130" s="1"/>
      <c r="JO130" s="1"/>
      <c r="JP130" s="1"/>
      <c r="JQ130" s="1"/>
      <c r="JR130" s="1"/>
      <c r="JS130" s="1"/>
      <c r="JT130" s="1"/>
      <c r="JU130" s="1"/>
      <c r="JV130" s="1"/>
      <c r="JW130" s="1"/>
      <c r="JX130" s="1"/>
      <c r="JY130" s="1"/>
      <c r="JZ130" s="1"/>
      <c r="KA130" s="1"/>
      <c r="KB130" s="1"/>
      <c r="KC130" s="1"/>
      <c r="KD130" s="1"/>
      <c r="KE130" s="1"/>
      <c r="KF130" s="1"/>
      <c r="KG130" s="1"/>
      <c r="KH130" s="1"/>
      <c r="KI130" s="1"/>
      <c r="KJ130" s="1"/>
      <c r="KK130" s="1"/>
      <c r="KL130" s="1"/>
      <c r="KM130" s="1"/>
      <c r="KN130" s="1"/>
      <c r="KO130" s="1"/>
      <c r="KP130" s="1"/>
      <c r="KQ130" s="1"/>
      <c r="KR130" s="1"/>
      <c r="KS130" s="1"/>
      <c r="KT130" s="1"/>
      <c r="KU130" s="1"/>
      <c r="KV130" s="1"/>
      <c r="KW130" s="1"/>
      <c r="KX130" s="1"/>
      <c r="KY130" s="1"/>
      <c r="KZ130" s="1"/>
      <c r="LA130" s="1"/>
      <c r="LB130" s="1"/>
      <c r="LC130" s="1"/>
      <c r="LD130" s="1"/>
      <c r="LE130" s="1"/>
      <c r="LF130" s="1"/>
      <c r="LG130" s="1"/>
      <c r="LH130" s="1"/>
      <c r="LI130" s="1"/>
      <c r="LJ130" s="1"/>
      <c r="LK130" s="1"/>
      <c r="LL130" s="1"/>
      <c r="LM130" s="1"/>
      <c r="LN130" s="1"/>
      <c r="LO130" s="1"/>
      <c r="LP130" s="1"/>
      <c r="LQ130" s="1"/>
      <c r="LR130" s="1"/>
      <c r="LS130" s="1"/>
      <c r="LT130" s="1"/>
      <c r="LU130" s="1"/>
      <c r="LV130" s="1"/>
      <c r="LW130" s="1"/>
      <c r="LX130" s="1"/>
      <c r="LY130" s="1"/>
      <c r="LZ130" s="1"/>
      <c r="MA130" s="1"/>
      <c r="MB130" s="1"/>
      <c r="MC130" s="1"/>
      <c r="MD130" s="1"/>
      <c r="ME130" s="1"/>
      <c r="MF130" s="1"/>
      <c r="MG130" s="1"/>
      <c r="MH130" s="1"/>
      <c r="MI130" s="1"/>
      <c r="MJ130" s="1"/>
      <c r="MK130" s="1"/>
      <c r="ML130" s="1"/>
      <c r="MM130" s="1"/>
      <c r="MN130" s="1"/>
      <c r="MO130" s="1"/>
      <c r="MP130" s="1"/>
      <c r="MQ130" s="1"/>
      <c r="MR130" s="1"/>
      <c r="MS130" s="1"/>
      <c r="MT130" s="1"/>
      <c r="MU130" s="1"/>
      <c r="MV130" s="1"/>
      <c r="MW130" s="1"/>
      <c r="MX130" s="1"/>
      <c r="MY130" s="1"/>
      <c r="MZ130" s="1"/>
      <c r="NA130" s="1"/>
      <c r="NB130" s="1"/>
      <c r="ND130" s="53">
        <v>9.5999999999999905E-2</v>
      </c>
      <c r="NE130" s="47">
        <v>-36443.825079240887</v>
      </c>
      <c r="NF130" s="1"/>
      <c r="NG130" s="1"/>
      <c r="NH130" s="1"/>
    </row>
    <row r="131" spans="1:372" ht="12.75" customHeight="1" x14ac:dyDescent="0.3">
      <c r="A131" s="59"/>
      <c r="D131" s="61"/>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c r="AW131" s="47"/>
      <c r="AX131" s="47"/>
      <c r="AY131" s="47"/>
      <c r="AZ131" s="47"/>
      <c r="BA131" s="47"/>
      <c r="BB131" s="47"/>
      <c r="BC131" s="47"/>
      <c r="BD131" s="47"/>
      <c r="BE131" s="47"/>
      <c r="BF131" s="47"/>
      <c r="BG131" s="47"/>
      <c r="BH131" s="47"/>
      <c r="BI131" s="47"/>
      <c r="BJ131" s="47"/>
      <c r="BK131" s="47"/>
      <c r="BL131" s="47"/>
      <c r="BM131" s="47"/>
      <c r="BN131" s="47"/>
      <c r="BO131" s="47"/>
      <c r="BP131" s="47"/>
      <c r="BQ131" s="47"/>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c r="CO131" s="47"/>
      <c r="CP131" s="47"/>
      <c r="CQ131" s="47"/>
      <c r="CR131" s="47"/>
      <c r="CS131" s="47"/>
      <c r="CT131" s="47"/>
      <c r="CU131" s="47"/>
      <c r="CV131" s="47"/>
      <c r="CW131" s="47"/>
      <c r="CX131" s="47"/>
      <c r="CY131" s="47"/>
      <c r="CZ131" s="47"/>
      <c r="DA131" s="47"/>
      <c r="DB131" s="47"/>
      <c r="DC131" s="47"/>
      <c r="DD131" s="47"/>
      <c r="DE131" s="47"/>
      <c r="DF131" s="47"/>
      <c r="DG131" s="47"/>
      <c r="DH131" s="47"/>
      <c r="DI131" s="47"/>
      <c r="DJ131" s="47"/>
      <c r="DK131" s="47"/>
      <c r="DL131" s="47"/>
      <c r="DM131" s="47"/>
      <c r="DN131" s="47"/>
      <c r="DO131" s="47"/>
      <c r="DP131" s="47"/>
      <c r="DQ131" s="47"/>
      <c r="DR131" s="47"/>
      <c r="DS131" s="47"/>
      <c r="DT131" s="47"/>
      <c r="DU131" s="47"/>
      <c r="DV131" s="47"/>
      <c r="DW131" s="47"/>
      <c r="DX131" s="47"/>
      <c r="DY131" s="47"/>
      <c r="DZ131" s="47"/>
      <c r="EA131" s="47"/>
      <c r="EB131" s="47"/>
      <c r="EC131" s="47"/>
      <c r="ED131" s="47"/>
      <c r="EE131" s="47"/>
      <c r="EF131" s="47"/>
      <c r="EG131" s="47"/>
      <c r="EH131" s="47"/>
      <c r="EI131" s="47"/>
      <c r="EJ131" s="47"/>
      <c r="EK131" s="47"/>
      <c r="EL131" s="47"/>
      <c r="EM131" s="47"/>
      <c r="EN131" s="47"/>
      <c r="EO131" s="47"/>
      <c r="EP131" s="47"/>
      <c r="EQ131" s="47"/>
      <c r="ER131" s="47"/>
      <c r="ES131" s="47"/>
      <c r="ET131" s="47"/>
      <c r="EU131" s="47"/>
      <c r="EV131" s="47"/>
      <c r="EW131" s="47"/>
      <c r="EX131" s="47"/>
      <c r="EY131" s="47"/>
      <c r="EZ131" s="47"/>
      <c r="FA131" s="47"/>
      <c r="FB131" s="47"/>
      <c r="FC131" s="47"/>
      <c r="FD131" s="47"/>
      <c r="FE131" s="47"/>
      <c r="FF131" s="47"/>
      <c r="FG131" s="47"/>
      <c r="FH131" s="47"/>
      <c r="FI131" s="47"/>
      <c r="FJ131" s="47"/>
      <c r="FK131" s="47"/>
      <c r="FL131" s="47"/>
      <c r="FM131" s="47"/>
      <c r="FN131" s="47"/>
      <c r="FO131" s="47"/>
      <c r="FP131" s="47"/>
      <c r="FQ131" s="47"/>
      <c r="FR131" s="47"/>
      <c r="FS131" s="47"/>
      <c r="FT131" s="47"/>
      <c r="FU131" s="47"/>
      <c r="FV131" s="47"/>
      <c r="FW131" s="47"/>
      <c r="FX131" s="47"/>
      <c r="FY131" s="47"/>
      <c r="FZ131" s="47"/>
      <c r="GA131" s="47"/>
      <c r="GB131" s="47"/>
      <c r="GC131" s="47"/>
      <c r="GD131" s="47"/>
      <c r="GE131" s="47"/>
      <c r="GF131" s="47"/>
      <c r="GG131" s="47"/>
      <c r="GH131" s="47"/>
      <c r="GI131" s="47"/>
      <c r="GJ131" s="47"/>
      <c r="GK131" s="47"/>
      <c r="GL131" s="47"/>
      <c r="GM131" s="47"/>
      <c r="GN131" s="47"/>
      <c r="GO131" s="47"/>
      <c r="GP131" s="47"/>
      <c r="GQ131" s="47"/>
      <c r="GR131" s="47"/>
      <c r="GS131" s="47"/>
      <c r="GT131" s="47"/>
      <c r="GU131" s="47"/>
      <c r="GV131" s="47"/>
      <c r="GW131" s="47"/>
      <c r="GX131" s="47"/>
      <c r="GY131" s="47"/>
      <c r="GZ131" s="47"/>
      <c r="HA131" s="47"/>
      <c r="HB131" s="47"/>
      <c r="HC131" s="47"/>
      <c r="HD131" s="47"/>
      <c r="HE131" s="47"/>
      <c r="HF131" s="47"/>
      <c r="HG131" s="47"/>
      <c r="HH131" s="47"/>
      <c r="HI131" s="47"/>
      <c r="HJ131" s="47"/>
      <c r="HK131" s="47"/>
      <c r="HL131" s="47"/>
      <c r="HM131" s="47"/>
      <c r="HN131" s="47"/>
      <c r="HO131" s="47"/>
      <c r="HP131" s="47"/>
      <c r="HQ131" s="47"/>
      <c r="HR131" s="47"/>
      <c r="HS131" s="47"/>
      <c r="HT131" s="47"/>
      <c r="HU131" s="47"/>
      <c r="HV131" s="47"/>
      <c r="HW131" s="47"/>
      <c r="HX131" s="47"/>
      <c r="HY131" s="47"/>
      <c r="HZ131" s="47"/>
      <c r="IA131" s="47"/>
      <c r="IB131" s="47"/>
      <c r="IC131" s="47"/>
      <c r="ID131" s="47"/>
      <c r="IE131" s="47"/>
      <c r="IF131" s="47"/>
      <c r="IG131" s="47"/>
      <c r="IH131" s="47"/>
      <c r="II131" s="47"/>
      <c r="IJ131" s="47"/>
      <c r="IK131" s="47"/>
      <c r="IL131" s="47"/>
      <c r="IM131" s="47"/>
      <c r="IN131" s="47"/>
      <c r="IO131" s="47"/>
      <c r="IP131" s="47"/>
      <c r="IQ131" s="47"/>
      <c r="IR131" s="47"/>
      <c r="IS131" s="47"/>
      <c r="IT131" s="47"/>
      <c r="IU131" s="47"/>
      <c r="IV131" s="47"/>
      <c r="IW131" s="1"/>
      <c r="IX131" s="1"/>
      <c r="IY131" s="1"/>
      <c r="IZ131" s="1"/>
      <c r="JA131" s="1"/>
      <c r="JB131" s="1"/>
      <c r="JC131" s="1"/>
      <c r="JD131" s="1"/>
      <c r="JE131" s="1"/>
      <c r="JF131" s="1"/>
      <c r="JG131" s="1"/>
      <c r="JH131" s="1"/>
      <c r="JI131" s="1"/>
      <c r="JJ131" s="1"/>
      <c r="JK131" s="1"/>
      <c r="JL131" s="1"/>
      <c r="JM131" s="1"/>
      <c r="JN131" s="1"/>
      <c r="JO131" s="1"/>
      <c r="JP131" s="1"/>
      <c r="JQ131" s="1"/>
      <c r="JR131" s="1"/>
      <c r="JS131" s="1"/>
      <c r="JT131" s="1"/>
      <c r="JU131" s="1"/>
      <c r="JV131" s="1"/>
      <c r="JW131" s="1"/>
      <c r="JX131" s="1"/>
      <c r="JY131" s="1"/>
      <c r="JZ131" s="1"/>
      <c r="KA131" s="1"/>
      <c r="KB131" s="1"/>
      <c r="KC131" s="1"/>
      <c r="KD131" s="1"/>
      <c r="KE131" s="1"/>
      <c r="KF131" s="1"/>
      <c r="KG131" s="1"/>
      <c r="KH131" s="1"/>
      <c r="KI131" s="1"/>
      <c r="KJ131" s="1"/>
      <c r="KK131" s="1"/>
      <c r="KL131" s="1"/>
      <c r="KM131" s="1"/>
      <c r="KN131" s="1"/>
      <c r="KO131" s="1"/>
      <c r="KP131" s="1"/>
      <c r="KQ131" s="1"/>
      <c r="KR131" s="1"/>
      <c r="KS131" s="1"/>
      <c r="KT131" s="1"/>
      <c r="KU131" s="1"/>
      <c r="KV131" s="1"/>
      <c r="KW131" s="1"/>
      <c r="KX131" s="1"/>
      <c r="KY131" s="1"/>
      <c r="KZ131" s="1"/>
      <c r="LA131" s="1"/>
      <c r="LB131" s="1"/>
      <c r="LC131" s="1"/>
      <c r="LD131" s="1"/>
      <c r="LE131" s="1"/>
      <c r="LF131" s="1"/>
      <c r="LG131" s="1"/>
      <c r="LH131" s="1"/>
      <c r="LI131" s="1"/>
      <c r="LJ131" s="1"/>
      <c r="LK131" s="1"/>
      <c r="LL131" s="1"/>
      <c r="LM131" s="1"/>
      <c r="LN131" s="1"/>
      <c r="LO131" s="1"/>
      <c r="LP131" s="1"/>
      <c r="LQ131" s="1"/>
      <c r="LR131" s="1"/>
      <c r="LS131" s="1"/>
      <c r="LT131" s="1"/>
      <c r="LU131" s="1"/>
      <c r="LV131" s="1"/>
      <c r="LW131" s="1"/>
      <c r="LX131" s="1"/>
      <c r="LY131" s="1"/>
      <c r="LZ131" s="1"/>
      <c r="MA131" s="1"/>
      <c r="MB131" s="1"/>
      <c r="MC131" s="1"/>
      <c r="MD131" s="1"/>
      <c r="ME131" s="1"/>
      <c r="MF131" s="1"/>
      <c r="MG131" s="1"/>
      <c r="MH131" s="1"/>
      <c r="MI131" s="1"/>
      <c r="MJ131" s="1"/>
      <c r="MK131" s="1"/>
      <c r="ML131" s="1"/>
      <c r="MM131" s="1"/>
      <c r="MN131" s="1"/>
      <c r="MO131" s="1"/>
      <c r="MP131" s="1"/>
      <c r="MQ131" s="1"/>
      <c r="MR131" s="1"/>
      <c r="MS131" s="1"/>
      <c r="MT131" s="1"/>
      <c r="MU131" s="1"/>
      <c r="MV131" s="1"/>
      <c r="MW131" s="1"/>
      <c r="MX131" s="1"/>
      <c r="MY131" s="1"/>
      <c r="MZ131" s="1"/>
      <c r="NA131" s="1"/>
      <c r="NB131" s="1"/>
      <c r="ND131" s="53">
        <v>9.6999999999999906E-2</v>
      </c>
      <c r="NE131" s="47">
        <v>-38657.190551602675</v>
      </c>
      <c r="NF131" s="1"/>
      <c r="NG131" s="1"/>
      <c r="NH131" s="1"/>
    </row>
    <row r="132" spans="1:372" ht="12.75" customHeight="1" x14ac:dyDescent="0.3">
      <c r="A132" s="59"/>
      <c r="D132" s="61"/>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c r="AW132" s="47"/>
      <c r="AX132" s="47"/>
      <c r="AY132" s="47"/>
      <c r="AZ132" s="47"/>
      <c r="BA132" s="47"/>
      <c r="BB132" s="47"/>
      <c r="BC132" s="47"/>
      <c r="BD132" s="47"/>
      <c r="BE132" s="47"/>
      <c r="BF132" s="47"/>
      <c r="BG132" s="47"/>
      <c r="BH132" s="47"/>
      <c r="BI132" s="47"/>
      <c r="BJ132" s="47"/>
      <c r="BK132" s="47"/>
      <c r="BL132" s="47"/>
      <c r="BM132" s="47"/>
      <c r="BN132" s="47"/>
      <c r="BO132" s="47"/>
      <c r="BP132" s="47"/>
      <c r="BQ132" s="47"/>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c r="CO132" s="47"/>
      <c r="CP132" s="47"/>
      <c r="CQ132" s="47"/>
      <c r="CR132" s="47"/>
      <c r="CS132" s="47"/>
      <c r="CT132" s="47"/>
      <c r="CU132" s="47"/>
      <c r="CV132" s="47"/>
      <c r="CW132" s="47"/>
      <c r="CX132" s="47"/>
      <c r="CY132" s="47"/>
      <c r="CZ132" s="47"/>
      <c r="DA132" s="47"/>
      <c r="DB132" s="47"/>
      <c r="DC132" s="47"/>
      <c r="DD132" s="47"/>
      <c r="DE132" s="47"/>
      <c r="DF132" s="47"/>
      <c r="DG132" s="47"/>
      <c r="DH132" s="47"/>
      <c r="DI132" s="47"/>
      <c r="DJ132" s="47"/>
      <c r="DK132" s="47"/>
      <c r="DL132" s="47"/>
      <c r="DM132" s="47"/>
      <c r="DN132" s="47"/>
      <c r="DO132" s="47"/>
      <c r="DP132" s="47"/>
      <c r="DQ132" s="47"/>
      <c r="DR132" s="47"/>
      <c r="DS132" s="47"/>
      <c r="DT132" s="47"/>
      <c r="DU132" s="47"/>
      <c r="DV132" s="47"/>
      <c r="DW132" s="47"/>
      <c r="DX132" s="47"/>
      <c r="DY132" s="47"/>
      <c r="DZ132" s="47"/>
      <c r="EA132" s="47"/>
      <c r="EB132" s="47"/>
      <c r="EC132" s="47"/>
      <c r="ED132" s="47"/>
      <c r="EE132" s="47"/>
      <c r="EF132" s="47"/>
      <c r="EG132" s="47"/>
      <c r="EH132" s="47"/>
      <c r="EI132" s="47"/>
      <c r="EJ132" s="47"/>
      <c r="EK132" s="47"/>
      <c r="EL132" s="47"/>
      <c r="EM132" s="47"/>
      <c r="EN132" s="47"/>
      <c r="EO132" s="47"/>
      <c r="EP132" s="47"/>
      <c r="EQ132" s="47"/>
      <c r="ER132" s="47"/>
      <c r="ES132" s="47"/>
      <c r="ET132" s="47"/>
      <c r="EU132" s="47"/>
      <c r="EV132" s="47"/>
      <c r="EW132" s="47"/>
      <c r="EX132" s="47"/>
      <c r="EY132" s="47"/>
      <c r="EZ132" s="47"/>
      <c r="FA132" s="47"/>
      <c r="FB132" s="47"/>
      <c r="FC132" s="47"/>
      <c r="FD132" s="47"/>
      <c r="FE132" s="47"/>
      <c r="FF132" s="47"/>
      <c r="FG132" s="47"/>
      <c r="FH132" s="47"/>
      <c r="FI132" s="47"/>
      <c r="FJ132" s="47"/>
      <c r="FK132" s="47"/>
      <c r="FL132" s="47"/>
      <c r="FM132" s="47"/>
      <c r="FN132" s="47"/>
      <c r="FO132" s="47"/>
      <c r="FP132" s="47"/>
      <c r="FQ132" s="47"/>
      <c r="FR132" s="47"/>
      <c r="FS132" s="47"/>
      <c r="FT132" s="47"/>
      <c r="FU132" s="47"/>
      <c r="FV132" s="47"/>
      <c r="FW132" s="47"/>
      <c r="FX132" s="47"/>
      <c r="FY132" s="47"/>
      <c r="FZ132" s="47"/>
      <c r="GA132" s="47"/>
      <c r="GB132" s="47"/>
      <c r="GC132" s="47"/>
      <c r="GD132" s="47"/>
      <c r="GE132" s="47"/>
      <c r="GF132" s="47"/>
      <c r="GG132" s="47"/>
      <c r="GH132" s="47"/>
      <c r="GI132" s="47"/>
      <c r="GJ132" s="47"/>
      <c r="GK132" s="47"/>
      <c r="GL132" s="47"/>
      <c r="GM132" s="47"/>
      <c r="GN132" s="47"/>
      <c r="GO132" s="47"/>
      <c r="GP132" s="47"/>
      <c r="GQ132" s="47"/>
      <c r="GR132" s="47"/>
      <c r="GS132" s="47"/>
      <c r="GT132" s="47"/>
      <c r="GU132" s="47"/>
      <c r="GV132" s="47"/>
      <c r="GW132" s="47"/>
      <c r="GX132" s="47"/>
      <c r="GY132" s="47"/>
      <c r="GZ132" s="47"/>
      <c r="HA132" s="47"/>
      <c r="HB132" s="47"/>
      <c r="HC132" s="47"/>
      <c r="HD132" s="47"/>
      <c r="HE132" s="47"/>
      <c r="HF132" s="47"/>
      <c r="HG132" s="47"/>
      <c r="HH132" s="47"/>
      <c r="HI132" s="47"/>
      <c r="HJ132" s="47"/>
      <c r="HK132" s="47"/>
      <c r="HL132" s="47"/>
      <c r="HM132" s="47"/>
      <c r="HN132" s="47"/>
      <c r="HO132" s="47"/>
      <c r="HP132" s="47"/>
      <c r="HQ132" s="47"/>
      <c r="HR132" s="47"/>
      <c r="HS132" s="47"/>
      <c r="HT132" s="47"/>
      <c r="HU132" s="47"/>
      <c r="HV132" s="47"/>
      <c r="HW132" s="47"/>
      <c r="HX132" s="47"/>
      <c r="HY132" s="47"/>
      <c r="HZ132" s="47"/>
      <c r="IA132" s="47"/>
      <c r="IB132" s="47"/>
      <c r="IC132" s="47"/>
      <c r="ID132" s="47"/>
      <c r="IE132" s="47"/>
      <c r="IF132" s="47"/>
      <c r="IG132" s="47"/>
      <c r="IH132" s="47"/>
      <c r="II132" s="47"/>
      <c r="IJ132" s="47"/>
      <c r="IK132" s="47"/>
      <c r="IL132" s="47"/>
      <c r="IM132" s="47"/>
      <c r="IN132" s="47"/>
      <c r="IO132" s="47"/>
      <c r="IP132" s="47"/>
      <c r="IQ132" s="47"/>
      <c r="IR132" s="47"/>
      <c r="IS132" s="47"/>
      <c r="IT132" s="47"/>
      <c r="IU132" s="47"/>
      <c r="IV132" s="47"/>
      <c r="IW132" s="1"/>
      <c r="IX132" s="1"/>
      <c r="IY132" s="1"/>
      <c r="IZ132" s="1"/>
      <c r="JA132" s="1"/>
      <c r="JB132" s="1"/>
      <c r="JC132" s="1"/>
      <c r="JD132" s="1"/>
      <c r="JE132" s="1"/>
      <c r="JF132" s="1"/>
      <c r="JG132" s="1"/>
      <c r="JH132" s="1"/>
      <c r="JI132" s="1"/>
      <c r="JJ132" s="1"/>
      <c r="JK132" s="1"/>
      <c r="JL132" s="1"/>
      <c r="JM132" s="1"/>
      <c r="JN132" s="1"/>
      <c r="JO132" s="1"/>
      <c r="JP132" s="1"/>
      <c r="JQ132" s="1"/>
      <c r="JR132" s="1"/>
      <c r="JS132" s="1"/>
      <c r="JT132" s="1"/>
      <c r="JU132" s="1"/>
      <c r="JV132" s="1"/>
      <c r="JW132" s="1"/>
      <c r="JX132" s="1"/>
      <c r="JY132" s="1"/>
      <c r="JZ132" s="1"/>
      <c r="KA132" s="1"/>
      <c r="KB132" s="1"/>
      <c r="KC132" s="1"/>
      <c r="KD132" s="1"/>
      <c r="KE132" s="1"/>
      <c r="KF132" s="1"/>
      <c r="KG132" s="1"/>
      <c r="KH132" s="1"/>
      <c r="KI132" s="1"/>
      <c r="KJ132" s="1"/>
      <c r="KK132" s="1"/>
      <c r="KL132" s="1"/>
      <c r="KM132" s="1"/>
      <c r="KN132" s="1"/>
      <c r="KO132" s="1"/>
      <c r="KP132" s="1"/>
      <c r="KQ132" s="1"/>
      <c r="KR132" s="1"/>
      <c r="KS132" s="1"/>
      <c r="KT132" s="1"/>
      <c r="KU132" s="1"/>
      <c r="KV132" s="1"/>
      <c r="KW132" s="1"/>
      <c r="KX132" s="1"/>
      <c r="KY132" s="1"/>
      <c r="KZ132" s="1"/>
      <c r="LA132" s="1"/>
      <c r="LB132" s="1"/>
      <c r="LC132" s="1"/>
      <c r="LD132" s="1"/>
      <c r="LE132" s="1"/>
      <c r="LF132" s="1"/>
      <c r="LG132" s="1"/>
      <c r="LH132" s="1"/>
      <c r="LI132" s="1"/>
      <c r="LJ132" s="1"/>
      <c r="LK132" s="1"/>
      <c r="LL132" s="1"/>
      <c r="LM132" s="1"/>
      <c r="LN132" s="1"/>
      <c r="LO132" s="1"/>
      <c r="LP132" s="1"/>
      <c r="LQ132" s="1"/>
      <c r="LR132" s="1"/>
      <c r="LS132" s="1"/>
      <c r="LT132" s="1"/>
      <c r="LU132" s="1"/>
      <c r="LV132" s="1"/>
      <c r="LW132" s="1"/>
      <c r="LX132" s="1"/>
      <c r="LY132" s="1"/>
      <c r="LZ132" s="1"/>
      <c r="MA132" s="1"/>
      <c r="MB132" s="1"/>
      <c r="MC132" s="1"/>
      <c r="MD132" s="1"/>
      <c r="ME132" s="1"/>
      <c r="MF132" s="1"/>
      <c r="MG132" s="1"/>
      <c r="MH132" s="1"/>
      <c r="MI132" s="1"/>
      <c r="MJ132" s="1"/>
      <c r="MK132" s="1"/>
      <c r="ML132" s="1"/>
      <c r="MM132" s="1"/>
      <c r="MN132" s="1"/>
      <c r="MO132" s="1"/>
      <c r="MP132" s="1"/>
      <c r="MQ132" s="1"/>
      <c r="MR132" s="1"/>
      <c r="MS132" s="1"/>
      <c r="MT132" s="1"/>
      <c r="MU132" s="1"/>
      <c r="MV132" s="1"/>
      <c r="MW132" s="1"/>
      <c r="MX132" s="1"/>
      <c r="MY132" s="1"/>
      <c r="MZ132" s="1"/>
      <c r="NA132" s="1"/>
      <c r="NB132" s="1"/>
      <c r="ND132" s="53">
        <v>9.7999999999999907E-2</v>
      </c>
      <c r="NE132" s="47">
        <v>-40872.92555623268</v>
      </c>
      <c r="NF132" s="1"/>
      <c r="NG132" s="1"/>
      <c r="NH132" s="1"/>
    </row>
    <row r="133" spans="1:372" ht="12.75" customHeight="1" x14ac:dyDescent="0.3">
      <c r="A133" s="59"/>
      <c r="D133" s="61"/>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c r="AW133" s="47"/>
      <c r="AX133" s="47"/>
      <c r="AY133" s="47"/>
      <c r="AZ133" s="47"/>
      <c r="BA133" s="47"/>
      <c r="BB133" s="47"/>
      <c r="BC133" s="47"/>
      <c r="BD133" s="47"/>
      <c r="BE133" s="47"/>
      <c r="BF133" s="47"/>
      <c r="BG133" s="47"/>
      <c r="BH133" s="47"/>
      <c r="BI133" s="47"/>
      <c r="BJ133" s="47"/>
      <c r="BK133" s="47"/>
      <c r="BL133" s="47"/>
      <c r="BM133" s="47"/>
      <c r="BN133" s="47"/>
      <c r="BO133" s="47"/>
      <c r="BP133" s="47"/>
      <c r="BQ133" s="47"/>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c r="CO133" s="47"/>
      <c r="CP133" s="47"/>
      <c r="CQ133" s="47"/>
      <c r="CR133" s="47"/>
      <c r="CS133" s="47"/>
      <c r="CT133" s="47"/>
      <c r="CU133" s="47"/>
      <c r="CV133" s="47"/>
      <c r="CW133" s="47"/>
      <c r="CX133" s="47"/>
      <c r="CY133" s="47"/>
      <c r="CZ133" s="47"/>
      <c r="DA133" s="47"/>
      <c r="DB133" s="47"/>
      <c r="DC133" s="47"/>
      <c r="DD133" s="47"/>
      <c r="DE133" s="47"/>
      <c r="DF133" s="47"/>
      <c r="DG133" s="47"/>
      <c r="DH133" s="47"/>
      <c r="DI133" s="47"/>
      <c r="DJ133" s="47"/>
      <c r="DK133" s="47"/>
      <c r="DL133" s="47"/>
      <c r="DM133" s="47"/>
      <c r="DN133" s="47"/>
      <c r="DO133" s="47"/>
      <c r="DP133" s="47"/>
      <c r="DQ133" s="47"/>
      <c r="DR133" s="47"/>
      <c r="DS133" s="47"/>
      <c r="DT133" s="47"/>
      <c r="DU133" s="47"/>
      <c r="DV133" s="47"/>
      <c r="DW133" s="47"/>
      <c r="DX133" s="47"/>
      <c r="DY133" s="47"/>
      <c r="DZ133" s="47"/>
      <c r="EA133" s="47"/>
      <c r="EB133" s="47"/>
      <c r="EC133" s="47"/>
      <c r="ED133" s="47"/>
      <c r="EE133" s="47"/>
      <c r="EF133" s="47"/>
      <c r="EG133" s="47"/>
      <c r="EH133" s="47"/>
      <c r="EI133" s="47"/>
      <c r="EJ133" s="47"/>
      <c r="EK133" s="47"/>
      <c r="EL133" s="47"/>
      <c r="EM133" s="47"/>
      <c r="EN133" s="47"/>
      <c r="EO133" s="47"/>
      <c r="EP133" s="47"/>
      <c r="EQ133" s="47"/>
      <c r="ER133" s="47"/>
      <c r="ES133" s="47"/>
      <c r="ET133" s="47"/>
      <c r="EU133" s="47"/>
      <c r="EV133" s="47"/>
      <c r="EW133" s="47"/>
      <c r="EX133" s="47"/>
      <c r="EY133" s="47"/>
      <c r="EZ133" s="47"/>
      <c r="FA133" s="47"/>
      <c r="FB133" s="47"/>
      <c r="FC133" s="47"/>
      <c r="FD133" s="47"/>
      <c r="FE133" s="47"/>
      <c r="FF133" s="47"/>
      <c r="FG133" s="47"/>
      <c r="FH133" s="47"/>
      <c r="FI133" s="47"/>
      <c r="FJ133" s="47"/>
      <c r="FK133" s="47"/>
      <c r="FL133" s="47"/>
      <c r="FM133" s="47"/>
      <c r="FN133" s="47"/>
      <c r="FO133" s="47"/>
      <c r="FP133" s="47"/>
      <c r="FQ133" s="47"/>
      <c r="FR133" s="47"/>
      <c r="FS133" s="47"/>
      <c r="FT133" s="47"/>
      <c r="FU133" s="47"/>
      <c r="FV133" s="47"/>
      <c r="FW133" s="47"/>
      <c r="FX133" s="47"/>
      <c r="FY133" s="47"/>
      <c r="FZ133" s="47"/>
      <c r="GA133" s="47"/>
      <c r="GB133" s="47"/>
      <c r="GC133" s="47"/>
      <c r="GD133" s="47"/>
      <c r="GE133" s="47"/>
      <c r="GF133" s="47"/>
      <c r="GG133" s="47"/>
      <c r="GH133" s="47"/>
      <c r="GI133" s="47"/>
      <c r="GJ133" s="47"/>
      <c r="GK133" s="47"/>
      <c r="GL133" s="47"/>
      <c r="GM133" s="47"/>
      <c r="GN133" s="47"/>
      <c r="GO133" s="47"/>
      <c r="GP133" s="47"/>
      <c r="GQ133" s="47"/>
      <c r="GR133" s="47"/>
      <c r="GS133" s="47"/>
      <c r="GT133" s="47"/>
      <c r="GU133" s="47"/>
      <c r="GV133" s="47"/>
      <c r="GW133" s="47"/>
      <c r="GX133" s="47"/>
      <c r="GY133" s="47"/>
      <c r="GZ133" s="47"/>
      <c r="HA133" s="47"/>
      <c r="HB133" s="47"/>
      <c r="HC133" s="47"/>
      <c r="HD133" s="47"/>
      <c r="HE133" s="47"/>
      <c r="HF133" s="47"/>
      <c r="HG133" s="47"/>
      <c r="HH133" s="47"/>
      <c r="HI133" s="47"/>
      <c r="HJ133" s="47"/>
      <c r="HK133" s="47"/>
      <c r="HL133" s="47"/>
      <c r="HM133" s="47"/>
      <c r="HN133" s="47"/>
      <c r="HO133" s="47"/>
      <c r="HP133" s="47"/>
      <c r="HQ133" s="47"/>
      <c r="HR133" s="47"/>
      <c r="HS133" s="47"/>
      <c r="HT133" s="47"/>
      <c r="HU133" s="47"/>
      <c r="HV133" s="47"/>
      <c r="HW133" s="47"/>
      <c r="HX133" s="47"/>
      <c r="HY133" s="47"/>
      <c r="HZ133" s="47"/>
      <c r="IA133" s="47"/>
      <c r="IB133" s="47"/>
      <c r="IC133" s="47"/>
      <c r="ID133" s="47"/>
      <c r="IE133" s="47"/>
      <c r="IF133" s="47"/>
      <c r="IG133" s="47"/>
      <c r="IH133" s="47"/>
      <c r="II133" s="47"/>
      <c r="IJ133" s="47"/>
      <c r="IK133" s="47"/>
      <c r="IL133" s="47"/>
      <c r="IM133" s="47"/>
      <c r="IN133" s="47"/>
      <c r="IO133" s="47"/>
      <c r="IP133" s="47"/>
      <c r="IQ133" s="47"/>
      <c r="IR133" s="47"/>
      <c r="IS133" s="47"/>
      <c r="IT133" s="47"/>
      <c r="IU133" s="47"/>
      <c r="IV133" s="47"/>
      <c r="IW133" s="1"/>
      <c r="IX133" s="1"/>
      <c r="IY133" s="1"/>
      <c r="IZ133" s="1"/>
      <c r="JA133" s="1"/>
      <c r="JB133" s="1"/>
      <c r="JC133" s="1"/>
      <c r="JD133" s="1"/>
      <c r="JE133" s="1"/>
      <c r="JF133" s="1"/>
      <c r="JG133" s="1"/>
      <c r="JH133" s="1"/>
      <c r="JI133" s="1"/>
      <c r="JJ133" s="1"/>
      <c r="JK133" s="1"/>
      <c r="JL133" s="1"/>
      <c r="JM133" s="1"/>
      <c r="JN133" s="1"/>
      <c r="JO133" s="1"/>
      <c r="JP133" s="1"/>
      <c r="JQ133" s="1"/>
      <c r="JR133" s="1"/>
      <c r="JS133" s="1"/>
      <c r="JT133" s="1"/>
      <c r="JU133" s="1"/>
      <c r="JV133" s="1"/>
      <c r="JW133" s="1"/>
      <c r="JX133" s="1"/>
      <c r="JY133" s="1"/>
      <c r="JZ133" s="1"/>
      <c r="KA133" s="1"/>
      <c r="KB133" s="1"/>
      <c r="KC133" s="1"/>
      <c r="KD133" s="1"/>
      <c r="KE133" s="1"/>
      <c r="KF133" s="1"/>
      <c r="KG133" s="1"/>
      <c r="KH133" s="1"/>
      <c r="KI133" s="1"/>
      <c r="KJ133" s="1"/>
      <c r="KK133" s="1"/>
      <c r="KL133" s="1"/>
      <c r="KM133" s="1"/>
      <c r="KN133" s="1"/>
      <c r="KO133" s="1"/>
      <c r="KP133" s="1"/>
      <c r="KQ133" s="1"/>
      <c r="KR133" s="1"/>
      <c r="KS133" s="1"/>
      <c r="KT133" s="1"/>
      <c r="KU133" s="1"/>
      <c r="KV133" s="1"/>
      <c r="KW133" s="1"/>
      <c r="KX133" s="1"/>
      <c r="KY133" s="1"/>
      <c r="KZ133" s="1"/>
      <c r="LA133" s="1"/>
      <c r="LB133" s="1"/>
      <c r="LC133" s="1"/>
      <c r="LD133" s="1"/>
      <c r="LE133" s="1"/>
      <c r="LF133" s="1"/>
      <c r="LG133" s="1"/>
      <c r="LH133" s="1"/>
      <c r="LI133" s="1"/>
      <c r="LJ133" s="1"/>
      <c r="LK133" s="1"/>
      <c r="LL133" s="1"/>
      <c r="LM133" s="1"/>
      <c r="LN133" s="1"/>
      <c r="LO133" s="1"/>
      <c r="LP133" s="1"/>
      <c r="LQ133" s="1"/>
      <c r="LR133" s="1"/>
      <c r="LS133" s="1"/>
      <c r="LT133" s="1"/>
      <c r="LU133" s="1"/>
      <c r="LV133" s="1"/>
      <c r="LW133" s="1"/>
      <c r="LX133" s="1"/>
      <c r="LY133" s="1"/>
      <c r="LZ133" s="1"/>
      <c r="MA133" s="1"/>
      <c r="MB133" s="1"/>
      <c r="MC133" s="1"/>
      <c r="MD133" s="1"/>
      <c r="ME133" s="1"/>
      <c r="MF133" s="1"/>
      <c r="MG133" s="1"/>
      <c r="MH133" s="1"/>
      <c r="MI133" s="1"/>
      <c r="MJ133" s="1"/>
      <c r="MK133" s="1"/>
      <c r="ML133" s="1"/>
      <c r="MM133" s="1"/>
      <c r="MN133" s="1"/>
      <c r="MO133" s="1"/>
      <c r="MP133" s="1"/>
      <c r="MQ133" s="1"/>
      <c r="MR133" s="1"/>
      <c r="MS133" s="1"/>
      <c r="MT133" s="1"/>
      <c r="MU133" s="1"/>
      <c r="MV133" s="1"/>
      <c r="MW133" s="1"/>
      <c r="MX133" s="1"/>
      <c r="MY133" s="1"/>
      <c r="MZ133" s="1"/>
      <c r="NA133" s="1"/>
      <c r="NB133" s="1"/>
      <c r="ND133" s="53">
        <v>9.8999999999999894E-2</v>
      </c>
      <c r="NE133" s="47">
        <v>-43090.97281251668</v>
      </c>
      <c r="NF133" s="1"/>
      <c r="NG133" s="1"/>
      <c r="NH133" s="1"/>
    </row>
    <row r="134" spans="1:372" ht="12.75" customHeight="1" x14ac:dyDescent="0.3">
      <c r="A134" s="59"/>
      <c r="D134" s="61"/>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c r="AW134" s="47"/>
      <c r="AX134" s="47"/>
      <c r="AY134" s="47"/>
      <c r="AZ134" s="47"/>
      <c r="BA134" s="47"/>
      <c r="BB134" s="47"/>
      <c r="BC134" s="47"/>
      <c r="BD134" s="47"/>
      <c r="BE134" s="47"/>
      <c r="BF134" s="47"/>
      <c r="BG134" s="47"/>
      <c r="BH134" s="47"/>
      <c r="BI134" s="47"/>
      <c r="BJ134" s="47"/>
      <c r="BK134" s="47"/>
      <c r="BL134" s="47"/>
      <c r="BM134" s="47"/>
      <c r="BN134" s="47"/>
      <c r="BO134" s="47"/>
      <c r="BP134" s="47"/>
      <c r="BQ134" s="47"/>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c r="CO134" s="47"/>
      <c r="CP134" s="47"/>
      <c r="CQ134" s="47"/>
      <c r="CR134" s="47"/>
      <c r="CS134" s="47"/>
      <c r="CT134" s="47"/>
      <c r="CU134" s="47"/>
      <c r="CV134" s="47"/>
      <c r="CW134" s="47"/>
      <c r="CX134" s="47"/>
      <c r="CY134" s="47"/>
      <c r="CZ134" s="47"/>
      <c r="DA134" s="47"/>
      <c r="DB134" s="47"/>
      <c r="DC134" s="47"/>
      <c r="DD134" s="47"/>
      <c r="DE134" s="47"/>
      <c r="DF134" s="47"/>
      <c r="DG134" s="47"/>
      <c r="DH134" s="47"/>
      <c r="DI134" s="47"/>
      <c r="DJ134" s="47"/>
      <c r="DK134" s="47"/>
      <c r="DL134" s="47"/>
      <c r="DM134" s="47"/>
      <c r="DN134" s="47"/>
      <c r="DO134" s="47"/>
      <c r="DP134" s="47"/>
      <c r="DQ134" s="47"/>
      <c r="DR134" s="47"/>
      <c r="DS134" s="47"/>
      <c r="DT134" s="47"/>
      <c r="DU134" s="47"/>
      <c r="DV134" s="47"/>
      <c r="DW134" s="47"/>
      <c r="DX134" s="47"/>
      <c r="DY134" s="47"/>
      <c r="DZ134" s="47"/>
      <c r="EA134" s="47"/>
      <c r="EB134" s="47"/>
      <c r="EC134" s="47"/>
      <c r="ED134" s="47"/>
      <c r="EE134" s="47"/>
      <c r="EF134" s="47"/>
      <c r="EG134" s="47"/>
      <c r="EH134" s="47"/>
      <c r="EI134" s="47"/>
      <c r="EJ134" s="47"/>
      <c r="EK134" s="47"/>
      <c r="EL134" s="47"/>
      <c r="EM134" s="47"/>
      <c r="EN134" s="47"/>
      <c r="EO134" s="47"/>
      <c r="EP134" s="47"/>
      <c r="EQ134" s="47"/>
      <c r="ER134" s="47"/>
      <c r="ES134" s="47"/>
      <c r="ET134" s="47"/>
      <c r="EU134" s="47"/>
      <c r="EV134" s="47"/>
      <c r="EW134" s="47"/>
      <c r="EX134" s="47"/>
      <c r="EY134" s="47"/>
      <c r="EZ134" s="47"/>
      <c r="FA134" s="47"/>
      <c r="FB134" s="47"/>
      <c r="FC134" s="47"/>
      <c r="FD134" s="47"/>
      <c r="FE134" s="47"/>
      <c r="FF134" s="47"/>
      <c r="FG134" s="47"/>
      <c r="FH134" s="47"/>
      <c r="FI134" s="47"/>
      <c r="FJ134" s="47"/>
      <c r="FK134" s="47"/>
      <c r="FL134" s="47"/>
      <c r="FM134" s="47"/>
      <c r="FN134" s="47"/>
      <c r="FO134" s="47"/>
      <c r="FP134" s="47"/>
      <c r="FQ134" s="47"/>
      <c r="FR134" s="47"/>
      <c r="FS134" s="47"/>
      <c r="FT134" s="47"/>
      <c r="FU134" s="47"/>
      <c r="FV134" s="47"/>
      <c r="FW134" s="47"/>
      <c r="FX134" s="47"/>
      <c r="FY134" s="47"/>
      <c r="FZ134" s="47"/>
      <c r="GA134" s="47"/>
      <c r="GB134" s="47"/>
      <c r="GC134" s="47"/>
      <c r="GD134" s="47"/>
      <c r="GE134" s="47"/>
      <c r="GF134" s="47"/>
      <c r="GG134" s="47"/>
      <c r="GH134" s="47"/>
      <c r="GI134" s="47"/>
      <c r="GJ134" s="47"/>
      <c r="GK134" s="47"/>
      <c r="GL134" s="47"/>
      <c r="GM134" s="47"/>
      <c r="GN134" s="47"/>
      <c r="GO134" s="47"/>
      <c r="GP134" s="47"/>
      <c r="GQ134" s="47"/>
      <c r="GR134" s="47"/>
      <c r="GS134" s="47"/>
      <c r="GT134" s="47"/>
      <c r="GU134" s="47"/>
      <c r="GV134" s="47"/>
      <c r="GW134" s="47"/>
      <c r="GX134" s="47"/>
      <c r="GY134" s="47"/>
      <c r="GZ134" s="47"/>
      <c r="HA134" s="47"/>
      <c r="HB134" s="47"/>
      <c r="HC134" s="47"/>
      <c r="HD134" s="47"/>
      <c r="HE134" s="47"/>
      <c r="HF134" s="47"/>
      <c r="HG134" s="47"/>
      <c r="HH134" s="47"/>
      <c r="HI134" s="47"/>
      <c r="HJ134" s="47"/>
      <c r="HK134" s="47"/>
      <c r="HL134" s="47"/>
      <c r="HM134" s="47"/>
      <c r="HN134" s="47"/>
      <c r="HO134" s="47"/>
      <c r="HP134" s="47"/>
      <c r="HQ134" s="47"/>
      <c r="HR134" s="47"/>
      <c r="HS134" s="47"/>
      <c r="HT134" s="47"/>
      <c r="HU134" s="47"/>
      <c r="HV134" s="47"/>
      <c r="HW134" s="47"/>
      <c r="HX134" s="47"/>
      <c r="HY134" s="47"/>
      <c r="HZ134" s="47"/>
      <c r="IA134" s="47"/>
      <c r="IB134" s="47"/>
      <c r="IC134" s="47"/>
      <c r="ID134" s="47"/>
      <c r="IE134" s="47"/>
      <c r="IF134" s="47"/>
      <c r="IG134" s="47"/>
      <c r="IH134" s="47"/>
      <c r="II134" s="47"/>
      <c r="IJ134" s="47"/>
      <c r="IK134" s="47"/>
      <c r="IL134" s="47"/>
      <c r="IM134" s="47"/>
      <c r="IN134" s="47"/>
      <c r="IO134" s="47"/>
      <c r="IP134" s="47"/>
      <c r="IQ134" s="47"/>
      <c r="IR134" s="47"/>
      <c r="IS134" s="47"/>
      <c r="IT134" s="47"/>
      <c r="IU134" s="47"/>
      <c r="IV134" s="47"/>
      <c r="IW134" s="1"/>
      <c r="IX134" s="1"/>
      <c r="IY134" s="1"/>
      <c r="IZ134" s="1"/>
      <c r="JA134" s="1"/>
      <c r="JB134" s="1"/>
      <c r="JC134" s="1"/>
      <c r="JD134" s="1"/>
      <c r="JE134" s="1"/>
      <c r="JF134" s="1"/>
      <c r="JG134" s="1"/>
      <c r="JH134" s="1"/>
      <c r="JI134" s="1"/>
      <c r="JJ134" s="1"/>
      <c r="JK134" s="1"/>
      <c r="JL134" s="1"/>
      <c r="JM134" s="1"/>
      <c r="JN134" s="1"/>
      <c r="JO134" s="1"/>
      <c r="JP134" s="1"/>
      <c r="JQ134" s="1"/>
      <c r="JR134" s="1"/>
      <c r="JS134" s="1"/>
      <c r="JT134" s="1"/>
      <c r="JU134" s="1"/>
      <c r="JV134" s="1"/>
      <c r="JW134" s="1"/>
      <c r="JX134" s="1"/>
      <c r="JY134" s="1"/>
      <c r="JZ134" s="1"/>
      <c r="KA134" s="1"/>
      <c r="KB134" s="1"/>
      <c r="KC134" s="1"/>
      <c r="KD134" s="1"/>
      <c r="KE134" s="1"/>
      <c r="KF134" s="1"/>
      <c r="KG134" s="1"/>
      <c r="KH134" s="1"/>
      <c r="KI134" s="1"/>
      <c r="KJ134" s="1"/>
      <c r="KK134" s="1"/>
      <c r="KL134" s="1"/>
      <c r="KM134" s="1"/>
      <c r="KN134" s="1"/>
      <c r="KO134" s="1"/>
      <c r="KP134" s="1"/>
      <c r="KQ134" s="1"/>
      <c r="KR134" s="1"/>
      <c r="KS134" s="1"/>
      <c r="KT134" s="1"/>
      <c r="KU134" s="1"/>
      <c r="KV134" s="1"/>
      <c r="KW134" s="1"/>
      <c r="KX134" s="1"/>
      <c r="KY134" s="1"/>
      <c r="KZ134" s="1"/>
      <c r="LA134" s="1"/>
      <c r="LB134" s="1"/>
      <c r="LC134" s="1"/>
      <c r="LD134" s="1"/>
      <c r="LE134" s="1"/>
      <c r="LF134" s="1"/>
      <c r="LG134" s="1"/>
      <c r="LH134" s="1"/>
      <c r="LI134" s="1"/>
      <c r="LJ134" s="1"/>
      <c r="LK134" s="1"/>
      <c r="LL134" s="1"/>
      <c r="LM134" s="1"/>
      <c r="LN134" s="1"/>
      <c r="LO134" s="1"/>
      <c r="LP134" s="1"/>
      <c r="LQ134" s="1"/>
      <c r="LR134" s="1"/>
      <c r="LS134" s="1"/>
      <c r="LT134" s="1"/>
      <c r="LU134" s="1"/>
      <c r="LV134" s="1"/>
      <c r="LW134" s="1"/>
      <c r="LX134" s="1"/>
      <c r="LY134" s="1"/>
      <c r="LZ134" s="1"/>
      <c r="MA134" s="1"/>
      <c r="MB134" s="1"/>
      <c r="MC134" s="1"/>
      <c r="MD134" s="1"/>
      <c r="ME134" s="1"/>
      <c r="MF134" s="1"/>
      <c r="MG134" s="1"/>
      <c r="MH134" s="1"/>
      <c r="MI134" s="1"/>
      <c r="MJ134" s="1"/>
      <c r="MK134" s="1"/>
      <c r="ML134" s="1"/>
      <c r="MM134" s="1"/>
      <c r="MN134" s="1"/>
      <c r="MO134" s="1"/>
      <c r="MP134" s="1"/>
      <c r="MQ134" s="1"/>
      <c r="MR134" s="1"/>
      <c r="MS134" s="1"/>
      <c r="MT134" s="1"/>
      <c r="MU134" s="1"/>
      <c r="MV134" s="1"/>
      <c r="MW134" s="1"/>
      <c r="MX134" s="1"/>
      <c r="MY134" s="1"/>
      <c r="MZ134" s="1"/>
      <c r="NA134" s="1"/>
      <c r="NB134" s="1"/>
      <c r="ND134" s="53">
        <v>9.9999999999999895E-2</v>
      </c>
      <c r="NE134" s="47">
        <v>-45311.27590231879</v>
      </c>
      <c r="NF134" s="1"/>
      <c r="NG134" s="1"/>
      <c r="NH134" s="1"/>
    </row>
    <row r="135" spans="1:372" ht="12.75" customHeight="1" x14ac:dyDescent="0.3">
      <c r="A135" s="59"/>
      <c r="B135" s="61"/>
      <c r="C135" s="61"/>
      <c r="D135" s="61"/>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c r="AW135" s="47"/>
      <c r="AX135" s="47"/>
      <c r="AY135" s="47"/>
      <c r="AZ135" s="47"/>
      <c r="BA135" s="47"/>
      <c r="BB135" s="47"/>
      <c r="BC135" s="47"/>
      <c r="BD135" s="47"/>
      <c r="BE135" s="47"/>
      <c r="BF135" s="47"/>
      <c r="BG135" s="47"/>
      <c r="BH135" s="47"/>
      <c r="BI135" s="47"/>
      <c r="BJ135" s="47"/>
      <c r="BK135" s="47"/>
      <c r="BL135" s="47"/>
      <c r="BM135" s="47"/>
      <c r="BN135" s="47"/>
      <c r="BO135" s="47"/>
      <c r="BP135" s="47"/>
      <c r="BQ135" s="47"/>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c r="CO135" s="47"/>
      <c r="CP135" s="47"/>
      <c r="CQ135" s="47"/>
      <c r="CR135" s="47"/>
      <c r="CS135" s="47"/>
      <c r="CT135" s="47"/>
      <c r="CU135" s="47"/>
      <c r="CV135" s="47"/>
      <c r="CW135" s="47"/>
      <c r="CX135" s="47"/>
      <c r="CY135" s="47"/>
      <c r="CZ135" s="47"/>
      <c r="DA135" s="47"/>
      <c r="DB135" s="47"/>
      <c r="DC135" s="47"/>
      <c r="DD135" s="47"/>
      <c r="DE135" s="47"/>
      <c r="DF135" s="47"/>
      <c r="DG135" s="47"/>
      <c r="DH135" s="47"/>
      <c r="DI135" s="47"/>
      <c r="DJ135" s="47"/>
      <c r="DK135" s="47"/>
      <c r="DL135" s="47"/>
      <c r="DM135" s="47"/>
      <c r="DN135" s="47"/>
      <c r="DO135" s="47"/>
      <c r="DP135" s="47"/>
      <c r="DQ135" s="47"/>
      <c r="DR135" s="47"/>
      <c r="DS135" s="47"/>
      <c r="DT135" s="47"/>
      <c r="DU135" s="47"/>
      <c r="DV135" s="47"/>
      <c r="DW135" s="47"/>
      <c r="DX135" s="47"/>
      <c r="DY135" s="47"/>
      <c r="DZ135" s="47"/>
      <c r="EA135" s="47"/>
      <c r="EB135" s="47"/>
      <c r="EC135" s="47"/>
      <c r="ED135" s="47"/>
      <c r="EE135" s="47"/>
      <c r="EF135" s="47"/>
      <c r="EG135" s="47"/>
      <c r="EH135" s="47"/>
      <c r="EI135" s="47"/>
      <c r="EJ135" s="47"/>
      <c r="EK135" s="47"/>
      <c r="EL135" s="47"/>
      <c r="EM135" s="47"/>
      <c r="EN135" s="47"/>
      <c r="EO135" s="47"/>
      <c r="EP135" s="47"/>
      <c r="EQ135" s="47"/>
      <c r="ER135" s="47"/>
      <c r="ES135" s="47"/>
      <c r="ET135" s="47"/>
      <c r="EU135" s="47"/>
      <c r="EV135" s="47"/>
      <c r="EW135" s="47"/>
      <c r="EX135" s="47"/>
      <c r="EY135" s="47"/>
      <c r="EZ135" s="47"/>
      <c r="FA135" s="47"/>
      <c r="FB135" s="47"/>
      <c r="FC135" s="47"/>
      <c r="FD135" s="47"/>
      <c r="FE135" s="47"/>
      <c r="FF135" s="47"/>
      <c r="FG135" s="47"/>
      <c r="FH135" s="47"/>
      <c r="FI135" s="47"/>
      <c r="FJ135" s="47"/>
      <c r="FK135" s="47"/>
      <c r="FL135" s="47"/>
      <c r="FM135" s="47"/>
      <c r="FN135" s="47"/>
      <c r="FO135" s="47"/>
      <c r="FP135" s="47"/>
      <c r="FQ135" s="47"/>
      <c r="FR135" s="47"/>
      <c r="FS135" s="47"/>
      <c r="FT135" s="47"/>
      <c r="FU135" s="47"/>
      <c r="FV135" s="47"/>
      <c r="FW135" s="47"/>
      <c r="FX135" s="47"/>
      <c r="FY135" s="47"/>
      <c r="FZ135" s="47"/>
      <c r="GA135" s="47"/>
      <c r="GB135" s="47"/>
      <c r="GC135" s="47"/>
      <c r="GD135" s="47"/>
      <c r="GE135" s="47"/>
      <c r="GF135" s="47"/>
      <c r="GG135" s="47"/>
      <c r="GH135" s="47"/>
      <c r="GI135" s="47"/>
      <c r="GJ135" s="47"/>
      <c r="GK135" s="47"/>
      <c r="GL135" s="47"/>
      <c r="GM135" s="47"/>
      <c r="GN135" s="47"/>
      <c r="GO135" s="47"/>
      <c r="GP135" s="47"/>
      <c r="GQ135" s="47"/>
      <c r="GR135" s="47"/>
      <c r="GS135" s="47"/>
      <c r="GT135" s="47"/>
      <c r="GU135" s="47"/>
      <c r="GV135" s="47"/>
      <c r="GW135" s="47"/>
      <c r="GX135" s="47"/>
      <c r="GY135" s="47"/>
      <c r="GZ135" s="47"/>
      <c r="HA135" s="47"/>
      <c r="HB135" s="47"/>
      <c r="HC135" s="47"/>
      <c r="HD135" s="47"/>
      <c r="HE135" s="47"/>
      <c r="HF135" s="47"/>
      <c r="HG135" s="47"/>
      <c r="HH135" s="47"/>
      <c r="HI135" s="47"/>
      <c r="HJ135" s="47"/>
      <c r="HK135" s="47"/>
      <c r="HL135" s="47"/>
      <c r="HM135" s="47"/>
      <c r="HN135" s="47"/>
      <c r="HO135" s="47"/>
      <c r="HP135" s="47"/>
      <c r="HQ135" s="47"/>
      <c r="HR135" s="47"/>
      <c r="HS135" s="47"/>
      <c r="HT135" s="47"/>
      <c r="HU135" s="47"/>
      <c r="HV135" s="47"/>
      <c r="HW135" s="47"/>
      <c r="HX135" s="47"/>
      <c r="HY135" s="47"/>
      <c r="HZ135" s="47"/>
      <c r="IA135" s="47"/>
      <c r="IB135" s="47"/>
      <c r="IC135" s="47"/>
      <c r="ID135" s="47"/>
      <c r="IE135" s="47"/>
      <c r="IF135" s="47"/>
      <c r="IG135" s="47"/>
      <c r="IH135" s="47"/>
      <c r="II135" s="47"/>
      <c r="IJ135" s="47"/>
      <c r="IK135" s="47"/>
      <c r="IL135" s="47"/>
      <c r="IM135" s="47"/>
      <c r="IN135" s="47"/>
      <c r="IO135" s="47"/>
      <c r="IP135" s="47"/>
      <c r="IQ135" s="47"/>
      <c r="IR135" s="47"/>
      <c r="IS135" s="47"/>
      <c r="IT135" s="47"/>
      <c r="IU135" s="47"/>
      <c r="IV135" s="47"/>
      <c r="IW135" s="1"/>
      <c r="IX135" s="1"/>
      <c r="IY135" s="1"/>
      <c r="IZ135" s="1"/>
      <c r="JA135" s="1"/>
      <c r="JB135" s="1"/>
      <c r="JC135" s="1"/>
      <c r="JD135" s="1"/>
      <c r="JE135" s="1"/>
      <c r="JF135" s="1"/>
      <c r="JG135" s="1"/>
      <c r="JH135" s="1"/>
      <c r="JI135" s="1"/>
      <c r="JJ135" s="1"/>
      <c r="JK135" s="1"/>
      <c r="JL135" s="1"/>
      <c r="JM135" s="1"/>
      <c r="JN135" s="1"/>
      <c r="JO135" s="1"/>
      <c r="JP135" s="1"/>
      <c r="JQ135" s="1"/>
      <c r="JR135" s="1"/>
      <c r="JS135" s="1"/>
      <c r="JT135" s="1"/>
      <c r="JU135" s="1"/>
      <c r="JV135" s="1"/>
      <c r="JW135" s="1"/>
      <c r="JX135" s="1"/>
      <c r="JY135" s="1"/>
      <c r="JZ135" s="1"/>
      <c r="KA135" s="1"/>
      <c r="KB135" s="1"/>
      <c r="KC135" s="1"/>
      <c r="KD135" s="1"/>
      <c r="KE135" s="1"/>
      <c r="KF135" s="1"/>
      <c r="KG135" s="1"/>
      <c r="KH135" s="1"/>
      <c r="KI135" s="1"/>
      <c r="KJ135" s="1"/>
      <c r="KK135" s="1"/>
      <c r="KL135" s="1"/>
      <c r="KM135" s="1"/>
      <c r="KN135" s="1"/>
      <c r="KO135" s="1"/>
      <c r="KP135" s="1"/>
      <c r="KQ135" s="1"/>
      <c r="KR135" s="1"/>
      <c r="KS135" s="1"/>
      <c r="KT135" s="1"/>
      <c r="KU135" s="1"/>
      <c r="KV135" s="1"/>
      <c r="KW135" s="1"/>
      <c r="KX135" s="1"/>
      <c r="KY135" s="1"/>
      <c r="KZ135" s="1"/>
      <c r="LA135" s="1"/>
      <c r="LB135" s="1"/>
      <c r="LC135" s="1"/>
      <c r="LD135" s="1"/>
      <c r="LE135" s="1"/>
      <c r="LF135" s="1"/>
      <c r="LG135" s="1"/>
      <c r="LH135" s="1"/>
      <c r="LI135" s="1"/>
      <c r="LJ135" s="1"/>
      <c r="LK135" s="1"/>
      <c r="LL135" s="1"/>
      <c r="LM135" s="1"/>
      <c r="LN135" s="1"/>
      <c r="LO135" s="1"/>
      <c r="LP135" s="1"/>
      <c r="LQ135" s="1"/>
      <c r="LR135" s="1"/>
      <c r="LS135" s="1"/>
      <c r="LT135" s="1"/>
      <c r="LU135" s="1"/>
      <c r="LV135" s="1"/>
      <c r="LW135" s="1"/>
      <c r="LX135" s="1"/>
      <c r="LY135" s="1"/>
      <c r="LZ135" s="1"/>
      <c r="MA135" s="1"/>
      <c r="MB135" s="1"/>
      <c r="MC135" s="1"/>
      <c r="MD135" s="1"/>
      <c r="ME135" s="1"/>
      <c r="MF135" s="1"/>
      <c r="MG135" s="1"/>
      <c r="MH135" s="1"/>
      <c r="MI135" s="1"/>
      <c r="MJ135" s="1"/>
      <c r="MK135" s="1"/>
      <c r="ML135" s="1"/>
      <c r="MM135" s="1"/>
      <c r="MN135" s="1"/>
      <c r="MO135" s="1"/>
      <c r="MP135" s="1"/>
      <c r="MQ135" s="1"/>
      <c r="MR135" s="1"/>
      <c r="MS135" s="1"/>
      <c r="MT135" s="1"/>
      <c r="MU135" s="1"/>
      <c r="MV135" s="1"/>
      <c r="MW135" s="1"/>
      <c r="MX135" s="1"/>
      <c r="MY135" s="1"/>
      <c r="MZ135" s="1"/>
      <c r="NA135" s="1"/>
      <c r="NB135" s="1"/>
      <c r="ND135" s="1"/>
      <c r="NE135" s="1"/>
      <c r="NF135" s="1"/>
      <c r="NG135" s="1"/>
      <c r="NH135" s="1"/>
    </row>
    <row r="136" spans="1:372" ht="12.75" customHeight="1" x14ac:dyDescent="0.3">
      <c r="A136" s="59"/>
      <c r="B136" s="61"/>
      <c r="C136" s="61"/>
      <c r="D136" s="61"/>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c r="AW136" s="47"/>
      <c r="AX136" s="47"/>
      <c r="AY136" s="47"/>
      <c r="AZ136" s="47"/>
      <c r="BA136" s="47"/>
      <c r="BB136" s="47"/>
      <c r="BC136" s="47"/>
      <c r="BD136" s="47"/>
      <c r="BE136" s="47"/>
      <c r="BF136" s="47"/>
      <c r="BG136" s="47"/>
      <c r="BH136" s="47"/>
      <c r="BI136" s="47"/>
      <c r="BJ136" s="47"/>
      <c r="BK136" s="47"/>
      <c r="BL136" s="47"/>
      <c r="BM136" s="47"/>
      <c r="BN136" s="47"/>
      <c r="BO136" s="47"/>
      <c r="BP136" s="47"/>
      <c r="BQ136" s="47"/>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c r="CO136" s="47"/>
      <c r="CP136" s="47"/>
      <c r="CQ136" s="47"/>
      <c r="CR136" s="47"/>
      <c r="CS136" s="47"/>
      <c r="CT136" s="47"/>
      <c r="CU136" s="47"/>
      <c r="CV136" s="47"/>
      <c r="CW136" s="47"/>
      <c r="CX136" s="47"/>
      <c r="CY136" s="47"/>
      <c r="CZ136" s="47"/>
      <c r="DA136" s="47"/>
      <c r="DB136" s="47"/>
      <c r="DC136" s="47"/>
      <c r="DD136" s="47"/>
      <c r="DE136" s="47"/>
      <c r="DF136" s="47"/>
      <c r="DG136" s="47"/>
      <c r="DH136" s="47"/>
      <c r="DI136" s="47"/>
      <c r="DJ136" s="47"/>
      <c r="DK136" s="47"/>
      <c r="DL136" s="47"/>
      <c r="DM136" s="47"/>
      <c r="DN136" s="47"/>
      <c r="DO136" s="47"/>
      <c r="DP136" s="47"/>
      <c r="DQ136" s="47"/>
      <c r="DR136" s="47"/>
      <c r="DS136" s="47"/>
      <c r="DT136" s="47"/>
      <c r="DU136" s="47"/>
      <c r="DV136" s="47"/>
      <c r="DW136" s="47"/>
      <c r="DX136" s="47"/>
      <c r="DY136" s="47"/>
      <c r="DZ136" s="47"/>
      <c r="EA136" s="47"/>
      <c r="EB136" s="47"/>
      <c r="EC136" s="47"/>
      <c r="ED136" s="47"/>
      <c r="EE136" s="47"/>
      <c r="EF136" s="47"/>
      <c r="EG136" s="47"/>
      <c r="EH136" s="47"/>
      <c r="EI136" s="47"/>
      <c r="EJ136" s="47"/>
      <c r="EK136" s="47"/>
      <c r="EL136" s="47"/>
      <c r="EM136" s="47"/>
      <c r="EN136" s="47"/>
      <c r="EO136" s="47"/>
      <c r="EP136" s="47"/>
      <c r="EQ136" s="47"/>
      <c r="ER136" s="47"/>
      <c r="ES136" s="47"/>
      <c r="ET136" s="47"/>
      <c r="EU136" s="47"/>
      <c r="EV136" s="47"/>
      <c r="EW136" s="47"/>
      <c r="EX136" s="47"/>
      <c r="EY136" s="47"/>
      <c r="EZ136" s="47"/>
      <c r="FA136" s="47"/>
      <c r="FB136" s="47"/>
      <c r="FC136" s="47"/>
      <c r="FD136" s="47"/>
      <c r="FE136" s="47"/>
      <c r="FF136" s="47"/>
      <c r="FG136" s="47"/>
      <c r="FH136" s="47"/>
      <c r="FI136" s="47"/>
      <c r="FJ136" s="47"/>
      <c r="FK136" s="47"/>
      <c r="FL136" s="47"/>
      <c r="FM136" s="47"/>
      <c r="FN136" s="47"/>
      <c r="FO136" s="47"/>
      <c r="FP136" s="47"/>
      <c r="FQ136" s="47"/>
      <c r="FR136" s="47"/>
      <c r="FS136" s="47"/>
      <c r="FT136" s="47"/>
      <c r="FU136" s="47"/>
      <c r="FV136" s="47"/>
      <c r="FW136" s="47"/>
      <c r="FX136" s="47"/>
      <c r="FY136" s="47"/>
      <c r="FZ136" s="47"/>
      <c r="GA136" s="47"/>
      <c r="GB136" s="47"/>
      <c r="GC136" s="47"/>
      <c r="GD136" s="47"/>
      <c r="GE136" s="47"/>
      <c r="GF136" s="47"/>
      <c r="GG136" s="47"/>
      <c r="GH136" s="47"/>
      <c r="GI136" s="47"/>
      <c r="GJ136" s="47"/>
      <c r="GK136" s="47"/>
      <c r="GL136" s="47"/>
      <c r="GM136" s="47"/>
      <c r="GN136" s="47"/>
      <c r="GO136" s="47"/>
      <c r="GP136" s="47"/>
      <c r="GQ136" s="47"/>
      <c r="GR136" s="47"/>
      <c r="GS136" s="47"/>
      <c r="GT136" s="47"/>
      <c r="GU136" s="47"/>
      <c r="GV136" s="47"/>
      <c r="GW136" s="47"/>
      <c r="GX136" s="47"/>
      <c r="GY136" s="47"/>
      <c r="GZ136" s="47"/>
      <c r="HA136" s="47"/>
      <c r="HB136" s="47"/>
      <c r="HC136" s="47"/>
      <c r="HD136" s="47"/>
      <c r="HE136" s="47"/>
      <c r="HF136" s="47"/>
      <c r="HG136" s="47"/>
      <c r="HH136" s="47"/>
      <c r="HI136" s="47"/>
      <c r="HJ136" s="47"/>
      <c r="HK136" s="47"/>
      <c r="HL136" s="47"/>
      <c r="HM136" s="47"/>
      <c r="HN136" s="47"/>
      <c r="HO136" s="47"/>
      <c r="HP136" s="47"/>
      <c r="HQ136" s="47"/>
      <c r="HR136" s="47"/>
      <c r="HS136" s="47"/>
      <c r="HT136" s="47"/>
      <c r="HU136" s="47"/>
      <c r="HV136" s="47"/>
      <c r="HW136" s="47"/>
      <c r="HX136" s="47"/>
      <c r="HY136" s="47"/>
      <c r="HZ136" s="47"/>
      <c r="IA136" s="47"/>
      <c r="IB136" s="47"/>
      <c r="IC136" s="47"/>
      <c r="ID136" s="47"/>
      <c r="IE136" s="47"/>
      <c r="IF136" s="47"/>
      <c r="IG136" s="47"/>
      <c r="IH136" s="47"/>
      <c r="II136" s="47"/>
      <c r="IJ136" s="47"/>
      <c r="IK136" s="47"/>
      <c r="IL136" s="47"/>
      <c r="IM136" s="47"/>
      <c r="IN136" s="47"/>
      <c r="IO136" s="47"/>
      <c r="IP136" s="47"/>
      <c r="IQ136" s="47"/>
      <c r="IR136" s="47"/>
      <c r="IS136" s="47"/>
      <c r="IT136" s="47"/>
      <c r="IU136" s="47"/>
      <c r="IV136" s="47"/>
      <c r="IW136" s="1"/>
      <c r="IX136" s="1"/>
      <c r="IY136" s="1"/>
      <c r="IZ136" s="1"/>
      <c r="JA136" s="1"/>
      <c r="JB136" s="1"/>
      <c r="JC136" s="1"/>
      <c r="JD136" s="1"/>
      <c r="JE136" s="1"/>
      <c r="JF136" s="1"/>
      <c r="JG136" s="1"/>
      <c r="JH136" s="1"/>
      <c r="JI136" s="1"/>
      <c r="JJ136" s="1"/>
      <c r="JK136" s="1"/>
      <c r="JL136" s="1"/>
      <c r="JM136" s="1"/>
      <c r="JN136" s="1"/>
      <c r="JO136" s="1"/>
      <c r="JP136" s="1"/>
      <c r="JQ136" s="1"/>
      <c r="JR136" s="1"/>
      <c r="JS136" s="1"/>
      <c r="JT136" s="1"/>
      <c r="JU136" s="1"/>
      <c r="JV136" s="1"/>
      <c r="JW136" s="1"/>
      <c r="JX136" s="1"/>
      <c r="JY136" s="1"/>
      <c r="JZ136" s="1"/>
      <c r="KA136" s="1"/>
      <c r="KB136" s="1"/>
      <c r="KC136" s="1"/>
      <c r="KD136" s="1"/>
      <c r="KE136" s="1"/>
      <c r="KF136" s="1"/>
      <c r="KG136" s="1"/>
      <c r="KH136" s="1"/>
      <c r="KI136" s="1"/>
      <c r="KJ136" s="1"/>
      <c r="KK136" s="1"/>
      <c r="KL136" s="1"/>
      <c r="KM136" s="1"/>
      <c r="KN136" s="1"/>
      <c r="KO136" s="1"/>
      <c r="KP136" s="1"/>
      <c r="KQ136" s="1"/>
      <c r="KR136" s="1"/>
      <c r="KS136" s="1"/>
      <c r="KT136" s="1"/>
      <c r="KU136" s="1"/>
      <c r="KV136" s="1"/>
      <c r="KW136" s="1"/>
      <c r="KX136" s="1"/>
      <c r="KY136" s="1"/>
      <c r="KZ136" s="1"/>
      <c r="LA136" s="1"/>
      <c r="LB136" s="1"/>
      <c r="LC136" s="1"/>
      <c r="LD136" s="1"/>
      <c r="LE136" s="1"/>
      <c r="LF136" s="1"/>
      <c r="LG136" s="1"/>
      <c r="LH136" s="1"/>
      <c r="LI136" s="1"/>
      <c r="LJ136" s="1"/>
      <c r="LK136" s="1"/>
      <c r="LL136" s="1"/>
      <c r="LM136" s="1"/>
      <c r="LN136" s="1"/>
      <c r="LO136" s="1"/>
      <c r="LP136" s="1"/>
      <c r="LQ136" s="1"/>
      <c r="LR136" s="1"/>
      <c r="LS136" s="1"/>
      <c r="LT136" s="1"/>
      <c r="LU136" s="1"/>
      <c r="LV136" s="1"/>
      <c r="LW136" s="1"/>
      <c r="LX136" s="1"/>
      <c r="LY136" s="1"/>
      <c r="LZ136" s="1"/>
      <c r="MA136" s="1"/>
      <c r="MB136" s="1"/>
      <c r="MC136" s="1"/>
      <c r="MD136" s="1"/>
      <c r="ME136" s="1"/>
      <c r="MF136" s="1"/>
      <c r="MG136" s="1"/>
      <c r="MH136" s="1"/>
      <c r="MI136" s="1"/>
      <c r="MJ136" s="1"/>
      <c r="MK136" s="1"/>
      <c r="ML136" s="1"/>
      <c r="MM136" s="1"/>
      <c r="MN136" s="1"/>
      <c r="MO136" s="1"/>
      <c r="MP136" s="1"/>
      <c r="MQ136" s="1"/>
      <c r="MR136" s="1"/>
      <c r="MS136" s="1"/>
      <c r="MT136" s="1"/>
      <c r="MU136" s="1"/>
      <c r="MV136" s="1"/>
      <c r="MW136" s="1"/>
      <c r="MX136" s="1"/>
      <c r="MY136" s="1"/>
      <c r="MZ136" s="1"/>
      <c r="NA136" s="1"/>
      <c r="NB136" s="1"/>
      <c r="ND136" s="1"/>
      <c r="NE136" s="1"/>
      <c r="NF136" s="1"/>
      <c r="NG136" s="1"/>
      <c r="NH136" s="1"/>
    </row>
    <row r="137" spans="1:372" ht="12.75" customHeight="1" x14ac:dyDescent="0.3">
      <c r="A137" s="59"/>
      <c r="B137" s="61"/>
      <c r="C137" s="61"/>
      <c r="D137" s="61"/>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c r="AW137" s="47"/>
      <c r="AX137" s="47"/>
      <c r="AY137" s="47"/>
      <c r="AZ137" s="47"/>
      <c r="BA137" s="47"/>
      <c r="BB137" s="47"/>
      <c r="BC137" s="47"/>
      <c r="BD137" s="47"/>
      <c r="BE137" s="47"/>
      <c r="BF137" s="47"/>
      <c r="BG137" s="47"/>
      <c r="BH137" s="47"/>
      <c r="BI137" s="47"/>
      <c r="BJ137" s="47"/>
      <c r="BK137" s="47"/>
      <c r="BL137" s="47"/>
      <c r="BM137" s="47"/>
      <c r="BN137" s="47"/>
      <c r="BO137" s="47"/>
      <c r="BP137" s="47"/>
      <c r="BQ137" s="47"/>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c r="CO137" s="47"/>
      <c r="CP137" s="47"/>
      <c r="CQ137" s="47"/>
      <c r="CR137" s="47"/>
      <c r="CS137" s="47"/>
      <c r="CT137" s="47"/>
      <c r="CU137" s="47"/>
      <c r="CV137" s="47"/>
      <c r="CW137" s="47"/>
      <c r="CX137" s="47"/>
      <c r="CY137" s="47"/>
      <c r="CZ137" s="47"/>
      <c r="DA137" s="47"/>
      <c r="DB137" s="47"/>
      <c r="DC137" s="47"/>
      <c r="DD137" s="47"/>
      <c r="DE137" s="47"/>
      <c r="DF137" s="47"/>
      <c r="DG137" s="47"/>
      <c r="DH137" s="47"/>
      <c r="DI137" s="47"/>
      <c r="DJ137" s="47"/>
      <c r="DK137" s="47"/>
      <c r="DL137" s="47"/>
      <c r="DM137" s="47"/>
      <c r="DN137" s="47"/>
      <c r="DO137" s="47"/>
      <c r="DP137" s="47"/>
      <c r="DQ137" s="47"/>
      <c r="DR137" s="47"/>
      <c r="DS137" s="47"/>
      <c r="DT137" s="47"/>
      <c r="DU137" s="47"/>
      <c r="DV137" s="47"/>
      <c r="DW137" s="47"/>
      <c r="DX137" s="47"/>
      <c r="DY137" s="47"/>
      <c r="DZ137" s="47"/>
      <c r="EA137" s="47"/>
      <c r="EB137" s="47"/>
      <c r="EC137" s="47"/>
      <c r="ED137" s="47"/>
      <c r="EE137" s="47"/>
      <c r="EF137" s="47"/>
      <c r="EG137" s="47"/>
      <c r="EH137" s="47"/>
      <c r="EI137" s="47"/>
      <c r="EJ137" s="47"/>
      <c r="EK137" s="47"/>
      <c r="EL137" s="47"/>
      <c r="EM137" s="47"/>
      <c r="EN137" s="47"/>
      <c r="EO137" s="47"/>
      <c r="EP137" s="47"/>
      <c r="EQ137" s="47"/>
      <c r="ER137" s="47"/>
      <c r="ES137" s="47"/>
      <c r="ET137" s="47"/>
      <c r="EU137" s="47"/>
      <c r="EV137" s="47"/>
      <c r="EW137" s="47"/>
      <c r="EX137" s="47"/>
      <c r="EY137" s="47"/>
      <c r="EZ137" s="47"/>
      <c r="FA137" s="47"/>
      <c r="FB137" s="47"/>
      <c r="FC137" s="47"/>
      <c r="FD137" s="47"/>
      <c r="FE137" s="47"/>
      <c r="FF137" s="47"/>
      <c r="FG137" s="47"/>
      <c r="FH137" s="47"/>
      <c r="FI137" s="47"/>
      <c r="FJ137" s="47"/>
      <c r="FK137" s="47"/>
      <c r="FL137" s="47"/>
      <c r="FM137" s="47"/>
      <c r="FN137" s="47"/>
      <c r="FO137" s="47"/>
      <c r="FP137" s="47"/>
      <c r="FQ137" s="47"/>
      <c r="FR137" s="47"/>
      <c r="FS137" s="47"/>
      <c r="FT137" s="47"/>
      <c r="FU137" s="47"/>
      <c r="FV137" s="47"/>
      <c r="FW137" s="47"/>
      <c r="FX137" s="47"/>
      <c r="FY137" s="47"/>
      <c r="FZ137" s="47"/>
      <c r="GA137" s="47"/>
      <c r="GB137" s="47"/>
      <c r="GC137" s="47"/>
      <c r="GD137" s="47"/>
      <c r="GE137" s="47"/>
      <c r="GF137" s="47"/>
      <c r="GG137" s="47"/>
      <c r="GH137" s="47"/>
      <c r="GI137" s="47"/>
      <c r="GJ137" s="47"/>
      <c r="GK137" s="47"/>
      <c r="GL137" s="47"/>
      <c r="GM137" s="47"/>
      <c r="GN137" s="47"/>
      <c r="GO137" s="47"/>
      <c r="GP137" s="47"/>
      <c r="GQ137" s="47"/>
      <c r="GR137" s="47"/>
      <c r="GS137" s="47"/>
      <c r="GT137" s="47"/>
      <c r="GU137" s="47"/>
      <c r="GV137" s="47"/>
      <c r="GW137" s="47"/>
      <c r="GX137" s="47"/>
      <c r="GY137" s="47"/>
      <c r="GZ137" s="47"/>
      <c r="HA137" s="47"/>
      <c r="HB137" s="47"/>
      <c r="HC137" s="47"/>
      <c r="HD137" s="47"/>
      <c r="HE137" s="47"/>
      <c r="HF137" s="47"/>
      <c r="HG137" s="47"/>
      <c r="HH137" s="47"/>
      <c r="HI137" s="47"/>
      <c r="HJ137" s="47"/>
      <c r="HK137" s="47"/>
      <c r="HL137" s="47"/>
      <c r="HM137" s="47"/>
      <c r="HN137" s="47"/>
      <c r="HO137" s="47"/>
      <c r="HP137" s="47"/>
      <c r="HQ137" s="47"/>
      <c r="HR137" s="47"/>
      <c r="HS137" s="47"/>
      <c r="HT137" s="47"/>
      <c r="HU137" s="47"/>
      <c r="HV137" s="47"/>
      <c r="HW137" s="47"/>
      <c r="HX137" s="47"/>
      <c r="HY137" s="47"/>
      <c r="HZ137" s="47"/>
      <c r="IA137" s="47"/>
      <c r="IB137" s="47"/>
      <c r="IC137" s="47"/>
      <c r="ID137" s="47"/>
      <c r="IE137" s="47"/>
      <c r="IF137" s="47"/>
      <c r="IG137" s="47"/>
      <c r="IH137" s="47"/>
      <c r="II137" s="47"/>
      <c r="IJ137" s="47"/>
      <c r="IK137" s="47"/>
      <c r="IL137" s="47"/>
      <c r="IM137" s="47"/>
      <c r="IN137" s="47"/>
      <c r="IO137" s="47"/>
      <c r="IP137" s="47"/>
      <c r="IQ137" s="47"/>
      <c r="IR137" s="47"/>
      <c r="IS137" s="47"/>
      <c r="IT137" s="47"/>
      <c r="IU137" s="47"/>
      <c r="IV137" s="47"/>
      <c r="IW137" s="1"/>
      <c r="IX137" s="1"/>
      <c r="IY137" s="1"/>
      <c r="IZ137" s="1"/>
      <c r="JA137" s="1"/>
      <c r="JB137" s="1"/>
      <c r="JC137" s="1"/>
      <c r="JD137" s="1"/>
      <c r="JE137" s="1"/>
      <c r="JF137" s="1"/>
      <c r="JG137" s="1"/>
      <c r="JH137" s="1"/>
      <c r="JI137" s="1"/>
      <c r="JJ137" s="1"/>
      <c r="JK137" s="1"/>
      <c r="JL137" s="1"/>
      <c r="JM137" s="1"/>
      <c r="JN137" s="1"/>
      <c r="JO137" s="1"/>
      <c r="JP137" s="1"/>
      <c r="JQ137" s="1"/>
      <c r="JR137" s="1"/>
      <c r="JS137" s="1"/>
      <c r="JT137" s="1"/>
      <c r="JU137" s="1"/>
      <c r="JV137" s="1"/>
      <c r="JW137" s="1"/>
      <c r="JX137" s="1"/>
      <c r="JY137" s="1"/>
      <c r="JZ137" s="1"/>
      <c r="KA137" s="1"/>
      <c r="KB137" s="1"/>
      <c r="KC137" s="1"/>
      <c r="KD137" s="1"/>
      <c r="KE137" s="1"/>
      <c r="KF137" s="1"/>
      <c r="KG137" s="1"/>
      <c r="KH137" s="1"/>
      <c r="KI137" s="1"/>
      <c r="KJ137" s="1"/>
      <c r="KK137" s="1"/>
      <c r="KL137" s="1"/>
      <c r="KM137" s="1"/>
      <c r="KN137" s="1"/>
      <c r="KO137" s="1"/>
      <c r="KP137" s="1"/>
      <c r="KQ137" s="1"/>
      <c r="KR137" s="1"/>
      <c r="KS137" s="1"/>
      <c r="KT137" s="1"/>
      <c r="KU137" s="1"/>
      <c r="KV137" s="1"/>
      <c r="KW137" s="1"/>
      <c r="KX137" s="1"/>
      <c r="KY137" s="1"/>
      <c r="KZ137" s="1"/>
      <c r="LA137" s="1"/>
      <c r="LB137" s="1"/>
      <c r="LC137" s="1"/>
      <c r="LD137" s="1"/>
      <c r="LE137" s="1"/>
      <c r="LF137" s="1"/>
      <c r="LG137" s="1"/>
      <c r="LH137" s="1"/>
      <c r="LI137" s="1"/>
      <c r="LJ137" s="1"/>
      <c r="LK137" s="1"/>
      <c r="LL137" s="1"/>
      <c r="LM137" s="1"/>
      <c r="LN137" s="1"/>
      <c r="LO137" s="1"/>
      <c r="LP137" s="1"/>
      <c r="LQ137" s="1"/>
      <c r="LR137" s="1"/>
      <c r="LS137" s="1"/>
      <c r="LT137" s="1"/>
      <c r="LU137" s="1"/>
      <c r="LV137" s="1"/>
      <c r="LW137" s="1"/>
      <c r="LX137" s="1"/>
      <c r="LY137" s="1"/>
      <c r="LZ137" s="1"/>
      <c r="MA137" s="1"/>
      <c r="MB137" s="1"/>
      <c r="MC137" s="1"/>
      <c r="MD137" s="1"/>
      <c r="ME137" s="1"/>
      <c r="MF137" s="1"/>
      <c r="MG137" s="1"/>
      <c r="MH137" s="1"/>
      <c r="MI137" s="1"/>
      <c r="MJ137" s="1"/>
      <c r="MK137" s="1"/>
      <c r="ML137" s="1"/>
      <c r="MM137" s="1"/>
      <c r="MN137" s="1"/>
      <c r="MO137" s="1"/>
      <c r="MP137" s="1"/>
      <c r="MQ137" s="1"/>
      <c r="MR137" s="1"/>
      <c r="MS137" s="1"/>
      <c r="MT137" s="1"/>
      <c r="MU137" s="1"/>
      <c r="MV137" s="1"/>
      <c r="MW137" s="1"/>
      <c r="MX137" s="1"/>
      <c r="MY137" s="1"/>
      <c r="MZ137" s="1"/>
      <c r="NA137" s="1"/>
      <c r="NB137" s="1"/>
      <c r="ND137" s="1"/>
      <c r="NE137" s="1"/>
      <c r="NF137" s="1"/>
      <c r="NG137" s="1"/>
      <c r="NH137" s="1"/>
    </row>
    <row r="138" spans="1:372" ht="12.75" customHeight="1" x14ac:dyDescent="0.3">
      <c r="A138" s="59"/>
      <c r="B138" s="61"/>
      <c r="C138" s="61"/>
      <c r="D138" s="61"/>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c r="AW138" s="47"/>
      <c r="AX138" s="47"/>
      <c r="AY138" s="47"/>
      <c r="AZ138" s="47"/>
      <c r="BA138" s="47"/>
      <c r="BB138" s="47"/>
      <c r="BC138" s="47"/>
      <c r="BD138" s="47"/>
      <c r="BE138" s="47"/>
      <c r="BF138" s="47"/>
      <c r="BG138" s="47"/>
      <c r="BH138" s="47"/>
      <c r="BI138" s="47"/>
      <c r="BJ138" s="47"/>
      <c r="BK138" s="47"/>
      <c r="BL138" s="47"/>
      <c r="BM138" s="47"/>
      <c r="BN138" s="47"/>
      <c r="BO138" s="47"/>
      <c r="BP138" s="47"/>
      <c r="BQ138" s="47"/>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c r="CO138" s="47"/>
      <c r="CP138" s="47"/>
      <c r="CQ138" s="47"/>
      <c r="CR138" s="47"/>
      <c r="CS138" s="47"/>
      <c r="CT138" s="47"/>
      <c r="CU138" s="47"/>
      <c r="CV138" s="47"/>
      <c r="CW138" s="47"/>
      <c r="CX138" s="47"/>
      <c r="CY138" s="47"/>
      <c r="CZ138" s="47"/>
      <c r="DA138" s="47"/>
      <c r="DB138" s="47"/>
      <c r="DC138" s="47"/>
      <c r="DD138" s="47"/>
      <c r="DE138" s="47"/>
      <c r="DF138" s="47"/>
      <c r="DG138" s="47"/>
      <c r="DH138" s="47"/>
      <c r="DI138" s="47"/>
      <c r="DJ138" s="47"/>
      <c r="DK138" s="47"/>
      <c r="DL138" s="47"/>
      <c r="DM138" s="47"/>
      <c r="DN138" s="47"/>
      <c r="DO138" s="47"/>
      <c r="DP138" s="47"/>
      <c r="DQ138" s="47"/>
      <c r="DR138" s="47"/>
      <c r="DS138" s="47"/>
      <c r="DT138" s="47"/>
      <c r="DU138" s="47"/>
      <c r="DV138" s="47"/>
      <c r="DW138" s="47"/>
      <c r="DX138" s="47"/>
      <c r="DY138" s="47"/>
      <c r="DZ138" s="47"/>
      <c r="EA138" s="47"/>
      <c r="EB138" s="47"/>
      <c r="EC138" s="47"/>
      <c r="ED138" s="47"/>
      <c r="EE138" s="47"/>
      <c r="EF138" s="47"/>
      <c r="EG138" s="47"/>
      <c r="EH138" s="47"/>
      <c r="EI138" s="47"/>
      <c r="EJ138" s="47"/>
      <c r="EK138" s="47"/>
      <c r="EL138" s="47"/>
      <c r="EM138" s="47"/>
      <c r="EN138" s="47"/>
      <c r="EO138" s="47"/>
      <c r="EP138" s="47"/>
      <c r="EQ138" s="47"/>
      <c r="ER138" s="47"/>
      <c r="ES138" s="47"/>
      <c r="ET138" s="47"/>
      <c r="EU138" s="47"/>
      <c r="EV138" s="47"/>
      <c r="EW138" s="47"/>
      <c r="EX138" s="47"/>
      <c r="EY138" s="47"/>
      <c r="EZ138" s="47"/>
      <c r="FA138" s="47"/>
      <c r="FB138" s="47"/>
      <c r="FC138" s="47"/>
      <c r="FD138" s="47"/>
      <c r="FE138" s="47"/>
      <c r="FF138" s="47"/>
      <c r="FG138" s="47"/>
      <c r="FH138" s="47"/>
      <c r="FI138" s="47"/>
      <c r="FJ138" s="47"/>
      <c r="FK138" s="47"/>
      <c r="FL138" s="47"/>
      <c r="FM138" s="47"/>
      <c r="FN138" s="47"/>
      <c r="FO138" s="47"/>
      <c r="FP138" s="47"/>
      <c r="FQ138" s="47"/>
      <c r="FR138" s="47"/>
      <c r="FS138" s="47"/>
      <c r="FT138" s="47"/>
      <c r="FU138" s="47"/>
      <c r="FV138" s="47"/>
      <c r="FW138" s="47"/>
      <c r="FX138" s="47"/>
      <c r="FY138" s="47"/>
      <c r="FZ138" s="47"/>
      <c r="GA138" s="47"/>
      <c r="GB138" s="47"/>
      <c r="GC138" s="47"/>
      <c r="GD138" s="47"/>
      <c r="GE138" s="47"/>
      <c r="GF138" s="47"/>
      <c r="GG138" s="47"/>
      <c r="GH138" s="47"/>
      <c r="GI138" s="47"/>
      <c r="GJ138" s="47"/>
      <c r="GK138" s="47"/>
      <c r="GL138" s="47"/>
      <c r="GM138" s="47"/>
      <c r="GN138" s="47"/>
      <c r="GO138" s="47"/>
      <c r="GP138" s="47"/>
      <c r="GQ138" s="47"/>
      <c r="GR138" s="47"/>
      <c r="GS138" s="47"/>
      <c r="GT138" s="47"/>
      <c r="GU138" s="47"/>
      <c r="GV138" s="47"/>
      <c r="GW138" s="47"/>
      <c r="GX138" s="47"/>
      <c r="GY138" s="47"/>
      <c r="GZ138" s="47"/>
      <c r="HA138" s="47"/>
      <c r="HB138" s="47"/>
      <c r="HC138" s="47"/>
      <c r="HD138" s="47"/>
      <c r="HE138" s="47"/>
      <c r="HF138" s="47"/>
      <c r="HG138" s="47"/>
      <c r="HH138" s="47"/>
      <c r="HI138" s="47"/>
      <c r="HJ138" s="47"/>
      <c r="HK138" s="47"/>
      <c r="HL138" s="47"/>
      <c r="HM138" s="47"/>
      <c r="HN138" s="47"/>
      <c r="HO138" s="47"/>
      <c r="HP138" s="47"/>
      <c r="HQ138" s="47"/>
      <c r="HR138" s="47"/>
      <c r="HS138" s="47"/>
      <c r="HT138" s="47"/>
      <c r="HU138" s="47"/>
      <c r="HV138" s="47"/>
      <c r="HW138" s="47"/>
      <c r="HX138" s="47"/>
      <c r="HY138" s="47"/>
      <c r="HZ138" s="47"/>
      <c r="IA138" s="47"/>
      <c r="IB138" s="47"/>
      <c r="IC138" s="47"/>
      <c r="ID138" s="47"/>
      <c r="IE138" s="47"/>
      <c r="IF138" s="47"/>
      <c r="IG138" s="47"/>
      <c r="IH138" s="47"/>
      <c r="II138" s="47"/>
      <c r="IJ138" s="47"/>
      <c r="IK138" s="47"/>
      <c r="IL138" s="47"/>
      <c r="IM138" s="47"/>
      <c r="IN138" s="47"/>
      <c r="IO138" s="47"/>
      <c r="IP138" s="47"/>
      <c r="IQ138" s="47"/>
      <c r="IR138" s="47"/>
      <c r="IS138" s="47"/>
      <c r="IT138" s="47"/>
      <c r="IU138" s="47"/>
      <c r="IV138" s="47"/>
      <c r="IW138" s="1"/>
      <c r="IX138" s="1"/>
      <c r="IY138" s="1"/>
      <c r="IZ138" s="1"/>
      <c r="JA138" s="1"/>
      <c r="JB138" s="1"/>
      <c r="JC138" s="1"/>
      <c r="JD138" s="1"/>
      <c r="JE138" s="1"/>
      <c r="JF138" s="1"/>
      <c r="JG138" s="1"/>
      <c r="JH138" s="1"/>
      <c r="JI138" s="1"/>
      <c r="JJ138" s="1"/>
      <c r="JK138" s="1"/>
      <c r="JL138" s="1"/>
      <c r="JM138" s="1"/>
      <c r="JN138" s="1"/>
      <c r="JO138" s="1"/>
      <c r="JP138" s="1"/>
      <c r="JQ138" s="1"/>
      <c r="JR138" s="1"/>
      <c r="JS138" s="1"/>
      <c r="JT138" s="1"/>
      <c r="JU138" s="1"/>
      <c r="JV138" s="1"/>
      <c r="JW138" s="1"/>
      <c r="JX138" s="1"/>
      <c r="JY138" s="1"/>
      <c r="JZ138" s="1"/>
      <c r="KA138" s="1"/>
      <c r="KB138" s="1"/>
      <c r="KC138" s="1"/>
      <c r="KD138" s="1"/>
      <c r="KE138" s="1"/>
      <c r="KF138" s="1"/>
      <c r="KG138" s="1"/>
      <c r="KH138" s="1"/>
      <c r="KI138" s="1"/>
      <c r="KJ138" s="1"/>
      <c r="KK138" s="1"/>
      <c r="KL138" s="1"/>
      <c r="KM138" s="1"/>
      <c r="KN138" s="1"/>
      <c r="KO138" s="1"/>
      <c r="KP138" s="1"/>
      <c r="KQ138" s="1"/>
      <c r="KR138" s="1"/>
      <c r="KS138" s="1"/>
      <c r="KT138" s="1"/>
      <c r="KU138" s="1"/>
      <c r="KV138" s="1"/>
      <c r="KW138" s="1"/>
      <c r="KX138" s="1"/>
      <c r="KY138" s="1"/>
      <c r="KZ138" s="1"/>
      <c r="LA138" s="1"/>
      <c r="LB138" s="1"/>
      <c r="LC138" s="1"/>
      <c r="LD138" s="1"/>
      <c r="LE138" s="1"/>
      <c r="LF138" s="1"/>
      <c r="LG138" s="1"/>
      <c r="LH138" s="1"/>
      <c r="LI138" s="1"/>
      <c r="LJ138" s="1"/>
      <c r="LK138" s="1"/>
      <c r="LL138" s="1"/>
      <c r="LM138" s="1"/>
      <c r="LN138" s="1"/>
      <c r="LO138" s="1"/>
      <c r="LP138" s="1"/>
      <c r="LQ138" s="1"/>
      <c r="LR138" s="1"/>
      <c r="LS138" s="1"/>
      <c r="LT138" s="1"/>
      <c r="LU138" s="1"/>
      <c r="LV138" s="1"/>
      <c r="LW138" s="1"/>
      <c r="LX138" s="1"/>
      <c r="LY138" s="1"/>
      <c r="LZ138" s="1"/>
      <c r="MA138" s="1"/>
      <c r="MB138" s="1"/>
      <c r="MC138" s="1"/>
      <c r="MD138" s="1"/>
      <c r="ME138" s="1"/>
      <c r="MF138" s="1"/>
      <c r="MG138" s="1"/>
      <c r="MH138" s="1"/>
      <c r="MI138" s="1"/>
      <c r="MJ138" s="1"/>
      <c r="MK138" s="1"/>
      <c r="ML138" s="1"/>
      <c r="MM138" s="1"/>
      <c r="MN138" s="1"/>
      <c r="MO138" s="1"/>
      <c r="MP138" s="1"/>
      <c r="MQ138" s="1"/>
      <c r="MR138" s="1"/>
      <c r="MS138" s="1"/>
      <c r="MT138" s="1"/>
      <c r="MU138" s="1"/>
      <c r="MV138" s="1"/>
      <c r="MW138" s="1"/>
      <c r="MX138" s="1"/>
      <c r="MY138" s="1"/>
      <c r="MZ138" s="1"/>
      <c r="NA138" s="1"/>
      <c r="NB138" s="1"/>
      <c r="ND138" s="1"/>
      <c r="NE138" s="1"/>
      <c r="NF138" s="1"/>
      <c r="NG138" s="1"/>
      <c r="NH138" s="1"/>
    </row>
    <row r="139" spans="1:372" ht="12.75" customHeight="1" x14ac:dyDescent="0.3">
      <c r="A139" s="59"/>
      <c r="B139" s="61"/>
      <c r="C139" s="61"/>
      <c r="D139" s="61"/>
      <c r="E139" s="47"/>
      <c r="F139" s="47"/>
      <c r="G139" s="47"/>
      <c r="H139" s="47"/>
      <c r="I139" s="47"/>
      <c r="J139" s="47"/>
      <c r="K139" s="47"/>
      <c r="L139" s="47"/>
      <c r="M139" s="47"/>
      <c r="N139" s="47"/>
      <c r="O139" s="47"/>
      <c r="P139" s="47"/>
      <c r="Q139" s="47"/>
      <c r="R139" s="47"/>
      <c r="S139" s="47"/>
      <c r="T139" s="47"/>
      <c r="U139" s="47"/>
      <c r="V139" s="47"/>
      <c r="W139" s="47"/>
      <c r="X139" s="47"/>
      <c r="Y139" s="47"/>
      <c r="Z139" s="47"/>
      <c r="AA139" s="47"/>
      <c r="AB139" s="47"/>
      <c r="AC139" s="47"/>
      <c r="AD139" s="47"/>
      <c r="AE139" s="47"/>
      <c r="AF139" s="47"/>
      <c r="AG139" s="47"/>
      <c r="AH139" s="47"/>
      <c r="AI139" s="47"/>
      <c r="AJ139" s="47"/>
      <c r="AK139" s="47"/>
      <c r="AL139" s="47"/>
      <c r="AM139" s="47"/>
      <c r="AN139" s="47"/>
      <c r="AO139" s="47"/>
      <c r="AP139" s="47"/>
      <c r="AQ139" s="47"/>
      <c r="AR139" s="47"/>
      <c r="AS139" s="47"/>
      <c r="AT139" s="47"/>
      <c r="AU139" s="47"/>
      <c r="AV139" s="47"/>
      <c r="AW139" s="47"/>
      <c r="AX139" s="47"/>
      <c r="AY139" s="47"/>
      <c r="AZ139" s="47"/>
      <c r="BA139" s="47"/>
      <c r="BB139" s="47"/>
      <c r="BC139" s="47"/>
      <c r="BD139" s="47"/>
      <c r="BE139" s="47"/>
      <c r="BF139" s="47"/>
      <c r="BG139" s="47"/>
      <c r="BH139" s="47"/>
      <c r="BI139" s="47"/>
      <c r="BJ139" s="47"/>
      <c r="BK139" s="47"/>
      <c r="BL139" s="47"/>
      <c r="BM139" s="47"/>
      <c r="BN139" s="47"/>
      <c r="BO139" s="47"/>
      <c r="BP139" s="47"/>
      <c r="BQ139" s="47"/>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c r="CO139" s="47"/>
      <c r="CP139" s="47"/>
      <c r="CQ139" s="47"/>
      <c r="CR139" s="47"/>
      <c r="CS139" s="47"/>
      <c r="CT139" s="47"/>
      <c r="CU139" s="47"/>
      <c r="CV139" s="47"/>
      <c r="CW139" s="47"/>
      <c r="CX139" s="47"/>
      <c r="CY139" s="47"/>
      <c r="CZ139" s="47"/>
      <c r="DA139" s="47"/>
      <c r="DB139" s="47"/>
      <c r="DC139" s="47"/>
      <c r="DD139" s="47"/>
      <c r="DE139" s="47"/>
      <c r="DF139" s="47"/>
      <c r="DG139" s="47"/>
      <c r="DH139" s="47"/>
      <c r="DI139" s="47"/>
      <c r="DJ139" s="47"/>
      <c r="DK139" s="47"/>
      <c r="DL139" s="47"/>
      <c r="DM139" s="47"/>
      <c r="DN139" s="47"/>
      <c r="DO139" s="47"/>
      <c r="DP139" s="47"/>
      <c r="DQ139" s="47"/>
      <c r="DR139" s="47"/>
      <c r="DS139" s="47"/>
      <c r="DT139" s="47"/>
      <c r="DU139" s="47"/>
      <c r="DV139" s="47"/>
      <c r="DW139" s="47"/>
      <c r="DX139" s="47"/>
      <c r="DY139" s="47"/>
      <c r="DZ139" s="47"/>
      <c r="EA139" s="47"/>
      <c r="EB139" s="47"/>
      <c r="EC139" s="47"/>
      <c r="ED139" s="47"/>
      <c r="EE139" s="47"/>
      <c r="EF139" s="47"/>
      <c r="EG139" s="47"/>
      <c r="EH139" s="47"/>
      <c r="EI139" s="47"/>
      <c r="EJ139" s="47"/>
      <c r="EK139" s="47"/>
      <c r="EL139" s="47"/>
      <c r="EM139" s="47"/>
      <c r="EN139" s="47"/>
      <c r="EO139" s="47"/>
      <c r="EP139" s="47"/>
      <c r="EQ139" s="47"/>
      <c r="ER139" s="47"/>
      <c r="ES139" s="47"/>
      <c r="ET139" s="47"/>
      <c r="EU139" s="47"/>
      <c r="EV139" s="47"/>
      <c r="EW139" s="47"/>
      <c r="EX139" s="47"/>
      <c r="EY139" s="47"/>
      <c r="EZ139" s="47"/>
      <c r="FA139" s="47"/>
      <c r="FB139" s="47"/>
      <c r="FC139" s="47"/>
      <c r="FD139" s="47"/>
      <c r="FE139" s="47"/>
      <c r="FF139" s="47"/>
      <c r="FG139" s="47"/>
      <c r="FH139" s="47"/>
      <c r="FI139" s="47"/>
      <c r="FJ139" s="47"/>
      <c r="FK139" s="47"/>
      <c r="FL139" s="47"/>
      <c r="FM139" s="47"/>
      <c r="FN139" s="47"/>
      <c r="FO139" s="47"/>
      <c r="FP139" s="47"/>
      <c r="FQ139" s="47"/>
      <c r="FR139" s="47"/>
      <c r="FS139" s="47"/>
      <c r="FT139" s="47"/>
      <c r="FU139" s="47"/>
      <c r="FV139" s="47"/>
      <c r="FW139" s="47"/>
      <c r="FX139" s="47"/>
      <c r="FY139" s="47"/>
      <c r="FZ139" s="47"/>
      <c r="GA139" s="47"/>
      <c r="GB139" s="47"/>
      <c r="GC139" s="47"/>
      <c r="GD139" s="47"/>
      <c r="GE139" s="47"/>
      <c r="GF139" s="47"/>
      <c r="GG139" s="47"/>
      <c r="GH139" s="47"/>
      <c r="GI139" s="47"/>
      <c r="GJ139" s="47"/>
      <c r="GK139" s="47"/>
      <c r="GL139" s="47"/>
      <c r="GM139" s="47"/>
      <c r="GN139" s="47"/>
      <c r="GO139" s="47"/>
      <c r="GP139" s="47"/>
      <c r="GQ139" s="47"/>
      <c r="GR139" s="47"/>
      <c r="GS139" s="47"/>
      <c r="GT139" s="47"/>
      <c r="GU139" s="47"/>
      <c r="GV139" s="47"/>
      <c r="GW139" s="47"/>
      <c r="GX139" s="47"/>
      <c r="GY139" s="47"/>
      <c r="GZ139" s="47"/>
      <c r="HA139" s="47"/>
      <c r="HB139" s="47"/>
      <c r="HC139" s="47"/>
      <c r="HD139" s="47"/>
      <c r="HE139" s="47"/>
      <c r="HF139" s="47"/>
      <c r="HG139" s="47"/>
      <c r="HH139" s="47"/>
      <c r="HI139" s="47"/>
      <c r="HJ139" s="47"/>
      <c r="HK139" s="47"/>
      <c r="HL139" s="47"/>
      <c r="HM139" s="47"/>
      <c r="HN139" s="47"/>
      <c r="HO139" s="47"/>
      <c r="HP139" s="47"/>
      <c r="HQ139" s="47"/>
      <c r="HR139" s="47"/>
      <c r="HS139" s="47"/>
      <c r="HT139" s="47"/>
      <c r="HU139" s="47"/>
      <c r="HV139" s="47"/>
      <c r="HW139" s="47"/>
      <c r="HX139" s="47"/>
      <c r="HY139" s="47"/>
      <c r="HZ139" s="47"/>
      <c r="IA139" s="47"/>
      <c r="IB139" s="47"/>
      <c r="IC139" s="47"/>
      <c r="ID139" s="47"/>
      <c r="IE139" s="47"/>
      <c r="IF139" s="47"/>
      <c r="IG139" s="47"/>
      <c r="IH139" s="47"/>
      <c r="II139" s="47"/>
      <c r="IJ139" s="47"/>
      <c r="IK139" s="47"/>
      <c r="IL139" s="47"/>
      <c r="IM139" s="47"/>
      <c r="IN139" s="47"/>
      <c r="IO139" s="47"/>
      <c r="IP139" s="47"/>
      <c r="IQ139" s="47"/>
      <c r="IR139" s="47"/>
      <c r="IS139" s="47"/>
      <c r="IT139" s="47"/>
      <c r="IU139" s="47"/>
      <c r="IV139" s="47"/>
      <c r="IW139" s="1"/>
      <c r="IX139" s="1"/>
      <c r="IY139" s="1"/>
      <c r="IZ139" s="1"/>
      <c r="JA139" s="1"/>
      <c r="JB139" s="1"/>
      <c r="JC139" s="1"/>
      <c r="JD139" s="1"/>
      <c r="JE139" s="1"/>
      <c r="JF139" s="1"/>
      <c r="JG139" s="1"/>
      <c r="JH139" s="1"/>
      <c r="JI139" s="1"/>
      <c r="JJ139" s="1"/>
      <c r="JK139" s="1"/>
      <c r="JL139" s="1"/>
      <c r="JM139" s="1"/>
      <c r="JN139" s="1"/>
      <c r="JO139" s="1"/>
      <c r="JP139" s="1"/>
      <c r="JQ139" s="1"/>
      <c r="JR139" s="1"/>
      <c r="JS139" s="1"/>
      <c r="JT139" s="1"/>
      <c r="JU139" s="1"/>
      <c r="JV139" s="1"/>
      <c r="JW139" s="1"/>
      <c r="JX139" s="1"/>
      <c r="JY139" s="1"/>
      <c r="JZ139" s="1"/>
      <c r="KA139" s="1"/>
      <c r="KB139" s="1"/>
      <c r="KC139" s="1"/>
      <c r="KD139" s="1"/>
      <c r="KE139" s="1"/>
      <c r="KF139" s="1"/>
      <c r="KG139" s="1"/>
      <c r="KH139" s="1"/>
      <c r="KI139" s="1"/>
      <c r="KJ139" s="1"/>
      <c r="KK139" s="1"/>
      <c r="KL139" s="1"/>
      <c r="KM139" s="1"/>
      <c r="KN139" s="1"/>
      <c r="KO139" s="1"/>
      <c r="KP139" s="1"/>
      <c r="KQ139" s="1"/>
      <c r="KR139" s="1"/>
      <c r="KS139" s="1"/>
      <c r="KT139" s="1"/>
      <c r="KU139" s="1"/>
      <c r="KV139" s="1"/>
      <c r="KW139" s="1"/>
      <c r="KX139" s="1"/>
      <c r="KY139" s="1"/>
      <c r="KZ139" s="1"/>
      <c r="LA139" s="1"/>
      <c r="LB139" s="1"/>
      <c r="LC139" s="1"/>
      <c r="LD139" s="1"/>
      <c r="LE139" s="1"/>
      <c r="LF139" s="1"/>
      <c r="LG139" s="1"/>
      <c r="LH139" s="1"/>
      <c r="LI139" s="1"/>
      <c r="LJ139" s="1"/>
      <c r="LK139" s="1"/>
      <c r="LL139" s="1"/>
      <c r="LM139" s="1"/>
      <c r="LN139" s="1"/>
      <c r="LO139" s="1"/>
      <c r="LP139" s="1"/>
      <c r="LQ139" s="1"/>
      <c r="LR139" s="1"/>
      <c r="LS139" s="1"/>
      <c r="LT139" s="1"/>
      <c r="LU139" s="1"/>
      <c r="LV139" s="1"/>
      <c r="LW139" s="1"/>
      <c r="LX139" s="1"/>
      <c r="LY139" s="1"/>
      <c r="LZ139" s="1"/>
      <c r="MA139" s="1"/>
      <c r="MB139" s="1"/>
      <c r="MC139" s="1"/>
      <c r="MD139" s="1"/>
      <c r="ME139" s="1"/>
      <c r="MF139" s="1"/>
      <c r="MG139" s="1"/>
      <c r="MH139" s="1"/>
      <c r="MI139" s="1"/>
      <c r="MJ139" s="1"/>
      <c r="MK139" s="1"/>
      <c r="ML139" s="1"/>
      <c r="MM139" s="1"/>
      <c r="MN139" s="1"/>
      <c r="MO139" s="1"/>
      <c r="MP139" s="1"/>
      <c r="MQ139" s="1"/>
      <c r="MR139" s="1"/>
      <c r="MS139" s="1"/>
      <c r="MT139" s="1"/>
      <c r="MU139" s="1"/>
      <c r="MV139" s="1"/>
      <c r="MW139" s="1"/>
      <c r="MX139" s="1"/>
      <c r="MY139" s="1"/>
      <c r="MZ139" s="1"/>
      <c r="NA139" s="1"/>
      <c r="NB139" s="1"/>
      <c r="ND139" s="1"/>
      <c r="NE139" s="1"/>
      <c r="NF139" s="1"/>
      <c r="NG139" s="1"/>
      <c r="NH139" s="1"/>
    </row>
    <row r="140" spans="1:372" ht="12.75" customHeight="1" x14ac:dyDescent="0.3">
      <c r="A140" s="59"/>
      <c r="B140" s="61"/>
      <c r="C140" s="61"/>
      <c r="D140" s="61"/>
      <c r="E140" s="47"/>
      <c r="F140" s="47"/>
      <c r="G140" s="47"/>
      <c r="H140" s="47"/>
      <c r="I140" s="47"/>
      <c r="J140" s="47"/>
      <c r="K140" s="47"/>
      <c r="L140" s="47"/>
      <c r="M140" s="47"/>
      <c r="N140" s="47"/>
      <c r="O140" s="47"/>
      <c r="P140" s="47"/>
      <c r="Q140" s="47"/>
      <c r="R140" s="47"/>
      <c r="S140" s="47"/>
      <c r="T140" s="47"/>
      <c r="U140" s="47"/>
      <c r="V140" s="47"/>
      <c r="W140" s="47"/>
      <c r="X140" s="47"/>
      <c r="Y140" s="47"/>
      <c r="Z140" s="47"/>
      <c r="AA140" s="47"/>
      <c r="AB140" s="47"/>
      <c r="AC140" s="47"/>
      <c r="AD140" s="47"/>
      <c r="AE140" s="47"/>
      <c r="AF140" s="47"/>
      <c r="AG140" s="47"/>
      <c r="AH140" s="47"/>
      <c r="AI140" s="47"/>
      <c r="AJ140" s="47"/>
      <c r="AK140" s="47"/>
      <c r="AL140" s="47"/>
      <c r="AM140" s="47"/>
      <c r="AN140" s="47"/>
      <c r="AO140" s="47"/>
      <c r="AP140" s="47"/>
      <c r="AQ140" s="47"/>
      <c r="AR140" s="47"/>
      <c r="AS140" s="47"/>
      <c r="AT140" s="47"/>
      <c r="AU140" s="47"/>
      <c r="AV140" s="47"/>
      <c r="AW140" s="47"/>
      <c r="AX140" s="47"/>
      <c r="AY140" s="47"/>
      <c r="AZ140" s="47"/>
      <c r="BA140" s="47"/>
      <c r="BB140" s="47"/>
      <c r="BC140" s="47"/>
      <c r="BD140" s="47"/>
      <c r="BE140" s="47"/>
      <c r="BF140" s="47"/>
      <c r="BG140" s="47"/>
      <c r="BH140" s="47"/>
      <c r="BI140" s="47"/>
      <c r="BJ140" s="47"/>
      <c r="BK140" s="47"/>
      <c r="BL140" s="47"/>
      <c r="BM140" s="47"/>
      <c r="BN140" s="47"/>
      <c r="BO140" s="47"/>
      <c r="BP140" s="47"/>
      <c r="BQ140" s="47"/>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c r="CO140" s="47"/>
      <c r="CP140" s="47"/>
      <c r="CQ140" s="47"/>
      <c r="CR140" s="47"/>
      <c r="CS140" s="47"/>
      <c r="CT140" s="47"/>
      <c r="CU140" s="47"/>
      <c r="CV140" s="47"/>
      <c r="CW140" s="47"/>
      <c r="CX140" s="47"/>
      <c r="CY140" s="47"/>
      <c r="CZ140" s="47"/>
      <c r="DA140" s="47"/>
      <c r="DB140" s="47"/>
      <c r="DC140" s="47"/>
      <c r="DD140" s="47"/>
      <c r="DE140" s="47"/>
      <c r="DF140" s="47"/>
      <c r="DG140" s="47"/>
      <c r="DH140" s="47"/>
      <c r="DI140" s="47"/>
      <c r="DJ140" s="47"/>
      <c r="DK140" s="47"/>
      <c r="DL140" s="47"/>
      <c r="DM140" s="47"/>
      <c r="DN140" s="47"/>
      <c r="DO140" s="47"/>
      <c r="DP140" s="47"/>
      <c r="DQ140" s="47"/>
      <c r="DR140" s="47"/>
      <c r="DS140" s="47"/>
      <c r="DT140" s="47"/>
      <c r="DU140" s="47"/>
      <c r="DV140" s="47"/>
      <c r="DW140" s="47"/>
      <c r="DX140" s="47"/>
      <c r="DY140" s="47"/>
      <c r="DZ140" s="47"/>
      <c r="EA140" s="47"/>
      <c r="EB140" s="47"/>
      <c r="EC140" s="47"/>
      <c r="ED140" s="47"/>
      <c r="EE140" s="47"/>
      <c r="EF140" s="47"/>
      <c r="EG140" s="47"/>
      <c r="EH140" s="47"/>
      <c r="EI140" s="47"/>
      <c r="EJ140" s="47"/>
      <c r="EK140" s="47"/>
      <c r="EL140" s="47"/>
      <c r="EM140" s="47"/>
      <c r="EN140" s="47"/>
      <c r="EO140" s="47"/>
      <c r="EP140" s="47"/>
      <c r="EQ140" s="47"/>
      <c r="ER140" s="47"/>
      <c r="ES140" s="47"/>
      <c r="ET140" s="47"/>
      <c r="EU140" s="47"/>
      <c r="EV140" s="47"/>
      <c r="EW140" s="47"/>
      <c r="EX140" s="47"/>
      <c r="EY140" s="47"/>
      <c r="EZ140" s="47"/>
      <c r="FA140" s="47"/>
      <c r="FB140" s="47"/>
      <c r="FC140" s="47"/>
      <c r="FD140" s="47"/>
      <c r="FE140" s="47"/>
      <c r="FF140" s="47"/>
      <c r="FG140" s="47"/>
      <c r="FH140" s="47"/>
      <c r="FI140" s="47"/>
      <c r="FJ140" s="47"/>
      <c r="FK140" s="47"/>
      <c r="FL140" s="47"/>
      <c r="FM140" s="47"/>
      <c r="FN140" s="47"/>
      <c r="FO140" s="47"/>
      <c r="FP140" s="47"/>
      <c r="FQ140" s="47"/>
      <c r="FR140" s="47"/>
      <c r="FS140" s="47"/>
      <c r="FT140" s="47"/>
      <c r="FU140" s="47"/>
      <c r="FV140" s="47"/>
      <c r="FW140" s="47"/>
      <c r="FX140" s="47"/>
      <c r="FY140" s="47"/>
      <c r="FZ140" s="47"/>
      <c r="GA140" s="47"/>
      <c r="GB140" s="47"/>
      <c r="GC140" s="47"/>
      <c r="GD140" s="47"/>
      <c r="GE140" s="47"/>
      <c r="GF140" s="47"/>
      <c r="GG140" s="47"/>
      <c r="GH140" s="47"/>
      <c r="GI140" s="47"/>
      <c r="GJ140" s="47"/>
      <c r="GK140" s="47"/>
      <c r="GL140" s="47"/>
      <c r="GM140" s="47"/>
      <c r="GN140" s="47"/>
      <c r="GO140" s="47"/>
      <c r="GP140" s="47"/>
      <c r="GQ140" s="47"/>
      <c r="GR140" s="47"/>
      <c r="GS140" s="47"/>
      <c r="GT140" s="47"/>
      <c r="GU140" s="47"/>
      <c r="GV140" s="47"/>
      <c r="GW140" s="47"/>
      <c r="GX140" s="47"/>
      <c r="GY140" s="47"/>
      <c r="GZ140" s="47"/>
      <c r="HA140" s="47"/>
      <c r="HB140" s="47"/>
      <c r="HC140" s="47"/>
      <c r="HD140" s="47"/>
      <c r="HE140" s="47"/>
      <c r="HF140" s="47"/>
      <c r="HG140" s="47"/>
      <c r="HH140" s="47"/>
      <c r="HI140" s="47"/>
      <c r="HJ140" s="47"/>
      <c r="HK140" s="47"/>
      <c r="HL140" s="47"/>
      <c r="HM140" s="47"/>
      <c r="HN140" s="47"/>
      <c r="HO140" s="47"/>
      <c r="HP140" s="47"/>
      <c r="HQ140" s="47"/>
      <c r="HR140" s="47"/>
      <c r="HS140" s="47"/>
      <c r="HT140" s="47"/>
      <c r="HU140" s="47"/>
      <c r="HV140" s="47"/>
      <c r="HW140" s="47"/>
      <c r="HX140" s="47"/>
      <c r="HY140" s="47"/>
      <c r="HZ140" s="47"/>
      <c r="IA140" s="47"/>
      <c r="IB140" s="47"/>
      <c r="IC140" s="47"/>
      <c r="ID140" s="47"/>
      <c r="IE140" s="47"/>
      <c r="IF140" s="47"/>
      <c r="IG140" s="47"/>
      <c r="IH140" s="47"/>
      <c r="II140" s="47"/>
      <c r="IJ140" s="47"/>
      <c r="IK140" s="47"/>
      <c r="IL140" s="47"/>
      <c r="IM140" s="47"/>
      <c r="IN140" s="47"/>
      <c r="IO140" s="47"/>
      <c r="IP140" s="47"/>
      <c r="IQ140" s="47"/>
      <c r="IR140" s="47"/>
      <c r="IS140" s="47"/>
      <c r="IT140" s="47"/>
      <c r="IU140" s="47"/>
      <c r="IV140" s="47"/>
      <c r="IW140" s="1"/>
      <c r="IX140" s="1"/>
      <c r="IY140" s="1"/>
      <c r="IZ140" s="1"/>
      <c r="JA140" s="1"/>
      <c r="JB140" s="1"/>
      <c r="JC140" s="1"/>
      <c r="JD140" s="1"/>
      <c r="JE140" s="1"/>
      <c r="JF140" s="1"/>
      <c r="JG140" s="1"/>
      <c r="JH140" s="1"/>
      <c r="JI140" s="1"/>
      <c r="JJ140" s="1"/>
      <c r="JK140" s="1"/>
      <c r="JL140" s="1"/>
      <c r="JM140" s="1"/>
      <c r="JN140" s="1"/>
      <c r="JO140" s="1"/>
      <c r="JP140" s="1"/>
      <c r="JQ140" s="1"/>
      <c r="JR140" s="1"/>
      <c r="JS140" s="1"/>
      <c r="JT140" s="1"/>
      <c r="JU140" s="1"/>
      <c r="JV140" s="1"/>
      <c r="JW140" s="1"/>
      <c r="JX140" s="1"/>
      <c r="JY140" s="1"/>
      <c r="JZ140" s="1"/>
      <c r="KA140" s="1"/>
      <c r="KB140" s="1"/>
      <c r="KC140" s="1"/>
      <c r="KD140" s="1"/>
      <c r="KE140" s="1"/>
      <c r="KF140" s="1"/>
      <c r="KG140" s="1"/>
      <c r="KH140" s="1"/>
      <c r="KI140" s="1"/>
      <c r="KJ140" s="1"/>
      <c r="KK140" s="1"/>
      <c r="KL140" s="1"/>
      <c r="KM140" s="1"/>
      <c r="KN140" s="1"/>
      <c r="KO140" s="1"/>
      <c r="KP140" s="1"/>
      <c r="KQ140" s="1"/>
      <c r="KR140" s="1"/>
      <c r="KS140" s="1"/>
      <c r="KT140" s="1"/>
      <c r="KU140" s="1"/>
      <c r="KV140" s="1"/>
      <c r="KW140" s="1"/>
      <c r="KX140" s="1"/>
      <c r="KY140" s="1"/>
      <c r="KZ140" s="1"/>
      <c r="LA140" s="1"/>
      <c r="LB140" s="1"/>
      <c r="LC140" s="1"/>
      <c r="LD140" s="1"/>
      <c r="LE140" s="1"/>
      <c r="LF140" s="1"/>
      <c r="LG140" s="1"/>
      <c r="LH140" s="1"/>
      <c r="LI140" s="1"/>
      <c r="LJ140" s="1"/>
      <c r="LK140" s="1"/>
      <c r="LL140" s="1"/>
      <c r="LM140" s="1"/>
      <c r="LN140" s="1"/>
      <c r="LO140" s="1"/>
      <c r="LP140" s="1"/>
      <c r="LQ140" s="1"/>
      <c r="LR140" s="1"/>
      <c r="LS140" s="1"/>
      <c r="LT140" s="1"/>
      <c r="LU140" s="1"/>
      <c r="LV140" s="1"/>
      <c r="LW140" s="1"/>
      <c r="LX140" s="1"/>
      <c r="LY140" s="1"/>
      <c r="LZ140" s="1"/>
      <c r="MA140" s="1"/>
      <c r="MB140" s="1"/>
      <c r="MC140" s="1"/>
      <c r="MD140" s="1"/>
      <c r="ME140" s="1"/>
      <c r="MF140" s="1"/>
      <c r="MG140" s="1"/>
      <c r="MH140" s="1"/>
      <c r="MI140" s="1"/>
      <c r="MJ140" s="1"/>
      <c r="MK140" s="1"/>
      <c r="ML140" s="1"/>
      <c r="MM140" s="1"/>
      <c r="MN140" s="1"/>
      <c r="MO140" s="1"/>
      <c r="MP140" s="1"/>
      <c r="MQ140" s="1"/>
      <c r="MR140" s="1"/>
      <c r="MS140" s="1"/>
      <c r="MT140" s="1"/>
      <c r="MU140" s="1"/>
      <c r="MV140" s="1"/>
      <c r="MW140" s="1"/>
      <c r="MX140" s="1"/>
      <c r="MY140" s="1"/>
      <c r="MZ140" s="1"/>
      <c r="NA140" s="1"/>
      <c r="NB140" s="1"/>
      <c r="ND140" s="1"/>
      <c r="NE140" s="1"/>
      <c r="NF140" s="1"/>
      <c r="NG140" s="1"/>
      <c r="NH140" s="1"/>
    </row>
    <row r="141" spans="1:372" ht="12.75" customHeight="1" x14ac:dyDescent="0.3">
      <c r="A141" s="59"/>
      <c r="B141" s="61"/>
      <c r="C141" s="61"/>
      <c r="D141" s="61"/>
      <c r="E141" s="47"/>
      <c r="F141" s="47"/>
      <c r="G141" s="47"/>
      <c r="H141" s="47"/>
      <c r="I141" s="47"/>
      <c r="J141" s="47"/>
      <c r="K141" s="47"/>
      <c r="L141" s="47"/>
      <c r="M141" s="47"/>
      <c r="N141" s="47"/>
      <c r="O141" s="47"/>
      <c r="P141" s="47"/>
      <c r="Q141" s="47"/>
      <c r="R141" s="47"/>
      <c r="S141" s="47"/>
      <c r="T141" s="47"/>
      <c r="U141" s="47"/>
      <c r="V141" s="47"/>
      <c r="W141" s="47"/>
      <c r="X141" s="47"/>
      <c r="Y141" s="47"/>
      <c r="Z141" s="47"/>
      <c r="AA141" s="47"/>
      <c r="AB141" s="47"/>
      <c r="AC141" s="47"/>
      <c r="AD141" s="47"/>
      <c r="AE141" s="47"/>
      <c r="AF141" s="47"/>
      <c r="AG141" s="47"/>
      <c r="AH141" s="47"/>
      <c r="AI141" s="47"/>
      <c r="AJ141" s="47"/>
      <c r="AK141" s="47"/>
      <c r="AL141" s="47"/>
      <c r="AM141" s="47"/>
      <c r="AN141" s="47"/>
      <c r="AO141" s="47"/>
      <c r="AP141" s="47"/>
      <c r="AQ141" s="47"/>
      <c r="AR141" s="47"/>
      <c r="AS141" s="47"/>
      <c r="AT141" s="47"/>
      <c r="AU141" s="47"/>
      <c r="AV141" s="47"/>
      <c r="AW141" s="47"/>
      <c r="AX141" s="47"/>
      <c r="AY141" s="47"/>
      <c r="AZ141" s="47"/>
      <c r="BA141" s="47"/>
      <c r="BB141" s="47"/>
      <c r="BC141" s="47"/>
      <c r="BD141" s="47"/>
      <c r="BE141" s="47"/>
      <c r="BF141" s="47"/>
      <c r="BG141" s="47"/>
      <c r="BH141" s="47"/>
      <c r="BI141" s="47"/>
      <c r="BJ141" s="47"/>
      <c r="BK141" s="47"/>
      <c r="BL141" s="47"/>
      <c r="BM141" s="47"/>
      <c r="BN141" s="47"/>
      <c r="BO141" s="47"/>
      <c r="BP141" s="47"/>
      <c r="BQ141" s="47"/>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c r="CO141" s="47"/>
      <c r="CP141" s="47"/>
      <c r="CQ141" s="47"/>
      <c r="CR141" s="47"/>
      <c r="CS141" s="47"/>
      <c r="CT141" s="47"/>
      <c r="CU141" s="47"/>
      <c r="CV141" s="47"/>
      <c r="CW141" s="47"/>
      <c r="CX141" s="47"/>
      <c r="CY141" s="47"/>
      <c r="CZ141" s="47"/>
      <c r="DA141" s="47"/>
      <c r="DB141" s="47"/>
      <c r="DC141" s="47"/>
      <c r="DD141" s="47"/>
      <c r="DE141" s="47"/>
      <c r="DF141" s="47"/>
      <c r="DG141" s="47"/>
      <c r="DH141" s="47"/>
      <c r="DI141" s="47"/>
      <c r="DJ141" s="47"/>
      <c r="DK141" s="47"/>
      <c r="DL141" s="47"/>
      <c r="DM141" s="47"/>
      <c r="DN141" s="47"/>
      <c r="DO141" s="47"/>
      <c r="DP141" s="47"/>
      <c r="DQ141" s="47"/>
      <c r="DR141" s="47"/>
      <c r="DS141" s="47"/>
      <c r="DT141" s="47"/>
      <c r="DU141" s="47"/>
      <c r="DV141" s="47"/>
      <c r="DW141" s="47"/>
      <c r="DX141" s="47"/>
      <c r="DY141" s="47"/>
      <c r="DZ141" s="47"/>
      <c r="EA141" s="47"/>
      <c r="EB141" s="47"/>
      <c r="EC141" s="47"/>
      <c r="ED141" s="47"/>
      <c r="EE141" s="47"/>
      <c r="EF141" s="47"/>
      <c r="EG141" s="47"/>
      <c r="EH141" s="47"/>
      <c r="EI141" s="47"/>
      <c r="EJ141" s="47"/>
      <c r="EK141" s="47"/>
      <c r="EL141" s="47"/>
      <c r="EM141" s="47"/>
      <c r="EN141" s="47"/>
      <c r="EO141" s="47"/>
      <c r="EP141" s="47"/>
      <c r="EQ141" s="47"/>
      <c r="ER141" s="47"/>
      <c r="ES141" s="47"/>
      <c r="ET141" s="47"/>
      <c r="EU141" s="47"/>
      <c r="EV141" s="47"/>
      <c r="EW141" s="47"/>
      <c r="EX141" s="47"/>
      <c r="EY141" s="47"/>
      <c r="EZ141" s="47"/>
      <c r="FA141" s="47"/>
      <c r="FB141" s="47"/>
      <c r="FC141" s="47"/>
      <c r="FD141" s="47"/>
      <c r="FE141" s="47"/>
      <c r="FF141" s="47"/>
      <c r="FG141" s="47"/>
      <c r="FH141" s="47"/>
      <c r="FI141" s="47"/>
      <c r="FJ141" s="47"/>
      <c r="FK141" s="47"/>
      <c r="FL141" s="47"/>
      <c r="FM141" s="47"/>
      <c r="FN141" s="47"/>
      <c r="FO141" s="47"/>
      <c r="FP141" s="47"/>
      <c r="FQ141" s="47"/>
      <c r="FR141" s="47"/>
      <c r="FS141" s="47"/>
      <c r="FT141" s="47"/>
      <c r="FU141" s="47"/>
      <c r="FV141" s="47"/>
      <c r="FW141" s="47"/>
      <c r="FX141" s="47"/>
      <c r="FY141" s="47"/>
      <c r="FZ141" s="47"/>
      <c r="GA141" s="47"/>
      <c r="GB141" s="47"/>
      <c r="GC141" s="47"/>
      <c r="GD141" s="47"/>
      <c r="GE141" s="47"/>
      <c r="GF141" s="47"/>
      <c r="GG141" s="47"/>
      <c r="GH141" s="47"/>
      <c r="GI141" s="47"/>
      <c r="GJ141" s="47"/>
      <c r="GK141" s="47"/>
      <c r="GL141" s="47"/>
      <c r="GM141" s="47"/>
      <c r="GN141" s="47"/>
      <c r="GO141" s="47"/>
      <c r="GP141" s="47"/>
      <c r="GQ141" s="47"/>
      <c r="GR141" s="47"/>
      <c r="GS141" s="47"/>
      <c r="GT141" s="47"/>
      <c r="GU141" s="47"/>
      <c r="GV141" s="47"/>
      <c r="GW141" s="47"/>
      <c r="GX141" s="47"/>
      <c r="GY141" s="47"/>
      <c r="GZ141" s="47"/>
      <c r="HA141" s="47"/>
      <c r="HB141" s="47"/>
      <c r="HC141" s="47"/>
      <c r="HD141" s="47"/>
      <c r="HE141" s="47"/>
      <c r="HF141" s="47"/>
      <c r="HG141" s="47"/>
      <c r="HH141" s="47"/>
      <c r="HI141" s="47"/>
      <c r="HJ141" s="47"/>
      <c r="HK141" s="47"/>
      <c r="HL141" s="47"/>
      <c r="HM141" s="47"/>
      <c r="HN141" s="47"/>
      <c r="HO141" s="47"/>
      <c r="HP141" s="47"/>
      <c r="HQ141" s="47"/>
      <c r="HR141" s="47"/>
      <c r="HS141" s="47"/>
      <c r="HT141" s="47"/>
      <c r="HU141" s="47"/>
      <c r="HV141" s="47"/>
      <c r="HW141" s="47"/>
      <c r="HX141" s="47"/>
      <c r="HY141" s="47"/>
      <c r="HZ141" s="47"/>
      <c r="IA141" s="47"/>
      <c r="IB141" s="47"/>
      <c r="IC141" s="47"/>
      <c r="ID141" s="47"/>
      <c r="IE141" s="47"/>
      <c r="IF141" s="47"/>
      <c r="IG141" s="47"/>
      <c r="IH141" s="47"/>
      <c r="II141" s="47"/>
      <c r="IJ141" s="47"/>
      <c r="IK141" s="47"/>
      <c r="IL141" s="47"/>
      <c r="IM141" s="47"/>
      <c r="IN141" s="47"/>
      <c r="IO141" s="47"/>
      <c r="IP141" s="47"/>
      <c r="IQ141" s="47"/>
      <c r="IR141" s="47"/>
      <c r="IS141" s="47"/>
      <c r="IT141" s="47"/>
      <c r="IU141" s="47"/>
      <c r="IV141" s="47"/>
      <c r="IW141" s="1"/>
      <c r="IX141" s="1"/>
      <c r="IY141" s="1"/>
      <c r="IZ141" s="1"/>
      <c r="JA141" s="1"/>
      <c r="JB141" s="1"/>
      <c r="JC141" s="1"/>
      <c r="JD141" s="1"/>
      <c r="JE141" s="1"/>
      <c r="JF141" s="1"/>
      <c r="JG141" s="1"/>
      <c r="JH141" s="1"/>
      <c r="JI141" s="1"/>
      <c r="JJ141" s="1"/>
      <c r="JK141" s="1"/>
      <c r="JL141" s="1"/>
      <c r="JM141" s="1"/>
      <c r="JN141" s="1"/>
      <c r="JO141" s="1"/>
      <c r="JP141" s="1"/>
      <c r="JQ141" s="1"/>
      <c r="JR141" s="1"/>
      <c r="JS141" s="1"/>
      <c r="JT141" s="1"/>
      <c r="JU141" s="1"/>
      <c r="JV141" s="1"/>
      <c r="JW141" s="1"/>
      <c r="JX141" s="1"/>
      <c r="JY141" s="1"/>
      <c r="JZ141" s="1"/>
      <c r="KA141" s="1"/>
      <c r="KB141" s="1"/>
      <c r="KC141" s="1"/>
      <c r="KD141" s="1"/>
      <c r="KE141" s="1"/>
      <c r="KF141" s="1"/>
      <c r="KG141" s="1"/>
      <c r="KH141" s="1"/>
      <c r="KI141" s="1"/>
      <c r="KJ141" s="1"/>
      <c r="KK141" s="1"/>
      <c r="KL141" s="1"/>
      <c r="KM141" s="1"/>
      <c r="KN141" s="1"/>
      <c r="KO141" s="1"/>
      <c r="KP141" s="1"/>
      <c r="KQ141" s="1"/>
      <c r="KR141" s="1"/>
      <c r="KS141" s="1"/>
      <c r="KT141" s="1"/>
      <c r="KU141" s="1"/>
      <c r="KV141" s="1"/>
      <c r="KW141" s="1"/>
      <c r="KX141" s="1"/>
      <c r="KY141" s="1"/>
      <c r="KZ141" s="1"/>
      <c r="LA141" s="1"/>
      <c r="LB141" s="1"/>
      <c r="LC141" s="1"/>
      <c r="LD141" s="1"/>
      <c r="LE141" s="1"/>
      <c r="LF141" s="1"/>
      <c r="LG141" s="1"/>
      <c r="LH141" s="1"/>
      <c r="LI141" s="1"/>
      <c r="LJ141" s="1"/>
      <c r="LK141" s="1"/>
      <c r="LL141" s="1"/>
      <c r="LM141" s="1"/>
      <c r="LN141" s="1"/>
      <c r="LO141" s="1"/>
      <c r="LP141" s="1"/>
      <c r="LQ141" s="1"/>
      <c r="LR141" s="1"/>
      <c r="LS141" s="1"/>
      <c r="LT141" s="1"/>
      <c r="LU141" s="1"/>
      <c r="LV141" s="1"/>
      <c r="LW141" s="1"/>
      <c r="LX141" s="1"/>
      <c r="LY141" s="1"/>
      <c r="LZ141" s="1"/>
      <c r="MA141" s="1"/>
      <c r="MB141" s="1"/>
      <c r="MC141" s="1"/>
      <c r="MD141" s="1"/>
      <c r="ME141" s="1"/>
      <c r="MF141" s="1"/>
      <c r="MG141" s="1"/>
      <c r="MH141" s="1"/>
      <c r="MI141" s="1"/>
      <c r="MJ141" s="1"/>
      <c r="MK141" s="1"/>
      <c r="ML141" s="1"/>
      <c r="MM141" s="1"/>
      <c r="MN141" s="1"/>
      <c r="MO141" s="1"/>
      <c r="MP141" s="1"/>
      <c r="MQ141" s="1"/>
      <c r="MR141" s="1"/>
      <c r="MS141" s="1"/>
      <c r="MT141" s="1"/>
      <c r="MU141" s="1"/>
      <c r="MV141" s="1"/>
      <c r="MW141" s="1"/>
      <c r="MX141" s="1"/>
      <c r="MY141" s="1"/>
      <c r="MZ141" s="1"/>
      <c r="NA141" s="1"/>
      <c r="NB141" s="1"/>
      <c r="ND141" s="1"/>
      <c r="NE141" s="1"/>
      <c r="NF141" s="1"/>
      <c r="NG141" s="1"/>
      <c r="NH141" s="1"/>
    </row>
    <row r="142" spans="1:372" ht="12.75" customHeight="1" x14ac:dyDescent="0.3">
      <c r="A142" s="59"/>
      <c r="B142" s="61"/>
      <c r="C142" s="61"/>
      <c r="D142" s="61"/>
      <c r="E142" s="47"/>
      <c r="F142" s="47"/>
      <c r="G142" s="47"/>
      <c r="H142" s="47"/>
      <c r="I142" s="47"/>
      <c r="J142" s="47"/>
      <c r="K142" s="47"/>
      <c r="L142" s="47"/>
      <c r="M142" s="47"/>
      <c r="N142" s="47"/>
      <c r="O142" s="47"/>
      <c r="P142" s="47"/>
      <c r="Q142" s="47"/>
      <c r="R142" s="47"/>
      <c r="S142" s="47"/>
      <c r="T142" s="47"/>
      <c r="U142" s="47"/>
      <c r="V142" s="47"/>
      <c r="W142" s="47"/>
      <c r="X142" s="47"/>
      <c r="Y142" s="47"/>
      <c r="Z142" s="47"/>
      <c r="AA142" s="47"/>
      <c r="AB142" s="47"/>
      <c r="AC142" s="47"/>
      <c r="AD142" s="47"/>
      <c r="AE142" s="47"/>
      <c r="AF142" s="47"/>
      <c r="AG142" s="47"/>
      <c r="AH142" s="47"/>
      <c r="AI142" s="47"/>
      <c r="AJ142" s="47"/>
      <c r="AK142" s="47"/>
      <c r="AL142" s="47"/>
      <c r="AM142" s="47"/>
      <c r="AN142" s="47"/>
      <c r="AO142" s="47"/>
      <c r="AP142" s="47"/>
      <c r="AQ142" s="47"/>
      <c r="AR142" s="47"/>
      <c r="AS142" s="47"/>
      <c r="AT142" s="47"/>
      <c r="AU142" s="47"/>
      <c r="AV142" s="47"/>
      <c r="AW142" s="47"/>
      <c r="AX142" s="47"/>
      <c r="AY142" s="47"/>
      <c r="AZ142" s="47"/>
      <c r="BA142" s="47"/>
      <c r="BB142" s="47"/>
      <c r="BC142" s="47"/>
      <c r="BD142" s="47"/>
      <c r="BE142" s="47"/>
      <c r="BF142" s="47"/>
      <c r="BG142" s="47"/>
      <c r="BH142" s="47"/>
      <c r="BI142" s="47"/>
      <c r="BJ142" s="47"/>
      <c r="BK142" s="47"/>
      <c r="BL142" s="47"/>
      <c r="BM142" s="47"/>
      <c r="BN142" s="47"/>
      <c r="BO142" s="47"/>
      <c r="BP142" s="47"/>
      <c r="BQ142" s="47"/>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c r="CO142" s="47"/>
      <c r="CP142" s="47"/>
      <c r="CQ142" s="47"/>
      <c r="CR142" s="47"/>
      <c r="CS142" s="47"/>
      <c r="CT142" s="47"/>
      <c r="CU142" s="47"/>
      <c r="CV142" s="47"/>
      <c r="CW142" s="47"/>
      <c r="CX142" s="47"/>
      <c r="CY142" s="47"/>
      <c r="CZ142" s="47"/>
      <c r="DA142" s="47"/>
      <c r="DB142" s="47"/>
      <c r="DC142" s="47"/>
      <c r="DD142" s="47"/>
      <c r="DE142" s="47"/>
      <c r="DF142" s="47"/>
      <c r="DG142" s="47"/>
      <c r="DH142" s="47"/>
      <c r="DI142" s="47"/>
      <c r="DJ142" s="47"/>
      <c r="DK142" s="47"/>
      <c r="DL142" s="47"/>
      <c r="DM142" s="47"/>
      <c r="DN142" s="47"/>
      <c r="DO142" s="47"/>
      <c r="DP142" s="47"/>
      <c r="DQ142" s="47"/>
      <c r="DR142" s="47"/>
      <c r="DS142" s="47"/>
      <c r="DT142" s="47"/>
      <c r="DU142" s="47"/>
      <c r="DV142" s="47"/>
      <c r="DW142" s="47"/>
      <c r="DX142" s="47"/>
      <c r="DY142" s="47"/>
      <c r="DZ142" s="47"/>
      <c r="EA142" s="47"/>
      <c r="EB142" s="47"/>
      <c r="EC142" s="47"/>
      <c r="ED142" s="47"/>
      <c r="EE142" s="47"/>
      <c r="EF142" s="47"/>
      <c r="EG142" s="47"/>
      <c r="EH142" s="47"/>
      <c r="EI142" s="47"/>
      <c r="EJ142" s="47"/>
      <c r="EK142" s="47"/>
      <c r="EL142" s="47"/>
      <c r="EM142" s="47"/>
      <c r="EN142" s="47"/>
      <c r="EO142" s="47"/>
      <c r="EP142" s="47"/>
      <c r="EQ142" s="47"/>
      <c r="ER142" s="47"/>
      <c r="ES142" s="47"/>
      <c r="ET142" s="47"/>
      <c r="EU142" s="47"/>
      <c r="EV142" s="47"/>
      <c r="EW142" s="47"/>
      <c r="EX142" s="47"/>
      <c r="EY142" s="47"/>
      <c r="EZ142" s="47"/>
      <c r="FA142" s="47"/>
      <c r="FB142" s="47"/>
      <c r="FC142" s="47"/>
      <c r="FD142" s="47"/>
      <c r="FE142" s="47"/>
      <c r="FF142" s="47"/>
      <c r="FG142" s="47"/>
      <c r="FH142" s="47"/>
      <c r="FI142" s="47"/>
      <c r="FJ142" s="47"/>
      <c r="FK142" s="47"/>
      <c r="FL142" s="47"/>
      <c r="FM142" s="47"/>
      <c r="FN142" s="47"/>
      <c r="FO142" s="47"/>
      <c r="FP142" s="47"/>
      <c r="FQ142" s="47"/>
      <c r="FR142" s="47"/>
      <c r="FS142" s="47"/>
      <c r="FT142" s="47"/>
      <c r="FU142" s="47"/>
      <c r="FV142" s="47"/>
      <c r="FW142" s="47"/>
      <c r="FX142" s="47"/>
      <c r="FY142" s="47"/>
      <c r="FZ142" s="47"/>
      <c r="GA142" s="47"/>
      <c r="GB142" s="47"/>
      <c r="GC142" s="47"/>
      <c r="GD142" s="47"/>
      <c r="GE142" s="47"/>
      <c r="GF142" s="47"/>
      <c r="GG142" s="47"/>
      <c r="GH142" s="47"/>
      <c r="GI142" s="47"/>
      <c r="GJ142" s="47"/>
      <c r="GK142" s="47"/>
      <c r="GL142" s="47"/>
      <c r="GM142" s="47"/>
      <c r="GN142" s="47"/>
      <c r="GO142" s="47"/>
      <c r="GP142" s="47"/>
      <c r="GQ142" s="47"/>
      <c r="GR142" s="47"/>
      <c r="GS142" s="47"/>
      <c r="GT142" s="47"/>
      <c r="GU142" s="47"/>
      <c r="GV142" s="47"/>
      <c r="GW142" s="47"/>
      <c r="GX142" s="47"/>
      <c r="GY142" s="47"/>
      <c r="GZ142" s="47"/>
      <c r="HA142" s="47"/>
      <c r="HB142" s="47"/>
      <c r="HC142" s="47"/>
      <c r="HD142" s="47"/>
      <c r="HE142" s="47"/>
      <c r="HF142" s="47"/>
      <c r="HG142" s="47"/>
      <c r="HH142" s="47"/>
      <c r="HI142" s="47"/>
      <c r="HJ142" s="47"/>
      <c r="HK142" s="47"/>
      <c r="HL142" s="47"/>
      <c r="HM142" s="47"/>
      <c r="HN142" s="47"/>
      <c r="HO142" s="47"/>
      <c r="HP142" s="47"/>
      <c r="HQ142" s="47"/>
      <c r="HR142" s="47"/>
      <c r="HS142" s="47"/>
      <c r="HT142" s="47"/>
      <c r="HU142" s="47"/>
      <c r="HV142" s="47"/>
      <c r="HW142" s="47"/>
      <c r="HX142" s="47"/>
      <c r="HY142" s="47"/>
      <c r="HZ142" s="47"/>
      <c r="IA142" s="47"/>
      <c r="IB142" s="47"/>
      <c r="IC142" s="47"/>
      <c r="ID142" s="47"/>
      <c r="IE142" s="47"/>
      <c r="IF142" s="47"/>
      <c r="IG142" s="47"/>
      <c r="IH142" s="47"/>
      <c r="II142" s="47"/>
      <c r="IJ142" s="47"/>
      <c r="IK142" s="47"/>
      <c r="IL142" s="47"/>
      <c r="IM142" s="47"/>
      <c r="IN142" s="47"/>
      <c r="IO142" s="47"/>
      <c r="IP142" s="47"/>
      <c r="IQ142" s="47"/>
      <c r="IR142" s="47"/>
      <c r="IS142" s="47"/>
      <c r="IT142" s="47"/>
      <c r="IU142" s="47"/>
      <c r="IV142" s="47"/>
      <c r="IW142" s="1"/>
      <c r="IX142" s="1"/>
      <c r="IY142" s="1"/>
      <c r="IZ142" s="1"/>
      <c r="JA142" s="1"/>
      <c r="JB142" s="1"/>
      <c r="JC142" s="1"/>
      <c r="JD142" s="1"/>
      <c r="JE142" s="1"/>
      <c r="JF142" s="1"/>
      <c r="JG142" s="1"/>
      <c r="JH142" s="1"/>
      <c r="JI142" s="1"/>
      <c r="JJ142" s="1"/>
      <c r="JK142" s="1"/>
      <c r="JL142" s="1"/>
      <c r="JM142" s="1"/>
      <c r="JN142" s="1"/>
      <c r="JO142" s="1"/>
      <c r="JP142" s="1"/>
      <c r="JQ142" s="1"/>
      <c r="JR142" s="1"/>
      <c r="JS142" s="1"/>
      <c r="JT142" s="1"/>
      <c r="JU142" s="1"/>
      <c r="JV142" s="1"/>
      <c r="JW142" s="1"/>
      <c r="JX142" s="1"/>
      <c r="JY142" s="1"/>
      <c r="JZ142" s="1"/>
      <c r="KA142" s="1"/>
      <c r="KB142" s="1"/>
      <c r="KC142" s="1"/>
      <c r="KD142" s="1"/>
      <c r="KE142" s="1"/>
      <c r="KF142" s="1"/>
      <c r="KG142" s="1"/>
      <c r="KH142" s="1"/>
      <c r="KI142" s="1"/>
      <c r="KJ142" s="1"/>
      <c r="KK142" s="1"/>
      <c r="KL142" s="1"/>
      <c r="KM142" s="1"/>
      <c r="KN142" s="1"/>
      <c r="KO142" s="1"/>
      <c r="KP142" s="1"/>
      <c r="KQ142" s="1"/>
      <c r="KR142" s="1"/>
      <c r="KS142" s="1"/>
      <c r="KT142" s="1"/>
      <c r="KU142" s="1"/>
      <c r="KV142" s="1"/>
      <c r="KW142" s="1"/>
      <c r="KX142" s="1"/>
      <c r="KY142" s="1"/>
      <c r="KZ142" s="1"/>
      <c r="LA142" s="1"/>
      <c r="LB142" s="1"/>
      <c r="LC142" s="1"/>
      <c r="LD142" s="1"/>
      <c r="LE142" s="1"/>
      <c r="LF142" s="1"/>
      <c r="LG142" s="1"/>
      <c r="LH142" s="1"/>
      <c r="LI142" s="1"/>
      <c r="LJ142" s="1"/>
      <c r="LK142" s="1"/>
      <c r="LL142" s="1"/>
      <c r="LM142" s="1"/>
      <c r="LN142" s="1"/>
      <c r="LO142" s="1"/>
      <c r="LP142" s="1"/>
      <c r="LQ142" s="1"/>
      <c r="LR142" s="1"/>
      <c r="LS142" s="1"/>
      <c r="LT142" s="1"/>
      <c r="LU142" s="1"/>
      <c r="LV142" s="1"/>
      <c r="LW142" s="1"/>
      <c r="LX142" s="1"/>
      <c r="LY142" s="1"/>
      <c r="LZ142" s="1"/>
      <c r="MA142" s="1"/>
      <c r="MB142" s="1"/>
      <c r="MC142" s="1"/>
      <c r="MD142" s="1"/>
      <c r="ME142" s="1"/>
      <c r="MF142" s="1"/>
      <c r="MG142" s="1"/>
      <c r="MH142" s="1"/>
      <c r="MI142" s="1"/>
      <c r="MJ142" s="1"/>
      <c r="MK142" s="1"/>
      <c r="ML142" s="1"/>
      <c r="MM142" s="1"/>
      <c r="MN142" s="1"/>
      <c r="MO142" s="1"/>
      <c r="MP142" s="1"/>
      <c r="MQ142" s="1"/>
      <c r="MR142" s="1"/>
      <c r="MS142" s="1"/>
      <c r="MT142" s="1"/>
      <c r="MU142" s="1"/>
      <c r="MV142" s="1"/>
      <c r="MW142" s="1"/>
      <c r="MX142" s="1"/>
      <c r="MY142" s="1"/>
      <c r="MZ142" s="1"/>
      <c r="NA142" s="1"/>
      <c r="NB142" s="1"/>
      <c r="ND142" s="1"/>
      <c r="NE142" s="1"/>
      <c r="NF142" s="1"/>
      <c r="NG142" s="1"/>
      <c r="NH142" s="1"/>
    </row>
    <row r="143" spans="1:372" ht="12.75" customHeight="1" x14ac:dyDescent="0.3">
      <c r="A143" s="59"/>
      <c r="B143" s="61"/>
      <c r="C143" s="61"/>
      <c r="D143" s="61"/>
      <c r="E143" s="47"/>
      <c r="F143" s="47"/>
      <c r="G143" s="47"/>
      <c r="H143" s="47"/>
      <c r="I143" s="47"/>
      <c r="J143" s="47"/>
      <c r="K143" s="47"/>
      <c r="L143" s="47"/>
      <c r="M143" s="47"/>
      <c r="N143" s="47"/>
      <c r="O143" s="47"/>
      <c r="P143" s="47"/>
      <c r="Q143" s="47"/>
      <c r="R143" s="47"/>
      <c r="S143" s="47"/>
      <c r="T143" s="47"/>
      <c r="U143" s="47"/>
      <c r="V143" s="47"/>
      <c r="W143" s="47"/>
      <c r="X143" s="47"/>
      <c r="Y143" s="47"/>
      <c r="Z143" s="47"/>
      <c r="AA143" s="47"/>
      <c r="AB143" s="47"/>
      <c r="AC143" s="47"/>
      <c r="AD143" s="47"/>
      <c r="AE143" s="47"/>
      <c r="AF143" s="47"/>
      <c r="AG143" s="47"/>
      <c r="AH143" s="47"/>
      <c r="AI143" s="47"/>
      <c r="AJ143" s="47"/>
      <c r="AK143" s="47"/>
      <c r="AL143" s="47"/>
      <c r="AM143" s="47"/>
      <c r="AN143" s="47"/>
      <c r="AO143" s="47"/>
      <c r="AP143" s="47"/>
      <c r="AQ143" s="47"/>
      <c r="AR143" s="47"/>
      <c r="AS143" s="47"/>
      <c r="AT143" s="47"/>
      <c r="AU143" s="47"/>
      <c r="AV143" s="47"/>
      <c r="AW143" s="47"/>
      <c r="AX143" s="47"/>
      <c r="AY143" s="47"/>
      <c r="AZ143" s="47"/>
      <c r="BA143" s="47"/>
      <c r="BB143" s="47"/>
      <c r="BC143" s="47"/>
      <c r="BD143" s="47"/>
      <c r="BE143" s="47"/>
      <c r="BF143" s="47"/>
      <c r="BG143" s="47"/>
      <c r="BH143" s="47"/>
      <c r="BI143" s="47"/>
      <c r="BJ143" s="47"/>
      <c r="BK143" s="47"/>
      <c r="BL143" s="47"/>
      <c r="BM143" s="47"/>
      <c r="BN143" s="47"/>
      <c r="BO143" s="47"/>
      <c r="BP143" s="47"/>
      <c r="BQ143" s="47"/>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c r="CO143" s="47"/>
      <c r="CP143" s="47"/>
      <c r="CQ143" s="47"/>
      <c r="CR143" s="47"/>
      <c r="CS143" s="47"/>
      <c r="CT143" s="47"/>
      <c r="CU143" s="47"/>
      <c r="CV143" s="47"/>
      <c r="CW143" s="47"/>
      <c r="CX143" s="47"/>
      <c r="CY143" s="47"/>
      <c r="CZ143" s="47"/>
      <c r="DA143" s="47"/>
      <c r="DB143" s="47"/>
      <c r="DC143" s="47"/>
      <c r="DD143" s="47"/>
      <c r="DE143" s="47"/>
      <c r="DF143" s="47"/>
      <c r="DG143" s="47"/>
      <c r="DH143" s="47"/>
      <c r="DI143" s="47"/>
      <c r="DJ143" s="47"/>
      <c r="DK143" s="47"/>
      <c r="DL143" s="47"/>
      <c r="DM143" s="47"/>
      <c r="DN143" s="47"/>
      <c r="DO143" s="47"/>
      <c r="DP143" s="47"/>
      <c r="DQ143" s="47"/>
      <c r="DR143" s="47"/>
      <c r="DS143" s="47"/>
      <c r="DT143" s="47"/>
      <c r="DU143" s="47"/>
      <c r="DV143" s="47"/>
      <c r="DW143" s="47"/>
      <c r="DX143" s="47"/>
      <c r="DY143" s="47"/>
      <c r="DZ143" s="47"/>
      <c r="EA143" s="47"/>
      <c r="EB143" s="47"/>
      <c r="EC143" s="47"/>
      <c r="ED143" s="47"/>
      <c r="EE143" s="47"/>
      <c r="EF143" s="47"/>
      <c r="EG143" s="47"/>
      <c r="EH143" s="47"/>
      <c r="EI143" s="47"/>
      <c r="EJ143" s="47"/>
      <c r="EK143" s="47"/>
      <c r="EL143" s="47"/>
      <c r="EM143" s="47"/>
      <c r="EN143" s="47"/>
      <c r="EO143" s="47"/>
      <c r="EP143" s="47"/>
      <c r="EQ143" s="47"/>
      <c r="ER143" s="47"/>
      <c r="ES143" s="47"/>
      <c r="ET143" s="47"/>
      <c r="EU143" s="47"/>
      <c r="EV143" s="47"/>
      <c r="EW143" s="47"/>
      <c r="EX143" s="47"/>
      <c r="EY143" s="47"/>
      <c r="EZ143" s="47"/>
      <c r="FA143" s="47"/>
      <c r="FB143" s="47"/>
      <c r="FC143" s="47"/>
      <c r="FD143" s="47"/>
      <c r="FE143" s="47"/>
      <c r="FF143" s="47"/>
      <c r="FG143" s="47"/>
      <c r="FH143" s="47"/>
      <c r="FI143" s="47"/>
      <c r="FJ143" s="47"/>
      <c r="FK143" s="47"/>
      <c r="FL143" s="47"/>
      <c r="FM143" s="47"/>
      <c r="FN143" s="47"/>
      <c r="FO143" s="47"/>
      <c r="FP143" s="47"/>
      <c r="FQ143" s="47"/>
      <c r="FR143" s="47"/>
      <c r="FS143" s="47"/>
      <c r="FT143" s="47"/>
      <c r="FU143" s="47"/>
      <c r="FV143" s="47"/>
      <c r="FW143" s="47"/>
      <c r="FX143" s="47"/>
      <c r="FY143" s="47"/>
      <c r="FZ143" s="47"/>
      <c r="GA143" s="47"/>
      <c r="GB143" s="47"/>
      <c r="GC143" s="47"/>
      <c r="GD143" s="47"/>
      <c r="GE143" s="47"/>
      <c r="GF143" s="47"/>
      <c r="GG143" s="47"/>
      <c r="GH143" s="47"/>
      <c r="GI143" s="47"/>
      <c r="GJ143" s="47"/>
      <c r="GK143" s="47"/>
      <c r="GL143" s="47"/>
      <c r="GM143" s="47"/>
      <c r="GN143" s="47"/>
      <c r="GO143" s="47"/>
      <c r="GP143" s="47"/>
      <c r="GQ143" s="47"/>
      <c r="GR143" s="47"/>
      <c r="GS143" s="47"/>
      <c r="GT143" s="47"/>
      <c r="GU143" s="47"/>
      <c r="GV143" s="47"/>
      <c r="GW143" s="47"/>
      <c r="GX143" s="47"/>
      <c r="GY143" s="47"/>
      <c r="GZ143" s="47"/>
      <c r="HA143" s="47"/>
      <c r="HB143" s="47"/>
      <c r="HC143" s="47"/>
      <c r="HD143" s="47"/>
      <c r="HE143" s="47"/>
      <c r="HF143" s="47"/>
      <c r="HG143" s="47"/>
      <c r="HH143" s="47"/>
      <c r="HI143" s="47"/>
      <c r="HJ143" s="47"/>
      <c r="HK143" s="47"/>
      <c r="HL143" s="47"/>
      <c r="HM143" s="47"/>
      <c r="HN143" s="47"/>
      <c r="HO143" s="47"/>
      <c r="HP143" s="47"/>
      <c r="HQ143" s="47"/>
      <c r="HR143" s="47"/>
      <c r="HS143" s="47"/>
      <c r="HT143" s="47"/>
      <c r="HU143" s="47"/>
      <c r="HV143" s="47"/>
      <c r="HW143" s="47"/>
      <c r="HX143" s="47"/>
      <c r="HY143" s="47"/>
      <c r="HZ143" s="47"/>
      <c r="IA143" s="47"/>
      <c r="IB143" s="47"/>
      <c r="IC143" s="47"/>
      <c r="ID143" s="47"/>
      <c r="IE143" s="47"/>
      <c r="IF143" s="47"/>
      <c r="IG143" s="47"/>
      <c r="IH143" s="47"/>
      <c r="II143" s="47"/>
      <c r="IJ143" s="47"/>
      <c r="IK143" s="47"/>
      <c r="IL143" s="47"/>
      <c r="IM143" s="47"/>
      <c r="IN143" s="47"/>
      <c r="IO143" s="47"/>
      <c r="IP143" s="47"/>
      <c r="IQ143" s="47"/>
      <c r="IR143" s="47"/>
      <c r="IS143" s="47"/>
      <c r="IT143" s="47"/>
      <c r="IU143" s="47"/>
      <c r="IV143" s="47"/>
      <c r="IW143" s="1"/>
      <c r="IX143" s="1"/>
      <c r="IY143" s="1"/>
      <c r="IZ143" s="1"/>
      <c r="JA143" s="1"/>
      <c r="JB143" s="1"/>
      <c r="JC143" s="1"/>
      <c r="JD143" s="1"/>
      <c r="JE143" s="1"/>
      <c r="JF143" s="1"/>
      <c r="JG143" s="1"/>
      <c r="JH143" s="1"/>
      <c r="JI143" s="1"/>
      <c r="JJ143" s="1"/>
      <c r="JK143" s="1"/>
      <c r="JL143" s="1"/>
      <c r="JM143" s="1"/>
      <c r="JN143" s="1"/>
      <c r="JO143" s="1"/>
      <c r="JP143" s="1"/>
      <c r="JQ143" s="1"/>
      <c r="JR143" s="1"/>
      <c r="JS143" s="1"/>
      <c r="JT143" s="1"/>
      <c r="JU143" s="1"/>
      <c r="JV143" s="1"/>
      <c r="JW143" s="1"/>
      <c r="JX143" s="1"/>
      <c r="JY143" s="1"/>
      <c r="JZ143" s="1"/>
      <c r="KA143" s="1"/>
      <c r="KB143" s="1"/>
      <c r="KC143" s="1"/>
      <c r="KD143" s="1"/>
      <c r="KE143" s="1"/>
      <c r="KF143" s="1"/>
      <c r="KG143" s="1"/>
      <c r="KH143" s="1"/>
      <c r="KI143" s="1"/>
      <c r="KJ143" s="1"/>
      <c r="KK143" s="1"/>
      <c r="KL143" s="1"/>
      <c r="KM143" s="1"/>
      <c r="KN143" s="1"/>
      <c r="KO143" s="1"/>
      <c r="KP143" s="1"/>
      <c r="KQ143" s="1"/>
      <c r="KR143" s="1"/>
      <c r="KS143" s="1"/>
      <c r="KT143" s="1"/>
      <c r="KU143" s="1"/>
      <c r="KV143" s="1"/>
      <c r="KW143" s="1"/>
      <c r="KX143" s="1"/>
      <c r="KY143" s="1"/>
      <c r="KZ143" s="1"/>
      <c r="LA143" s="1"/>
      <c r="LB143" s="1"/>
      <c r="LC143" s="1"/>
      <c r="LD143" s="1"/>
      <c r="LE143" s="1"/>
      <c r="LF143" s="1"/>
      <c r="LG143" s="1"/>
      <c r="LH143" s="1"/>
      <c r="LI143" s="1"/>
      <c r="LJ143" s="1"/>
      <c r="LK143" s="1"/>
      <c r="LL143" s="1"/>
      <c r="LM143" s="1"/>
      <c r="LN143" s="1"/>
      <c r="LO143" s="1"/>
      <c r="LP143" s="1"/>
      <c r="LQ143" s="1"/>
      <c r="LR143" s="1"/>
      <c r="LS143" s="1"/>
      <c r="LT143" s="1"/>
      <c r="LU143" s="1"/>
      <c r="LV143" s="1"/>
      <c r="LW143" s="1"/>
      <c r="LX143" s="1"/>
      <c r="LY143" s="1"/>
      <c r="LZ143" s="1"/>
      <c r="MA143" s="1"/>
      <c r="MB143" s="1"/>
      <c r="MC143" s="1"/>
      <c r="MD143" s="1"/>
      <c r="ME143" s="1"/>
      <c r="MF143" s="1"/>
      <c r="MG143" s="1"/>
      <c r="MH143" s="1"/>
      <c r="MI143" s="1"/>
      <c r="MJ143" s="1"/>
      <c r="MK143" s="1"/>
      <c r="ML143" s="1"/>
      <c r="MM143" s="1"/>
      <c r="MN143" s="1"/>
      <c r="MO143" s="1"/>
      <c r="MP143" s="1"/>
      <c r="MQ143" s="1"/>
      <c r="MR143" s="1"/>
      <c r="MS143" s="1"/>
      <c r="MT143" s="1"/>
      <c r="MU143" s="1"/>
      <c r="MV143" s="1"/>
      <c r="MW143" s="1"/>
      <c r="MX143" s="1"/>
      <c r="MY143" s="1"/>
      <c r="MZ143" s="1"/>
      <c r="NA143" s="1"/>
      <c r="NB143" s="1"/>
      <c r="ND143" s="1"/>
      <c r="NE143" s="1"/>
      <c r="NF143" s="1"/>
      <c r="NG143" s="1"/>
      <c r="NH143" s="1"/>
    </row>
    <row r="144" spans="1:372" ht="12.75" customHeight="1" x14ac:dyDescent="0.3">
      <c r="A144" s="59"/>
      <c r="B144" s="61"/>
      <c r="C144" s="61"/>
      <c r="D144" s="61"/>
      <c r="E144" s="47"/>
      <c r="F144" s="47"/>
      <c r="G144" s="47"/>
      <c r="H144" s="47"/>
      <c r="I144" s="47"/>
      <c r="J144" s="47"/>
      <c r="K144" s="47"/>
      <c r="L144" s="47"/>
      <c r="M144" s="47"/>
      <c r="N144" s="47"/>
      <c r="O144" s="47"/>
      <c r="P144" s="47"/>
      <c r="Q144" s="47"/>
      <c r="R144" s="47"/>
      <c r="S144" s="47"/>
      <c r="T144" s="47"/>
      <c r="U144" s="47"/>
      <c r="V144" s="47"/>
      <c r="W144" s="47"/>
      <c r="X144" s="47"/>
      <c r="Y144" s="47"/>
      <c r="Z144" s="47"/>
      <c r="AA144" s="47"/>
      <c r="AB144" s="47"/>
      <c r="AC144" s="47"/>
      <c r="AD144" s="47"/>
      <c r="AE144" s="47"/>
      <c r="AF144" s="47"/>
      <c r="AG144" s="47"/>
      <c r="AH144" s="47"/>
      <c r="AI144" s="47"/>
      <c r="AJ144" s="47"/>
      <c r="AK144" s="47"/>
      <c r="AL144" s="47"/>
      <c r="AM144" s="47"/>
      <c r="AN144" s="47"/>
      <c r="AO144" s="47"/>
      <c r="AP144" s="47"/>
      <c r="AQ144" s="47"/>
      <c r="AR144" s="47"/>
      <c r="AS144" s="47"/>
      <c r="AT144" s="47"/>
      <c r="AU144" s="47"/>
      <c r="AV144" s="47"/>
      <c r="AW144" s="47"/>
      <c r="AX144" s="47"/>
      <c r="AY144" s="47"/>
      <c r="AZ144" s="47"/>
      <c r="BA144" s="47"/>
      <c r="BB144" s="47"/>
      <c r="BC144" s="47"/>
      <c r="BD144" s="47"/>
      <c r="BE144" s="47"/>
      <c r="BF144" s="47"/>
      <c r="BG144" s="47"/>
      <c r="BH144" s="47"/>
      <c r="BI144" s="47"/>
      <c r="BJ144" s="47"/>
      <c r="BK144" s="47"/>
      <c r="BL144" s="47"/>
      <c r="BM144" s="47"/>
      <c r="BN144" s="47"/>
      <c r="BO144" s="47"/>
      <c r="BP144" s="47"/>
      <c r="BQ144" s="47"/>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c r="CO144" s="47"/>
      <c r="CP144" s="47"/>
      <c r="CQ144" s="47"/>
      <c r="CR144" s="47"/>
      <c r="CS144" s="47"/>
      <c r="CT144" s="47"/>
      <c r="CU144" s="47"/>
      <c r="CV144" s="47"/>
      <c r="CW144" s="47"/>
      <c r="CX144" s="47"/>
      <c r="CY144" s="47"/>
      <c r="CZ144" s="47"/>
      <c r="DA144" s="47"/>
      <c r="DB144" s="47"/>
      <c r="DC144" s="47"/>
      <c r="DD144" s="47"/>
      <c r="DE144" s="47"/>
      <c r="DF144" s="47"/>
      <c r="DG144" s="47"/>
      <c r="DH144" s="47"/>
      <c r="DI144" s="47"/>
      <c r="DJ144" s="47"/>
      <c r="DK144" s="47"/>
      <c r="DL144" s="47"/>
      <c r="DM144" s="47"/>
      <c r="DN144" s="47"/>
      <c r="DO144" s="47"/>
      <c r="DP144" s="47"/>
      <c r="DQ144" s="47"/>
      <c r="DR144" s="47"/>
      <c r="DS144" s="47"/>
      <c r="DT144" s="47"/>
      <c r="DU144" s="47"/>
      <c r="DV144" s="47"/>
      <c r="DW144" s="47"/>
      <c r="DX144" s="47"/>
      <c r="DY144" s="47"/>
      <c r="DZ144" s="47"/>
      <c r="EA144" s="47"/>
      <c r="EB144" s="47"/>
      <c r="EC144" s="47"/>
      <c r="ED144" s="47"/>
      <c r="EE144" s="47"/>
      <c r="EF144" s="47"/>
      <c r="EG144" s="47"/>
      <c r="EH144" s="47"/>
      <c r="EI144" s="47"/>
      <c r="EJ144" s="47"/>
      <c r="EK144" s="47"/>
      <c r="EL144" s="47"/>
      <c r="EM144" s="47"/>
      <c r="EN144" s="47"/>
      <c r="EO144" s="47"/>
      <c r="EP144" s="47"/>
      <c r="EQ144" s="47"/>
      <c r="ER144" s="47"/>
      <c r="ES144" s="47"/>
      <c r="ET144" s="47"/>
      <c r="EU144" s="47"/>
      <c r="EV144" s="47"/>
      <c r="EW144" s="47"/>
      <c r="EX144" s="47"/>
      <c r="EY144" s="47"/>
      <c r="EZ144" s="47"/>
      <c r="FA144" s="47"/>
      <c r="FB144" s="47"/>
      <c r="FC144" s="47"/>
      <c r="FD144" s="47"/>
      <c r="FE144" s="47"/>
      <c r="FF144" s="47"/>
      <c r="FG144" s="47"/>
      <c r="FH144" s="47"/>
      <c r="FI144" s="47"/>
      <c r="FJ144" s="47"/>
      <c r="FK144" s="47"/>
      <c r="FL144" s="47"/>
      <c r="FM144" s="47"/>
      <c r="FN144" s="47"/>
      <c r="FO144" s="47"/>
      <c r="FP144" s="47"/>
      <c r="FQ144" s="47"/>
      <c r="FR144" s="47"/>
      <c r="FS144" s="47"/>
      <c r="FT144" s="47"/>
      <c r="FU144" s="47"/>
      <c r="FV144" s="47"/>
      <c r="FW144" s="47"/>
      <c r="FX144" s="47"/>
      <c r="FY144" s="47"/>
      <c r="FZ144" s="47"/>
      <c r="GA144" s="47"/>
      <c r="GB144" s="47"/>
      <c r="GC144" s="47"/>
      <c r="GD144" s="47"/>
      <c r="GE144" s="47"/>
      <c r="GF144" s="47"/>
      <c r="GG144" s="47"/>
      <c r="GH144" s="47"/>
      <c r="GI144" s="47"/>
      <c r="GJ144" s="47"/>
      <c r="GK144" s="47"/>
      <c r="GL144" s="47"/>
      <c r="GM144" s="47"/>
      <c r="GN144" s="47"/>
      <c r="GO144" s="47"/>
      <c r="GP144" s="47"/>
      <c r="GQ144" s="47"/>
      <c r="GR144" s="47"/>
      <c r="GS144" s="47"/>
      <c r="GT144" s="47"/>
      <c r="GU144" s="47"/>
      <c r="GV144" s="47"/>
      <c r="GW144" s="47"/>
      <c r="GX144" s="47"/>
      <c r="GY144" s="47"/>
      <c r="GZ144" s="47"/>
      <c r="HA144" s="47"/>
      <c r="HB144" s="47"/>
      <c r="HC144" s="47"/>
      <c r="HD144" s="47"/>
      <c r="HE144" s="47"/>
      <c r="HF144" s="47"/>
      <c r="HG144" s="47"/>
      <c r="HH144" s="47"/>
      <c r="HI144" s="47"/>
      <c r="HJ144" s="47"/>
      <c r="HK144" s="47"/>
      <c r="HL144" s="47"/>
      <c r="HM144" s="47"/>
      <c r="HN144" s="47"/>
      <c r="HO144" s="47"/>
      <c r="HP144" s="47"/>
      <c r="HQ144" s="47"/>
      <c r="HR144" s="47"/>
      <c r="HS144" s="47"/>
      <c r="HT144" s="47"/>
      <c r="HU144" s="47"/>
      <c r="HV144" s="47"/>
      <c r="HW144" s="47"/>
      <c r="HX144" s="47"/>
      <c r="HY144" s="47"/>
      <c r="HZ144" s="47"/>
      <c r="IA144" s="47"/>
      <c r="IB144" s="47"/>
      <c r="IC144" s="47"/>
      <c r="ID144" s="47"/>
      <c r="IE144" s="47"/>
      <c r="IF144" s="47"/>
      <c r="IG144" s="47"/>
      <c r="IH144" s="47"/>
      <c r="II144" s="47"/>
      <c r="IJ144" s="47"/>
      <c r="IK144" s="47"/>
      <c r="IL144" s="47"/>
      <c r="IM144" s="47"/>
      <c r="IN144" s="47"/>
      <c r="IO144" s="47"/>
      <c r="IP144" s="47"/>
      <c r="IQ144" s="47"/>
      <c r="IR144" s="47"/>
      <c r="IS144" s="47"/>
      <c r="IT144" s="47"/>
      <c r="IU144" s="47"/>
      <c r="IV144" s="47"/>
      <c r="IW144" s="1"/>
      <c r="IX144" s="1"/>
      <c r="IY144" s="1"/>
      <c r="IZ144" s="1"/>
      <c r="JA144" s="1"/>
      <c r="JB144" s="1"/>
      <c r="JC144" s="1"/>
      <c r="JD144" s="1"/>
      <c r="JE144" s="1"/>
      <c r="JF144" s="1"/>
      <c r="JG144" s="1"/>
      <c r="JH144" s="1"/>
      <c r="JI144" s="1"/>
      <c r="JJ144" s="1"/>
      <c r="JK144" s="1"/>
      <c r="JL144" s="1"/>
      <c r="JM144" s="1"/>
      <c r="JN144" s="1"/>
      <c r="JO144" s="1"/>
      <c r="JP144" s="1"/>
      <c r="JQ144" s="1"/>
      <c r="JR144" s="1"/>
      <c r="JS144" s="1"/>
      <c r="JT144" s="1"/>
      <c r="JU144" s="1"/>
      <c r="JV144" s="1"/>
      <c r="JW144" s="1"/>
      <c r="JX144" s="1"/>
      <c r="JY144" s="1"/>
      <c r="JZ144" s="1"/>
      <c r="KA144" s="1"/>
      <c r="KB144" s="1"/>
      <c r="KC144" s="1"/>
      <c r="KD144" s="1"/>
      <c r="KE144" s="1"/>
      <c r="KF144" s="1"/>
      <c r="KG144" s="1"/>
      <c r="KH144" s="1"/>
      <c r="KI144" s="1"/>
      <c r="KJ144" s="1"/>
      <c r="KK144" s="1"/>
      <c r="KL144" s="1"/>
      <c r="KM144" s="1"/>
      <c r="KN144" s="1"/>
      <c r="KO144" s="1"/>
      <c r="KP144" s="1"/>
      <c r="KQ144" s="1"/>
      <c r="KR144" s="1"/>
      <c r="KS144" s="1"/>
      <c r="KT144" s="1"/>
      <c r="KU144" s="1"/>
      <c r="KV144" s="1"/>
      <c r="KW144" s="1"/>
      <c r="KX144" s="1"/>
      <c r="KY144" s="1"/>
      <c r="KZ144" s="1"/>
      <c r="LA144" s="1"/>
      <c r="LB144" s="1"/>
      <c r="LC144" s="1"/>
      <c r="LD144" s="1"/>
      <c r="LE144" s="1"/>
      <c r="LF144" s="1"/>
      <c r="LG144" s="1"/>
      <c r="LH144" s="1"/>
      <c r="LI144" s="1"/>
      <c r="LJ144" s="1"/>
      <c r="LK144" s="1"/>
      <c r="LL144" s="1"/>
      <c r="LM144" s="1"/>
      <c r="LN144" s="1"/>
      <c r="LO144" s="1"/>
      <c r="LP144" s="1"/>
      <c r="LQ144" s="1"/>
      <c r="LR144" s="1"/>
      <c r="LS144" s="1"/>
      <c r="LT144" s="1"/>
      <c r="LU144" s="1"/>
      <c r="LV144" s="1"/>
      <c r="LW144" s="1"/>
      <c r="LX144" s="1"/>
      <c r="LY144" s="1"/>
      <c r="LZ144" s="1"/>
      <c r="MA144" s="1"/>
      <c r="MB144" s="1"/>
      <c r="MC144" s="1"/>
      <c r="MD144" s="1"/>
      <c r="ME144" s="1"/>
      <c r="MF144" s="1"/>
      <c r="MG144" s="1"/>
      <c r="MH144" s="1"/>
      <c r="MI144" s="1"/>
      <c r="MJ144" s="1"/>
      <c r="MK144" s="1"/>
      <c r="ML144" s="1"/>
      <c r="MM144" s="1"/>
      <c r="MN144" s="1"/>
      <c r="MO144" s="1"/>
      <c r="MP144" s="1"/>
      <c r="MQ144" s="1"/>
      <c r="MR144" s="1"/>
      <c r="MS144" s="1"/>
      <c r="MT144" s="1"/>
      <c r="MU144" s="1"/>
      <c r="MV144" s="1"/>
      <c r="MW144" s="1"/>
      <c r="MX144" s="1"/>
      <c r="MY144" s="1"/>
      <c r="MZ144" s="1"/>
      <c r="NA144" s="1"/>
      <c r="NB144" s="1"/>
      <c r="ND144" s="1"/>
      <c r="NE144" s="1"/>
      <c r="NF144" s="1"/>
      <c r="NG144" s="1"/>
      <c r="NH144" s="1"/>
    </row>
    <row r="145" spans="1:372" ht="12.75" customHeight="1" x14ac:dyDescent="0.3">
      <c r="A145" s="59"/>
      <c r="B145" s="61"/>
      <c r="C145" s="61"/>
      <c r="D145" s="61"/>
      <c r="E145" s="47"/>
      <c r="F145" s="47"/>
      <c r="G145" s="47"/>
      <c r="H145" s="47"/>
      <c r="I145" s="47"/>
      <c r="J145" s="47"/>
      <c r="K145" s="47"/>
      <c r="L145" s="47"/>
      <c r="M145" s="47"/>
      <c r="N145" s="47"/>
      <c r="O145" s="47"/>
      <c r="P145" s="47"/>
      <c r="Q145" s="47"/>
      <c r="R145" s="47"/>
      <c r="S145" s="47"/>
      <c r="T145" s="47"/>
      <c r="U145" s="47"/>
      <c r="V145" s="47"/>
      <c r="W145" s="47"/>
      <c r="X145" s="47"/>
      <c r="Y145" s="47"/>
      <c r="Z145" s="47"/>
      <c r="AA145" s="47"/>
      <c r="AB145" s="47"/>
      <c r="AC145" s="47"/>
      <c r="AD145" s="47"/>
      <c r="AE145" s="47"/>
      <c r="AF145" s="47"/>
      <c r="AG145" s="47"/>
      <c r="AH145" s="47"/>
      <c r="AI145" s="47"/>
      <c r="AJ145" s="47"/>
      <c r="AK145" s="47"/>
      <c r="AL145" s="47"/>
      <c r="AM145" s="47"/>
      <c r="AN145" s="47"/>
      <c r="AO145" s="47"/>
      <c r="AP145" s="47"/>
      <c r="AQ145" s="47"/>
      <c r="AR145" s="47"/>
      <c r="AS145" s="47"/>
      <c r="AT145" s="47"/>
      <c r="AU145" s="47"/>
      <c r="AV145" s="47"/>
      <c r="AW145" s="47"/>
      <c r="AX145" s="47"/>
      <c r="AY145" s="47"/>
      <c r="AZ145" s="47"/>
      <c r="BA145" s="47"/>
      <c r="BB145" s="47"/>
      <c r="BC145" s="47"/>
      <c r="BD145" s="47"/>
      <c r="BE145" s="47"/>
      <c r="BF145" s="47"/>
      <c r="BG145" s="47"/>
      <c r="BH145" s="47"/>
      <c r="BI145" s="47"/>
      <c r="BJ145" s="47"/>
      <c r="BK145" s="47"/>
      <c r="BL145" s="47"/>
      <c r="BM145" s="47"/>
      <c r="BN145" s="47"/>
      <c r="BO145" s="47"/>
      <c r="BP145" s="47"/>
      <c r="BQ145" s="47"/>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c r="CO145" s="47"/>
      <c r="CP145" s="47"/>
      <c r="CQ145" s="47"/>
      <c r="CR145" s="47"/>
      <c r="CS145" s="47"/>
      <c r="CT145" s="47"/>
      <c r="CU145" s="47"/>
      <c r="CV145" s="47"/>
      <c r="CW145" s="47"/>
      <c r="CX145" s="47"/>
      <c r="CY145" s="47"/>
      <c r="CZ145" s="47"/>
      <c r="DA145" s="47"/>
      <c r="DB145" s="47"/>
      <c r="DC145" s="47"/>
      <c r="DD145" s="47"/>
      <c r="DE145" s="47"/>
      <c r="DF145" s="47"/>
      <c r="DG145" s="47"/>
      <c r="DH145" s="47"/>
      <c r="DI145" s="47"/>
      <c r="DJ145" s="47"/>
      <c r="DK145" s="47"/>
      <c r="DL145" s="47"/>
      <c r="DM145" s="47"/>
      <c r="DN145" s="47"/>
      <c r="DO145" s="47"/>
      <c r="DP145" s="47"/>
      <c r="DQ145" s="47"/>
      <c r="DR145" s="47"/>
      <c r="DS145" s="47"/>
      <c r="DT145" s="47"/>
      <c r="DU145" s="47"/>
      <c r="DV145" s="47"/>
      <c r="DW145" s="47"/>
      <c r="DX145" s="47"/>
      <c r="DY145" s="47"/>
      <c r="DZ145" s="47"/>
      <c r="EA145" s="47"/>
      <c r="EB145" s="47"/>
      <c r="EC145" s="47"/>
      <c r="ED145" s="47"/>
      <c r="EE145" s="47"/>
      <c r="EF145" s="47"/>
      <c r="EG145" s="47"/>
      <c r="EH145" s="47"/>
      <c r="EI145" s="47"/>
      <c r="EJ145" s="47"/>
      <c r="EK145" s="47"/>
      <c r="EL145" s="47"/>
      <c r="EM145" s="47"/>
      <c r="EN145" s="47"/>
      <c r="EO145" s="47"/>
      <c r="EP145" s="47"/>
      <c r="EQ145" s="47"/>
      <c r="ER145" s="47"/>
      <c r="ES145" s="47"/>
      <c r="ET145" s="47"/>
      <c r="EU145" s="47"/>
      <c r="EV145" s="47"/>
      <c r="EW145" s="47"/>
      <c r="EX145" s="47"/>
      <c r="EY145" s="47"/>
      <c r="EZ145" s="47"/>
      <c r="FA145" s="47"/>
      <c r="FB145" s="47"/>
      <c r="FC145" s="47"/>
      <c r="FD145" s="47"/>
      <c r="FE145" s="47"/>
      <c r="FF145" s="47"/>
      <c r="FG145" s="47"/>
      <c r="FH145" s="47"/>
      <c r="FI145" s="47"/>
      <c r="FJ145" s="47"/>
      <c r="FK145" s="47"/>
      <c r="FL145" s="47"/>
      <c r="FM145" s="47"/>
      <c r="FN145" s="47"/>
      <c r="FO145" s="47"/>
      <c r="FP145" s="47"/>
      <c r="FQ145" s="47"/>
      <c r="FR145" s="47"/>
      <c r="FS145" s="47"/>
      <c r="FT145" s="47"/>
      <c r="FU145" s="47"/>
      <c r="FV145" s="47"/>
      <c r="FW145" s="47"/>
      <c r="FX145" s="47"/>
      <c r="FY145" s="47"/>
      <c r="FZ145" s="47"/>
      <c r="GA145" s="47"/>
      <c r="GB145" s="47"/>
      <c r="GC145" s="47"/>
      <c r="GD145" s="47"/>
      <c r="GE145" s="47"/>
      <c r="GF145" s="47"/>
      <c r="GG145" s="47"/>
      <c r="GH145" s="47"/>
      <c r="GI145" s="47"/>
      <c r="GJ145" s="47"/>
      <c r="GK145" s="47"/>
      <c r="GL145" s="47"/>
      <c r="GM145" s="47"/>
      <c r="GN145" s="47"/>
      <c r="GO145" s="47"/>
      <c r="GP145" s="47"/>
      <c r="GQ145" s="47"/>
      <c r="GR145" s="47"/>
      <c r="GS145" s="47"/>
      <c r="GT145" s="47"/>
      <c r="GU145" s="47"/>
      <c r="GV145" s="47"/>
      <c r="GW145" s="47"/>
      <c r="GX145" s="47"/>
      <c r="GY145" s="47"/>
      <c r="GZ145" s="47"/>
      <c r="HA145" s="47"/>
      <c r="HB145" s="47"/>
      <c r="HC145" s="47"/>
      <c r="HD145" s="47"/>
      <c r="HE145" s="47"/>
      <c r="HF145" s="47"/>
      <c r="HG145" s="47"/>
      <c r="HH145" s="47"/>
      <c r="HI145" s="47"/>
      <c r="HJ145" s="47"/>
      <c r="HK145" s="47"/>
      <c r="HL145" s="47"/>
      <c r="HM145" s="47"/>
      <c r="HN145" s="47"/>
      <c r="HO145" s="47"/>
      <c r="HP145" s="47"/>
      <c r="HQ145" s="47"/>
      <c r="HR145" s="47"/>
      <c r="HS145" s="47"/>
      <c r="HT145" s="47"/>
      <c r="HU145" s="47"/>
      <c r="HV145" s="47"/>
      <c r="HW145" s="47"/>
      <c r="HX145" s="47"/>
      <c r="HY145" s="47"/>
      <c r="HZ145" s="47"/>
      <c r="IA145" s="47"/>
      <c r="IB145" s="47"/>
      <c r="IC145" s="47"/>
      <c r="ID145" s="47"/>
      <c r="IE145" s="47"/>
      <c r="IF145" s="47"/>
      <c r="IG145" s="47"/>
      <c r="IH145" s="47"/>
      <c r="II145" s="47"/>
      <c r="IJ145" s="47"/>
      <c r="IK145" s="47"/>
      <c r="IL145" s="47"/>
      <c r="IM145" s="47"/>
      <c r="IN145" s="47"/>
      <c r="IO145" s="47"/>
      <c r="IP145" s="47"/>
      <c r="IQ145" s="47"/>
      <c r="IR145" s="47"/>
      <c r="IS145" s="47"/>
      <c r="IT145" s="47"/>
      <c r="IU145" s="47"/>
      <c r="IV145" s="47"/>
      <c r="IW145" s="1"/>
      <c r="IX145" s="1"/>
      <c r="IY145" s="1"/>
      <c r="IZ145" s="1"/>
      <c r="JA145" s="1"/>
      <c r="JB145" s="1"/>
      <c r="JC145" s="1"/>
      <c r="JD145" s="1"/>
      <c r="JE145" s="1"/>
      <c r="JF145" s="1"/>
      <c r="JG145" s="1"/>
      <c r="JH145" s="1"/>
      <c r="JI145" s="1"/>
      <c r="JJ145" s="1"/>
      <c r="JK145" s="1"/>
      <c r="JL145" s="1"/>
      <c r="JM145" s="1"/>
      <c r="JN145" s="1"/>
      <c r="JO145" s="1"/>
      <c r="JP145" s="1"/>
      <c r="JQ145" s="1"/>
      <c r="JR145" s="1"/>
      <c r="JS145" s="1"/>
      <c r="JT145" s="1"/>
      <c r="JU145" s="1"/>
      <c r="JV145" s="1"/>
      <c r="JW145" s="1"/>
      <c r="JX145" s="1"/>
      <c r="JY145" s="1"/>
      <c r="JZ145" s="1"/>
      <c r="KA145" s="1"/>
      <c r="KB145" s="1"/>
      <c r="KC145" s="1"/>
      <c r="KD145" s="1"/>
      <c r="KE145" s="1"/>
      <c r="KF145" s="1"/>
      <c r="KG145" s="1"/>
      <c r="KH145" s="1"/>
      <c r="KI145" s="1"/>
      <c r="KJ145" s="1"/>
      <c r="KK145" s="1"/>
      <c r="KL145" s="1"/>
      <c r="KM145" s="1"/>
      <c r="KN145" s="1"/>
      <c r="KO145" s="1"/>
      <c r="KP145" s="1"/>
      <c r="KQ145" s="1"/>
      <c r="KR145" s="1"/>
      <c r="KS145" s="1"/>
      <c r="KT145" s="1"/>
      <c r="KU145" s="1"/>
      <c r="KV145" s="1"/>
      <c r="KW145" s="1"/>
      <c r="KX145" s="1"/>
      <c r="KY145" s="1"/>
      <c r="KZ145" s="1"/>
      <c r="LA145" s="1"/>
      <c r="LB145" s="1"/>
      <c r="LC145" s="1"/>
      <c r="LD145" s="1"/>
      <c r="LE145" s="1"/>
      <c r="LF145" s="1"/>
      <c r="LG145" s="1"/>
      <c r="LH145" s="1"/>
      <c r="LI145" s="1"/>
      <c r="LJ145" s="1"/>
      <c r="LK145" s="1"/>
      <c r="LL145" s="1"/>
      <c r="LM145" s="1"/>
      <c r="LN145" s="1"/>
      <c r="LO145" s="1"/>
      <c r="LP145" s="1"/>
      <c r="LQ145" s="1"/>
      <c r="LR145" s="1"/>
      <c r="LS145" s="1"/>
      <c r="LT145" s="1"/>
      <c r="LU145" s="1"/>
      <c r="LV145" s="1"/>
      <c r="LW145" s="1"/>
      <c r="LX145" s="1"/>
      <c r="LY145" s="1"/>
      <c r="LZ145" s="1"/>
      <c r="MA145" s="1"/>
      <c r="MB145" s="1"/>
      <c r="MC145" s="1"/>
      <c r="MD145" s="1"/>
      <c r="ME145" s="1"/>
      <c r="MF145" s="1"/>
      <c r="MG145" s="1"/>
      <c r="MH145" s="1"/>
      <c r="MI145" s="1"/>
      <c r="MJ145" s="1"/>
      <c r="MK145" s="1"/>
      <c r="ML145" s="1"/>
      <c r="MM145" s="1"/>
      <c r="MN145" s="1"/>
      <c r="MO145" s="1"/>
      <c r="MP145" s="1"/>
      <c r="MQ145" s="1"/>
      <c r="MR145" s="1"/>
      <c r="MS145" s="1"/>
      <c r="MT145" s="1"/>
      <c r="MU145" s="1"/>
      <c r="MV145" s="1"/>
      <c r="MW145" s="1"/>
      <c r="MX145" s="1"/>
      <c r="MY145" s="1"/>
      <c r="MZ145" s="1"/>
      <c r="NA145" s="1"/>
      <c r="NB145" s="1"/>
      <c r="ND145" s="1"/>
      <c r="NE145" s="1"/>
      <c r="NF145" s="1"/>
      <c r="NG145" s="1"/>
      <c r="NH145" s="1"/>
    </row>
    <row r="146" spans="1:372" ht="12.75" customHeight="1" x14ac:dyDescent="0.3">
      <c r="A146" s="59"/>
      <c r="B146" s="61"/>
      <c r="C146" s="61"/>
      <c r="D146" s="61"/>
      <c r="E146" s="47"/>
      <c r="F146" s="47"/>
      <c r="G146" s="47"/>
      <c r="H146" s="47"/>
      <c r="I146" s="47"/>
      <c r="J146" s="47"/>
      <c r="K146" s="47"/>
      <c r="L146" s="47"/>
      <c r="M146" s="47"/>
      <c r="N146" s="47"/>
      <c r="O146" s="47"/>
      <c r="P146" s="47"/>
      <c r="Q146" s="47"/>
      <c r="R146" s="47"/>
      <c r="S146" s="47"/>
      <c r="T146" s="47"/>
      <c r="U146" s="47"/>
      <c r="V146" s="47"/>
      <c r="W146" s="47"/>
      <c r="X146" s="47"/>
      <c r="Y146" s="47"/>
      <c r="Z146" s="47"/>
      <c r="AA146" s="47"/>
      <c r="AB146" s="47"/>
      <c r="AC146" s="47"/>
      <c r="AD146" s="47"/>
      <c r="AE146" s="47"/>
      <c r="AF146" s="47"/>
      <c r="AG146" s="47"/>
      <c r="AH146" s="47"/>
      <c r="AI146" s="47"/>
      <c r="AJ146" s="47"/>
      <c r="AK146" s="47"/>
      <c r="AL146" s="47"/>
      <c r="AM146" s="47"/>
      <c r="AN146" s="47"/>
      <c r="AO146" s="47"/>
      <c r="AP146" s="47"/>
      <c r="AQ146" s="47"/>
      <c r="AR146" s="47"/>
      <c r="AS146" s="47"/>
      <c r="AT146" s="47"/>
      <c r="AU146" s="47"/>
      <c r="AV146" s="47"/>
      <c r="AW146" s="47"/>
      <c r="AX146" s="47"/>
      <c r="AY146" s="47"/>
      <c r="AZ146" s="47"/>
      <c r="BA146" s="47"/>
      <c r="BB146" s="47"/>
      <c r="BC146" s="47"/>
      <c r="BD146" s="47"/>
      <c r="BE146" s="47"/>
      <c r="BF146" s="47"/>
      <c r="BG146" s="47"/>
      <c r="BH146" s="47"/>
      <c r="BI146" s="47"/>
      <c r="BJ146" s="47"/>
      <c r="BK146" s="47"/>
      <c r="BL146" s="47"/>
      <c r="BM146" s="47"/>
      <c r="BN146" s="47"/>
      <c r="BO146" s="47"/>
      <c r="BP146" s="47"/>
      <c r="BQ146" s="47"/>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c r="CO146" s="47"/>
      <c r="CP146" s="47"/>
      <c r="CQ146" s="47"/>
      <c r="CR146" s="47"/>
      <c r="CS146" s="47"/>
      <c r="CT146" s="47"/>
      <c r="CU146" s="47"/>
      <c r="CV146" s="47"/>
      <c r="CW146" s="47"/>
      <c r="CX146" s="47"/>
      <c r="CY146" s="47"/>
      <c r="CZ146" s="47"/>
      <c r="DA146" s="47"/>
      <c r="DB146" s="47"/>
      <c r="DC146" s="47"/>
      <c r="DD146" s="47"/>
      <c r="DE146" s="47"/>
      <c r="DF146" s="47"/>
      <c r="DG146" s="47"/>
      <c r="DH146" s="47"/>
      <c r="DI146" s="47"/>
      <c r="DJ146" s="47"/>
      <c r="DK146" s="47"/>
      <c r="DL146" s="47"/>
      <c r="DM146" s="47"/>
      <c r="DN146" s="47"/>
      <c r="DO146" s="47"/>
      <c r="DP146" s="47"/>
      <c r="DQ146" s="47"/>
      <c r="DR146" s="47"/>
      <c r="DS146" s="47"/>
      <c r="DT146" s="47"/>
      <c r="DU146" s="47"/>
      <c r="DV146" s="47"/>
      <c r="DW146" s="47"/>
      <c r="DX146" s="47"/>
      <c r="DY146" s="47"/>
      <c r="DZ146" s="47"/>
      <c r="EA146" s="47"/>
      <c r="EB146" s="47"/>
      <c r="EC146" s="47"/>
      <c r="ED146" s="47"/>
      <c r="EE146" s="47"/>
      <c r="EF146" s="47"/>
      <c r="EG146" s="47"/>
      <c r="EH146" s="47"/>
      <c r="EI146" s="47"/>
      <c r="EJ146" s="47"/>
      <c r="EK146" s="47"/>
      <c r="EL146" s="47"/>
      <c r="EM146" s="47"/>
      <c r="EN146" s="47"/>
      <c r="EO146" s="47"/>
      <c r="EP146" s="47"/>
      <c r="EQ146" s="47"/>
      <c r="ER146" s="47"/>
      <c r="ES146" s="47"/>
      <c r="ET146" s="47"/>
      <c r="EU146" s="47"/>
      <c r="EV146" s="47"/>
      <c r="EW146" s="47"/>
      <c r="EX146" s="47"/>
      <c r="EY146" s="47"/>
      <c r="EZ146" s="47"/>
      <c r="FA146" s="47"/>
      <c r="FB146" s="47"/>
      <c r="FC146" s="47"/>
      <c r="FD146" s="47"/>
      <c r="FE146" s="47"/>
      <c r="FF146" s="47"/>
      <c r="FG146" s="47"/>
      <c r="FH146" s="47"/>
      <c r="FI146" s="47"/>
      <c r="FJ146" s="47"/>
      <c r="FK146" s="47"/>
      <c r="FL146" s="47"/>
      <c r="FM146" s="47"/>
      <c r="FN146" s="47"/>
      <c r="FO146" s="47"/>
      <c r="FP146" s="47"/>
      <c r="FQ146" s="47"/>
      <c r="FR146" s="47"/>
      <c r="FS146" s="47"/>
      <c r="FT146" s="47"/>
      <c r="FU146" s="47"/>
      <c r="FV146" s="47"/>
      <c r="FW146" s="47"/>
      <c r="FX146" s="47"/>
      <c r="FY146" s="47"/>
      <c r="FZ146" s="47"/>
      <c r="GA146" s="47"/>
      <c r="GB146" s="47"/>
      <c r="GC146" s="47"/>
      <c r="GD146" s="47"/>
      <c r="GE146" s="47"/>
      <c r="GF146" s="47"/>
      <c r="GG146" s="47"/>
      <c r="GH146" s="47"/>
      <c r="GI146" s="47"/>
      <c r="GJ146" s="47"/>
      <c r="GK146" s="47"/>
      <c r="GL146" s="47"/>
      <c r="GM146" s="47"/>
      <c r="GN146" s="47"/>
      <c r="GO146" s="47"/>
      <c r="GP146" s="47"/>
      <c r="GQ146" s="47"/>
      <c r="GR146" s="47"/>
      <c r="GS146" s="47"/>
      <c r="GT146" s="47"/>
      <c r="GU146" s="47"/>
      <c r="GV146" s="47"/>
      <c r="GW146" s="47"/>
      <c r="GX146" s="47"/>
      <c r="GY146" s="47"/>
      <c r="GZ146" s="47"/>
      <c r="HA146" s="47"/>
      <c r="HB146" s="47"/>
      <c r="HC146" s="47"/>
      <c r="HD146" s="47"/>
      <c r="HE146" s="47"/>
      <c r="HF146" s="47"/>
      <c r="HG146" s="47"/>
      <c r="HH146" s="47"/>
      <c r="HI146" s="47"/>
      <c r="HJ146" s="47"/>
      <c r="HK146" s="47"/>
      <c r="HL146" s="47"/>
      <c r="HM146" s="47"/>
      <c r="HN146" s="47"/>
      <c r="HO146" s="47"/>
      <c r="HP146" s="47"/>
      <c r="HQ146" s="47"/>
      <c r="HR146" s="47"/>
      <c r="HS146" s="47"/>
      <c r="HT146" s="47"/>
      <c r="HU146" s="47"/>
      <c r="HV146" s="47"/>
      <c r="HW146" s="47"/>
      <c r="HX146" s="47"/>
      <c r="HY146" s="47"/>
      <c r="HZ146" s="47"/>
      <c r="IA146" s="47"/>
      <c r="IB146" s="47"/>
      <c r="IC146" s="47"/>
      <c r="ID146" s="47"/>
      <c r="IE146" s="47"/>
      <c r="IF146" s="47"/>
      <c r="IG146" s="47"/>
      <c r="IH146" s="47"/>
      <c r="II146" s="47"/>
      <c r="IJ146" s="47"/>
      <c r="IK146" s="47"/>
      <c r="IL146" s="47"/>
      <c r="IM146" s="47"/>
      <c r="IN146" s="47"/>
      <c r="IO146" s="47"/>
      <c r="IP146" s="47"/>
      <c r="IQ146" s="47"/>
      <c r="IR146" s="47"/>
      <c r="IS146" s="47"/>
      <c r="IT146" s="47"/>
      <c r="IU146" s="47"/>
      <c r="IV146" s="47"/>
      <c r="IW146" s="1"/>
      <c r="IX146" s="1"/>
      <c r="IY146" s="1"/>
      <c r="IZ146" s="1"/>
      <c r="JA146" s="1"/>
      <c r="JB146" s="1"/>
      <c r="JC146" s="1"/>
      <c r="JD146" s="1"/>
      <c r="JE146" s="1"/>
      <c r="JF146" s="1"/>
      <c r="JG146" s="1"/>
      <c r="JH146" s="1"/>
      <c r="JI146" s="1"/>
      <c r="JJ146" s="1"/>
      <c r="JK146" s="1"/>
      <c r="JL146" s="1"/>
      <c r="JM146" s="1"/>
      <c r="JN146" s="1"/>
      <c r="JO146" s="1"/>
      <c r="JP146" s="1"/>
      <c r="JQ146" s="1"/>
      <c r="JR146" s="1"/>
      <c r="JS146" s="1"/>
      <c r="JT146" s="1"/>
      <c r="JU146" s="1"/>
      <c r="JV146" s="1"/>
      <c r="JW146" s="1"/>
      <c r="JX146" s="1"/>
      <c r="JY146" s="1"/>
      <c r="JZ146" s="1"/>
      <c r="KA146" s="1"/>
      <c r="KB146" s="1"/>
      <c r="KC146" s="1"/>
      <c r="KD146" s="1"/>
      <c r="KE146" s="1"/>
      <c r="KF146" s="1"/>
      <c r="KG146" s="1"/>
      <c r="KH146" s="1"/>
      <c r="KI146" s="1"/>
      <c r="KJ146" s="1"/>
      <c r="KK146" s="1"/>
      <c r="KL146" s="1"/>
      <c r="KM146" s="1"/>
      <c r="KN146" s="1"/>
      <c r="KO146" s="1"/>
      <c r="KP146" s="1"/>
      <c r="KQ146" s="1"/>
      <c r="KR146" s="1"/>
      <c r="KS146" s="1"/>
      <c r="KT146" s="1"/>
      <c r="KU146" s="1"/>
      <c r="KV146" s="1"/>
      <c r="KW146" s="1"/>
      <c r="KX146" s="1"/>
      <c r="KY146" s="1"/>
      <c r="KZ146" s="1"/>
      <c r="LA146" s="1"/>
      <c r="LB146" s="1"/>
      <c r="LC146" s="1"/>
      <c r="LD146" s="1"/>
      <c r="LE146" s="1"/>
      <c r="LF146" s="1"/>
      <c r="LG146" s="1"/>
      <c r="LH146" s="1"/>
      <c r="LI146" s="1"/>
      <c r="LJ146" s="1"/>
      <c r="LK146" s="1"/>
      <c r="LL146" s="1"/>
      <c r="LM146" s="1"/>
      <c r="LN146" s="1"/>
      <c r="LO146" s="1"/>
      <c r="LP146" s="1"/>
      <c r="LQ146" s="1"/>
      <c r="LR146" s="1"/>
      <c r="LS146" s="1"/>
      <c r="LT146" s="1"/>
      <c r="LU146" s="1"/>
      <c r="LV146" s="1"/>
      <c r="LW146" s="1"/>
      <c r="LX146" s="1"/>
      <c r="LY146" s="1"/>
      <c r="LZ146" s="1"/>
      <c r="MA146" s="1"/>
      <c r="MB146" s="1"/>
      <c r="MC146" s="1"/>
      <c r="MD146" s="1"/>
      <c r="ME146" s="1"/>
      <c r="MF146" s="1"/>
      <c r="MG146" s="1"/>
      <c r="MH146" s="1"/>
      <c r="MI146" s="1"/>
      <c r="MJ146" s="1"/>
      <c r="MK146" s="1"/>
      <c r="ML146" s="1"/>
      <c r="MM146" s="1"/>
      <c r="MN146" s="1"/>
      <c r="MO146" s="1"/>
      <c r="MP146" s="1"/>
      <c r="MQ146" s="1"/>
      <c r="MR146" s="1"/>
      <c r="MS146" s="1"/>
      <c r="MT146" s="1"/>
      <c r="MU146" s="1"/>
      <c r="MV146" s="1"/>
      <c r="MW146" s="1"/>
      <c r="MX146" s="1"/>
      <c r="MY146" s="1"/>
      <c r="MZ146" s="1"/>
      <c r="NA146" s="1"/>
      <c r="NB146" s="1"/>
      <c r="ND146" s="1"/>
      <c r="NE146" s="1"/>
      <c r="NF146" s="1"/>
      <c r="NG146" s="1"/>
      <c r="NH146" s="1"/>
    </row>
    <row r="147" spans="1:372" ht="12.75" customHeight="1" x14ac:dyDescent="0.3">
      <c r="A147" s="59"/>
      <c r="B147" s="61"/>
      <c r="C147" s="61"/>
      <c r="D147" s="61"/>
      <c r="E147" s="47"/>
      <c r="F147" s="47"/>
      <c r="G147" s="47"/>
      <c r="H147" s="47"/>
      <c r="I147" s="47"/>
      <c r="J147" s="47"/>
      <c r="K147" s="47"/>
      <c r="L147" s="47"/>
      <c r="M147" s="47"/>
      <c r="N147" s="47"/>
      <c r="O147" s="47"/>
      <c r="P147" s="47"/>
      <c r="Q147" s="47"/>
      <c r="R147" s="47"/>
      <c r="S147" s="47"/>
      <c r="T147" s="47"/>
      <c r="U147" s="47"/>
      <c r="V147" s="47"/>
      <c r="W147" s="47"/>
      <c r="X147" s="47"/>
      <c r="Y147" s="47"/>
      <c r="Z147" s="47"/>
      <c r="AA147" s="47"/>
      <c r="AB147" s="47"/>
      <c r="AC147" s="47"/>
      <c r="AD147" s="47"/>
      <c r="AE147" s="47"/>
      <c r="AF147" s="47"/>
      <c r="AG147" s="47"/>
      <c r="AH147" s="47"/>
      <c r="AI147" s="47"/>
      <c r="AJ147" s="47"/>
      <c r="AK147" s="47"/>
      <c r="AL147" s="47"/>
      <c r="AM147" s="47"/>
      <c r="AN147" s="47"/>
      <c r="AO147" s="47"/>
      <c r="AP147" s="47"/>
      <c r="AQ147" s="47"/>
      <c r="AR147" s="47"/>
      <c r="AS147" s="47"/>
      <c r="AT147" s="47"/>
      <c r="AU147" s="47"/>
      <c r="AV147" s="47"/>
      <c r="AW147" s="47"/>
      <c r="AX147" s="47"/>
      <c r="AY147" s="47"/>
      <c r="AZ147" s="47"/>
      <c r="BA147" s="47"/>
      <c r="BB147" s="47"/>
      <c r="BC147" s="47"/>
      <c r="BD147" s="47"/>
      <c r="BE147" s="47"/>
      <c r="BF147" s="47"/>
      <c r="BG147" s="47"/>
      <c r="BH147" s="47"/>
      <c r="BI147" s="47"/>
      <c r="BJ147" s="47"/>
      <c r="BK147" s="47"/>
      <c r="BL147" s="47"/>
      <c r="BM147" s="47"/>
      <c r="BN147" s="47"/>
      <c r="BO147" s="47"/>
      <c r="BP147" s="47"/>
      <c r="BQ147" s="47"/>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c r="CO147" s="47"/>
      <c r="CP147" s="47"/>
      <c r="CQ147" s="47"/>
      <c r="CR147" s="47"/>
      <c r="CS147" s="47"/>
      <c r="CT147" s="47"/>
      <c r="CU147" s="47"/>
      <c r="CV147" s="47"/>
      <c r="CW147" s="47"/>
      <c r="CX147" s="47"/>
      <c r="CY147" s="47"/>
      <c r="CZ147" s="47"/>
      <c r="DA147" s="47"/>
      <c r="DB147" s="47"/>
      <c r="DC147" s="47"/>
      <c r="DD147" s="47"/>
      <c r="DE147" s="47"/>
      <c r="DF147" s="47"/>
      <c r="DG147" s="47"/>
      <c r="DH147" s="47"/>
      <c r="DI147" s="47"/>
      <c r="DJ147" s="47"/>
      <c r="DK147" s="47"/>
      <c r="DL147" s="47"/>
      <c r="DM147" s="47"/>
      <c r="DN147" s="47"/>
      <c r="DO147" s="47"/>
      <c r="DP147" s="47"/>
      <c r="DQ147" s="47"/>
      <c r="DR147" s="47"/>
      <c r="DS147" s="47"/>
      <c r="DT147" s="47"/>
      <c r="DU147" s="47"/>
      <c r="DV147" s="47"/>
      <c r="DW147" s="47"/>
      <c r="DX147" s="47"/>
      <c r="DY147" s="47"/>
      <c r="DZ147" s="47"/>
      <c r="EA147" s="47"/>
      <c r="EB147" s="47"/>
      <c r="EC147" s="47"/>
      <c r="ED147" s="47"/>
      <c r="EE147" s="47"/>
      <c r="EF147" s="47"/>
      <c r="EG147" s="47"/>
      <c r="EH147" s="47"/>
      <c r="EI147" s="47"/>
      <c r="EJ147" s="47"/>
      <c r="EK147" s="47"/>
      <c r="EL147" s="47"/>
      <c r="EM147" s="47"/>
      <c r="EN147" s="47"/>
      <c r="EO147" s="47"/>
      <c r="EP147" s="47"/>
      <c r="EQ147" s="47"/>
      <c r="ER147" s="47"/>
      <c r="ES147" s="47"/>
      <c r="ET147" s="47"/>
      <c r="EU147" s="47"/>
      <c r="EV147" s="47"/>
      <c r="EW147" s="47"/>
      <c r="EX147" s="47"/>
      <c r="EY147" s="47"/>
      <c r="EZ147" s="47"/>
      <c r="FA147" s="47"/>
      <c r="FB147" s="47"/>
      <c r="FC147" s="47"/>
      <c r="FD147" s="47"/>
      <c r="FE147" s="47"/>
      <c r="FF147" s="47"/>
      <c r="FG147" s="47"/>
      <c r="FH147" s="47"/>
      <c r="FI147" s="47"/>
      <c r="FJ147" s="47"/>
      <c r="FK147" s="47"/>
      <c r="FL147" s="47"/>
      <c r="FM147" s="47"/>
      <c r="FN147" s="47"/>
      <c r="FO147" s="47"/>
      <c r="FP147" s="47"/>
      <c r="FQ147" s="47"/>
      <c r="FR147" s="47"/>
      <c r="FS147" s="47"/>
      <c r="FT147" s="47"/>
      <c r="FU147" s="47"/>
      <c r="FV147" s="47"/>
      <c r="FW147" s="47"/>
      <c r="FX147" s="47"/>
      <c r="FY147" s="47"/>
      <c r="FZ147" s="47"/>
      <c r="GA147" s="47"/>
      <c r="GB147" s="47"/>
      <c r="GC147" s="47"/>
      <c r="GD147" s="47"/>
      <c r="GE147" s="47"/>
      <c r="GF147" s="47"/>
      <c r="GG147" s="47"/>
      <c r="GH147" s="47"/>
      <c r="GI147" s="47"/>
      <c r="GJ147" s="47"/>
      <c r="GK147" s="47"/>
      <c r="GL147" s="47"/>
      <c r="GM147" s="47"/>
      <c r="GN147" s="47"/>
      <c r="GO147" s="47"/>
      <c r="GP147" s="47"/>
      <c r="GQ147" s="47"/>
      <c r="GR147" s="47"/>
      <c r="GS147" s="47"/>
      <c r="GT147" s="47"/>
      <c r="GU147" s="47"/>
      <c r="GV147" s="47"/>
      <c r="GW147" s="47"/>
      <c r="GX147" s="47"/>
      <c r="GY147" s="47"/>
      <c r="GZ147" s="47"/>
      <c r="HA147" s="47"/>
      <c r="HB147" s="47"/>
      <c r="HC147" s="47"/>
      <c r="HD147" s="47"/>
      <c r="HE147" s="47"/>
      <c r="HF147" s="47"/>
      <c r="HG147" s="47"/>
      <c r="HH147" s="47"/>
      <c r="HI147" s="47"/>
      <c r="HJ147" s="47"/>
      <c r="HK147" s="47"/>
      <c r="HL147" s="47"/>
      <c r="HM147" s="47"/>
      <c r="HN147" s="47"/>
      <c r="HO147" s="47"/>
      <c r="HP147" s="47"/>
      <c r="HQ147" s="47"/>
      <c r="HR147" s="47"/>
      <c r="HS147" s="47"/>
      <c r="HT147" s="47"/>
      <c r="HU147" s="47"/>
      <c r="HV147" s="47"/>
      <c r="HW147" s="47"/>
      <c r="HX147" s="47"/>
      <c r="HY147" s="47"/>
      <c r="HZ147" s="47"/>
      <c r="IA147" s="47"/>
      <c r="IB147" s="47"/>
      <c r="IC147" s="47"/>
      <c r="ID147" s="47"/>
      <c r="IE147" s="47"/>
      <c r="IF147" s="47"/>
      <c r="IG147" s="47"/>
      <c r="IH147" s="47"/>
      <c r="II147" s="47"/>
      <c r="IJ147" s="47"/>
      <c r="IK147" s="47"/>
      <c r="IL147" s="47"/>
      <c r="IM147" s="47"/>
      <c r="IN147" s="47"/>
      <c r="IO147" s="47"/>
      <c r="IP147" s="47"/>
      <c r="IQ147" s="47"/>
      <c r="IR147" s="47"/>
      <c r="IS147" s="47"/>
      <c r="IT147" s="47"/>
      <c r="IU147" s="47"/>
      <c r="IV147" s="47"/>
      <c r="IW147" s="1"/>
      <c r="IX147" s="1"/>
      <c r="IY147" s="1"/>
      <c r="IZ147" s="1"/>
      <c r="JA147" s="1"/>
      <c r="JB147" s="1"/>
      <c r="JC147" s="1"/>
      <c r="JD147" s="1"/>
      <c r="JE147" s="1"/>
      <c r="JF147" s="1"/>
      <c r="JG147" s="1"/>
      <c r="JH147" s="1"/>
      <c r="JI147" s="1"/>
      <c r="JJ147" s="1"/>
      <c r="JK147" s="1"/>
      <c r="JL147" s="1"/>
      <c r="JM147" s="1"/>
      <c r="JN147" s="1"/>
      <c r="JO147" s="1"/>
      <c r="JP147" s="1"/>
      <c r="JQ147" s="1"/>
      <c r="JR147" s="1"/>
      <c r="JS147" s="1"/>
      <c r="JT147" s="1"/>
      <c r="JU147" s="1"/>
      <c r="JV147" s="1"/>
      <c r="JW147" s="1"/>
      <c r="JX147" s="1"/>
      <c r="JY147" s="1"/>
      <c r="JZ147" s="1"/>
      <c r="KA147" s="1"/>
      <c r="KB147" s="1"/>
      <c r="KC147" s="1"/>
      <c r="KD147" s="1"/>
      <c r="KE147" s="1"/>
      <c r="KF147" s="1"/>
      <c r="KG147" s="1"/>
      <c r="KH147" s="1"/>
      <c r="KI147" s="1"/>
      <c r="KJ147" s="1"/>
      <c r="KK147" s="1"/>
      <c r="KL147" s="1"/>
      <c r="KM147" s="1"/>
      <c r="KN147" s="1"/>
      <c r="KO147" s="1"/>
      <c r="KP147" s="1"/>
      <c r="KQ147" s="1"/>
      <c r="KR147" s="1"/>
      <c r="KS147" s="1"/>
      <c r="KT147" s="1"/>
      <c r="KU147" s="1"/>
      <c r="KV147" s="1"/>
      <c r="KW147" s="1"/>
      <c r="KX147" s="1"/>
      <c r="KY147" s="1"/>
      <c r="KZ147" s="1"/>
      <c r="LA147" s="1"/>
      <c r="LB147" s="1"/>
      <c r="LC147" s="1"/>
      <c r="LD147" s="1"/>
      <c r="LE147" s="1"/>
      <c r="LF147" s="1"/>
      <c r="LG147" s="1"/>
      <c r="LH147" s="1"/>
      <c r="LI147" s="1"/>
      <c r="LJ147" s="1"/>
      <c r="LK147" s="1"/>
      <c r="LL147" s="1"/>
      <c r="LM147" s="1"/>
      <c r="LN147" s="1"/>
      <c r="LO147" s="1"/>
      <c r="LP147" s="1"/>
      <c r="LQ147" s="1"/>
      <c r="LR147" s="1"/>
      <c r="LS147" s="1"/>
      <c r="LT147" s="1"/>
      <c r="LU147" s="1"/>
      <c r="LV147" s="1"/>
      <c r="LW147" s="1"/>
      <c r="LX147" s="1"/>
      <c r="LY147" s="1"/>
      <c r="LZ147" s="1"/>
      <c r="MA147" s="1"/>
      <c r="MB147" s="1"/>
      <c r="MC147" s="1"/>
      <c r="MD147" s="1"/>
      <c r="ME147" s="1"/>
      <c r="MF147" s="1"/>
      <c r="MG147" s="1"/>
      <c r="MH147" s="1"/>
      <c r="MI147" s="1"/>
      <c r="MJ147" s="1"/>
      <c r="MK147" s="1"/>
      <c r="ML147" s="1"/>
      <c r="MM147" s="1"/>
      <c r="MN147" s="1"/>
      <c r="MO147" s="1"/>
      <c r="MP147" s="1"/>
      <c r="MQ147" s="1"/>
      <c r="MR147" s="1"/>
      <c r="MS147" s="1"/>
      <c r="MT147" s="1"/>
      <c r="MU147" s="1"/>
      <c r="MV147" s="1"/>
      <c r="MW147" s="1"/>
      <c r="MX147" s="1"/>
      <c r="MY147" s="1"/>
      <c r="MZ147" s="1"/>
      <c r="NA147" s="1"/>
      <c r="NB147" s="1"/>
      <c r="ND147" s="1"/>
      <c r="NE147" s="1"/>
      <c r="NF147" s="1"/>
      <c r="NG147" s="1"/>
      <c r="NH147" s="1"/>
    </row>
    <row r="148" spans="1:372" ht="12.75" customHeight="1" x14ac:dyDescent="0.3">
      <c r="A148" s="59"/>
      <c r="B148" s="61"/>
      <c r="C148" s="61"/>
      <c r="D148" s="61"/>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c r="AO148" s="47"/>
      <c r="AP148" s="47"/>
      <c r="AQ148" s="47"/>
      <c r="AR148" s="47"/>
      <c r="AS148" s="47"/>
      <c r="AT148" s="47"/>
      <c r="AU148" s="47"/>
      <c r="AV148" s="47"/>
      <c r="AW148" s="47"/>
      <c r="AX148" s="47"/>
      <c r="AY148" s="47"/>
      <c r="AZ148" s="47"/>
      <c r="BA148" s="47"/>
      <c r="BB148" s="47"/>
      <c r="BC148" s="47"/>
      <c r="BD148" s="47"/>
      <c r="BE148" s="47"/>
      <c r="BF148" s="47"/>
      <c r="BG148" s="47"/>
      <c r="BH148" s="47"/>
      <c r="BI148" s="47"/>
      <c r="BJ148" s="47"/>
      <c r="BK148" s="47"/>
      <c r="BL148" s="47"/>
      <c r="BM148" s="47"/>
      <c r="BN148" s="47"/>
      <c r="BO148" s="47"/>
      <c r="BP148" s="47"/>
      <c r="BQ148" s="47"/>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c r="CO148" s="47"/>
      <c r="CP148" s="47"/>
      <c r="CQ148" s="47"/>
      <c r="CR148" s="47"/>
      <c r="CS148" s="47"/>
      <c r="CT148" s="47"/>
      <c r="CU148" s="47"/>
      <c r="CV148" s="47"/>
      <c r="CW148" s="47"/>
      <c r="CX148" s="47"/>
      <c r="CY148" s="47"/>
      <c r="CZ148" s="47"/>
      <c r="DA148" s="47"/>
      <c r="DB148" s="47"/>
      <c r="DC148" s="47"/>
      <c r="DD148" s="47"/>
      <c r="DE148" s="47"/>
      <c r="DF148" s="47"/>
      <c r="DG148" s="47"/>
      <c r="DH148" s="47"/>
      <c r="DI148" s="47"/>
      <c r="DJ148" s="47"/>
      <c r="DK148" s="47"/>
      <c r="DL148" s="47"/>
      <c r="DM148" s="47"/>
      <c r="DN148" s="47"/>
      <c r="DO148" s="47"/>
      <c r="DP148" s="47"/>
      <c r="DQ148" s="47"/>
      <c r="DR148" s="47"/>
      <c r="DS148" s="47"/>
      <c r="DT148" s="47"/>
      <c r="DU148" s="47"/>
      <c r="DV148" s="47"/>
      <c r="DW148" s="47"/>
      <c r="DX148" s="47"/>
      <c r="DY148" s="47"/>
      <c r="DZ148" s="47"/>
      <c r="EA148" s="47"/>
      <c r="EB148" s="47"/>
      <c r="EC148" s="47"/>
      <c r="ED148" s="47"/>
      <c r="EE148" s="47"/>
      <c r="EF148" s="47"/>
      <c r="EG148" s="47"/>
      <c r="EH148" s="47"/>
      <c r="EI148" s="47"/>
      <c r="EJ148" s="47"/>
      <c r="EK148" s="47"/>
      <c r="EL148" s="47"/>
      <c r="EM148" s="47"/>
      <c r="EN148" s="47"/>
      <c r="EO148" s="47"/>
      <c r="EP148" s="47"/>
      <c r="EQ148" s="47"/>
      <c r="ER148" s="47"/>
      <c r="ES148" s="47"/>
      <c r="ET148" s="47"/>
      <c r="EU148" s="47"/>
      <c r="EV148" s="47"/>
      <c r="EW148" s="47"/>
      <c r="EX148" s="47"/>
      <c r="EY148" s="47"/>
      <c r="EZ148" s="47"/>
      <c r="FA148" s="47"/>
      <c r="FB148" s="47"/>
      <c r="FC148" s="47"/>
      <c r="FD148" s="47"/>
      <c r="FE148" s="47"/>
      <c r="FF148" s="47"/>
      <c r="FG148" s="47"/>
      <c r="FH148" s="47"/>
      <c r="FI148" s="47"/>
      <c r="FJ148" s="47"/>
      <c r="FK148" s="47"/>
      <c r="FL148" s="47"/>
      <c r="FM148" s="47"/>
      <c r="FN148" s="47"/>
      <c r="FO148" s="47"/>
      <c r="FP148" s="47"/>
      <c r="FQ148" s="47"/>
      <c r="FR148" s="47"/>
      <c r="FS148" s="47"/>
      <c r="FT148" s="47"/>
      <c r="FU148" s="47"/>
      <c r="FV148" s="47"/>
      <c r="FW148" s="47"/>
      <c r="FX148" s="47"/>
      <c r="FY148" s="47"/>
      <c r="FZ148" s="47"/>
      <c r="GA148" s="47"/>
      <c r="GB148" s="47"/>
      <c r="GC148" s="47"/>
      <c r="GD148" s="47"/>
      <c r="GE148" s="47"/>
      <c r="GF148" s="47"/>
      <c r="GG148" s="47"/>
      <c r="GH148" s="47"/>
      <c r="GI148" s="47"/>
      <c r="GJ148" s="47"/>
      <c r="GK148" s="47"/>
      <c r="GL148" s="47"/>
      <c r="GM148" s="47"/>
      <c r="GN148" s="47"/>
      <c r="GO148" s="47"/>
      <c r="GP148" s="47"/>
      <c r="GQ148" s="47"/>
      <c r="GR148" s="47"/>
      <c r="GS148" s="47"/>
      <c r="GT148" s="47"/>
      <c r="GU148" s="47"/>
      <c r="GV148" s="47"/>
      <c r="GW148" s="47"/>
      <c r="GX148" s="47"/>
      <c r="GY148" s="47"/>
      <c r="GZ148" s="47"/>
      <c r="HA148" s="47"/>
      <c r="HB148" s="47"/>
      <c r="HC148" s="47"/>
      <c r="HD148" s="47"/>
      <c r="HE148" s="47"/>
      <c r="HF148" s="47"/>
      <c r="HG148" s="47"/>
      <c r="HH148" s="47"/>
      <c r="HI148" s="47"/>
      <c r="HJ148" s="47"/>
      <c r="HK148" s="47"/>
      <c r="HL148" s="47"/>
      <c r="HM148" s="47"/>
      <c r="HN148" s="47"/>
      <c r="HO148" s="47"/>
      <c r="HP148" s="47"/>
      <c r="HQ148" s="47"/>
      <c r="HR148" s="47"/>
      <c r="HS148" s="47"/>
      <c r="HT148" s="47"/>
      <c r="HU148" s="47"/>
      <c r="HV148" s="47"/>
      <c r="HW148" s="47"/>
      <c r="HX148" s="47"/>
      <c r="HY148" s="47"/>
      <c r="HZ148" s="47"/>
      <c r="IA148" s="47"/>
      <c r="IB148" s="47"/>
      <c r="IC148" s="47"/>
      <c r="ID148" s="47"/>
      <c r="IE148" s="47"/>
      <c r="IF148" s="47"/>
      <c r="IG148" s="47"/>
      <c r="IH148" s="47"/>
      <c r="II148" s="47"/>
      <c r="IJ148" s="47"/>
      <c r="IK148" s="47"/>
      <c r="IL148" s="47"/>
      <c r="IM148" s="47"/>
      <c r="IN148" s="47"/>
      <c r="IO148" s="47"/>
      <c r="IP148" s="47"/>
      <c r="IQ148" s="47"/>
      <c r="IR148" s="47"/>
      <c r="IS148" s="47"/>
      <c r="IT148" s="47"/>
      <c r="IU148" s="47"/>
      <c r="IV148" s="47"/>
      <c r="IW148" s="1"/>
      <c r="IX148" s="1"/>
      <c r="IY148" s="1"/>
      <c r="IZ148" s="1"/>
      <c r="JA148" s="1"/>
      <c r="JB148" s="1"/>
      <c r="JC148" s="1"/>
      <c r="JD148" s="1"/>
      <c r="JE148" s="1"/>
      <c r="JF148" s="1"/>
      <c r="JG148" s="1"/>
      <c r="JH148" s="1"/>
      <c r="JI148" s="1"/>
      <c r="JJ148" s="1"/>
      <c r="JK148" s="1"/>
      <c r="JL148" s="1"/>
      <c r="JM148" s="1"/>
      <c r="JN148" s="1"/>
      <c r="JO148" s="1"/>
      <c r="JP148" s="1"/>
      <c r="JQ148" s="1"/>
      <c r="JR148" s="1"/>
      <c r="JS148" s="1"/>
      <c r="JT148" s="1"/>
      <c r="JU148" s="1"/>
      <c r="JV148" s="1"/>
      <c r="JW148" s="1"/>
      <c r="JX148" s="1"/>
      <c r="JY148" s="1"/>
      <c r="JZ148" s="1"/>
      <c r="KA148" s="1"/>
      <c r="KB148" s="1"/>
      <c r="KC148" s="1"/>
      <c r="KD148" s="1"/>
      <c r="KE148" s="1"/>
      <c r="KF148" s="1"/>
      <c r="KG148" s="1"/>
      <c r="KH148" s="1"/>
      <c r="KI148" s="1"/>
      <c r="KJ148" s="1"/>
      <c r="KK148" s="1"/>
      <c r="KL148" s="1"/>
      <c r="KM148" s="1"/>
      <c r="KN148" s="1"/>
      <c r="KO148" s="1"/>
      <c r="KP148" s="1"/>
      <c r="KQ148" s="1"/>
      <c r="KR148" s="1"/>
      <c r="KS148" s="1"/>
      <c r="KT148" s="1"/>
      <c r="KU148" s="1"/>
      <c r="KV148" s="1"/>
      <c r="KW148" s="1"/>
      <c r="KX148" s="1"/>
      <c r="KY148" s="1"/>
      <c r="KZ148" s="1"/>
      <c r="LA148" s="1"/>
      <c r="LB148" s="1"/>
      <c r="LC148" s="1"/>
      <c r="LD148" s="1"/>
      <c r="LE148" s="1"/>
      <c r="LF148" s="1"/>
      <c r="LG148" s="1"/>
      <c r="LH148" s="1"/>
      <c r="LI148" s="1"/>
      <c r="LJ148" s="1"/>
      <c r="LK148" s="1"/>
      <c r="LL148" s="1"/>
      <c r="LM148" s="1"/>
      <c r="LN148" s="1"/>
      <c r="LO148" s="1"/>
      <c r="LP148" s="1"/>
      <c r="LQ148" s="1"/>
      <c r="LR148" s="1"/>
      <c r="LS148" s="1"/>
      <c r="LT148" s="1"/>
      <c r="LU148" s="1"/>
      <c r="LV148" s="1"/>
      <c r="LW148" s="1"/>
      <c r="LX148" s="1"/>
      <c r="LY148" s="1"/>
      <c r="LZ148" s="1"/>
      <c r="MA148" s="1"/>
      <c r="MB148" s="1"/>
      <c r="MC148" s="1"/>
      <c r="MD148" s="1"/>
      <c r="ME148" s="1"/>
      <c r="MF148" s="1"/>
      <c r="MG148" s="1"/>
      <c r="MH148" s="1"/>
      <c r="MI148" s="1"/>
      <c r="MJ148" s="1"/>
      <c r="MK148" s="1"/>
      <c r="ML148" s="1"/>
      <c r="MM148" s="1"/>
      <c r="MN148" s="1"/>
      <c r="MO148" s="1"/>
      <c r="MP148" s="1"/>
      <c r="MQ148" s="1"/>
      <c r="MR148" s="1"/>
      <c r="MS148" s="1"/>
      <c r="MT148" s="1"/>
      <c r="MU148" s="1"/>
      <c r="MV148" s="1"/>
      <c r="MW148" s="1"/>
      <c r="MX148" s="1"/>
      <c r="MY148" s="1"/>
      <c r="MZ148" s="1"/>
      <c r="NA148" s="1"/>
      <c r="NB148" s="1"/>
      <c r="ND148" s="1"/>
      <c r="NE148" s="1"/>
      <c r="NF148" s="1"/>
      <c r="NG148" s="1"/>
      <c r="NH148" s="1"/>
    </row>
    <row r="149" spans="1:372" ht="12.75" customHeight="1" x14ac:dyDescent="0.3">
      <c r="A149" s="59"/>
      <c r="B149" s="61"/>
      <c r="C149" s="61"/>
      <c r="D149" s="61"/>
      <c r="E149" s="47"/>
      <c r="F149" s="47"/>
      <c r="G149" s="47"/>
      <c r="H149" s="47"/>
      <c r="I149" s="47"/>
      <c r="J149" s="47"/>
      <c r="K149" s="47"/>
      <c r="L149" s="47"/>
      <c r="M149" s="47"/>
      <c r="N149" s="47"/>
      <c r="O149" s="47"/>
      <c r="P149" s="47"/>
      <c r="Q149" s="47"/>
      <c r="R149" s="47"/>
      <c r="S149" s="47"/>
      <c r="T149" s="47"/>
      <c r="U149" s="47"/>
      <c r="V149" s="47"/>
      <c r="W149" s="47"/>
      <c r="X149" s="47"/>
      <c r="Y149" s="47"/>
      <c r="Z149" s="47"/>
      <c r="AA149" s="47"/>
      <c r="AB149" s="47"/>
      <c r="AC149" s="47"/>
      <c r="AD149" s="47"/>
      <c r="AE149" s="47"/>
      <c r="AF149" s="47"/>
      <c r="AG149" s="47"/>
      <c r="AH149" s="47"/>
      <c r="AI149" s="47"/>
      <c r="AJ149" s="47"/>
      <c r="AK149" s="47"/>
      <c r="AL149" s="47"/>
      <c r="AM149" s="47"/>
      <c r="AN149" s="47"/>
      <c r="AO149" s="47"/>
      <c r="AP149" s="47"/>
      <c r="AQ149" s="47"/>
      <c r="AR149" s="47"/>
      <c r="AS149" s="47"/>
      <c r="AT149" s="47"/>
      <c r="AU149" s="47"/>
      <c r="AV149" s="47"/>
      <c r="AW149" s="47"/>
      <c r="AX149" s="47"/>
      <c r="AY149" s="47"/>
      <c r="AZ149" s="47"/>
      <c r="BA149" s="47"/>
      <c r="BB149" s="47"/>
      <c r="BC149" s="47"/>
      <c r="BD149" s="47"/>
      <c r="BE149" s="47"/>
      <c r="BF149" s="47"/>
      <c r="BG149" s="47"/>
      <c r="BH149" s="47"/>
      <c r="BI149" s="47"/>
      <c r="BJ149" s="47"/>
      <c r="BK149" s="47"/>
      <c r="BL149" s="47"/>
      <c r="BM149" s="47"/>
      <c r="BN149" s="47"/>
      <c r="BO149" s="47"/>
      <c r="BP149" s="47"/>
      <c r="BQ149" s="47"/>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c r="CO149" s="47"/>
      <c r="CP149" s="47"/>
      <c r="CQ149" s="47"/>
      <c r="CR149" s="47"/>
      <c r="CS149" s="47"/>
      <c r="CT149" s="47"/>
      <c r="CU149" s="47"/>
      <c r="CV149" s="47"/>
      <c r="CW149" s="47"/>
      <c r="CX149" s="47"/>
      <c r="CY149" s="47"/>
      <c r="CZ149" s="47"/>
      <c r="DA149" s="47"/>
      <c r="DB149" s="47"/>
      <c r="DC149" s="47"/>
      <c r="DD149" s="47"/>
      <c r="DE149" s="47"/>
      <c r="DF149" s="47"/>
      <c r="DG149" s="47"/>
      <c r="DH149" s="47"/>
      <c r="DI149" s="47"/>
      <c r="DJ149" s="47"/>
      <c r="DK149" s="47"/>
      <c r="DL149" s="47"/>
      <c r="DM149" s="47"/>
      <c r="DN149" s="47"/>
      <c r="DO149" s="47"/>
      <c r="DP149" s="47"/>
      <c r="DQ149" s="47"/>
      <c r="DR149" s="47"/>
      <c r="DS149" s="47"/>
      <c r="DT149" s="47"/>
      <c r="DU149" s="47"/>
      <c r="DV149" s="47"/>
      <c r="DW149" s="47"/>
      <c r="DX149" s="47"/>
      <c r="DY149" s="47"/>
      <c r="DZ149" s="47"/>
      <c r="EA149" s="47"/>
      <c r="EB149" s="47"/>
      <c r="EC149" s="47"/>
      <c r="ED149" s="47"/>
      <c r="EE149" s="47"/>
      <c r="EF149" s="47"/>
      <c r="EG149" s="47"/>
      <c r="EH149" s="47"/>
      <c r="EI149" s="47"/>
      <c r="EJ149" s="47"/>
      <c r="EK149" s="47"/>
      <c r="EL149" s="47"/>
      <c r="EM149" s="47"/>
      <c r="EN149" s="47"/>
      <c r="EO149" s="47"/>
      <c r="EP149" s="47"/>
      <c r="EQ149" s="47"/>
      <c r="ER149" s="47"/>
      <c r="ES149" s="47"/>
      <c r="ET149" s="47"/>
      <c r="EU149" s="47"/>
      <c r="EV149" s="47"/>
      <c r="EW149" s="47"/>
      <c r="EX149" s="47"/>
      <c r="EY149" s="47"/>
      <c r="EZ149" s="47"/>
      <c r="FA149" s="47"/>
      <c r="FB149" s="47"/>
      <c r="FC149" s="47"/>
      <c r="FD149" s="47"/>
      <c r="FE149" s="47"/>
      <c r="FF149" s="47"/>
      <c r="FG149" s="47"/>
      <c r="FH149" s="47"/>
      <c r="FI149" s="47"/>
      <c r="FJ149" s="47"/>
      <c r="FK149" s="47"/>
      <c r="FL149" s="47"/>
      <c r="FM149" s="47"/>
      <c r="FN149" s="47"/>
      <c r="FO149" s="47"/>
      <c r="FP149" s="47"/>
      <c r="FQ149" s="47"/>
      <c r="FR149" s="47"/>
      <c r="FS149" s="47"/>
      <c r="FT149" s="47"/>
      <c r="FU149" s="47"/>
      <c r="FV149" s="47"/>
      <c r="FW149" s="47"/>
      <c r="FX149" s="47"/>
      <c r="FY149" s="47"/>
      <c r="FZ149" s="47"/>
      <c r="GA149" s="47"/>
      <c r="GB149" s="47"/>
      <c r="GC149" s="47"/>
      <c r="GD149" s="47"/>
      <c r="GE149" s="47"/>
      <c r="GF149" s="47"/>
      <c r="GG149" s="47"/>
      <c r="GH149" s="47"/>
      <c r="GI149" s="47"/>
      <c r="GJ149" s="47"/>
      <c r="GK149" s="47"/>
      <c r="GL149" s="47"/>
      <c r="GM149" s="47"/>
      <c r="GN149" s="47"/>
      <c r="GO149" s="47"/>
      <c r="GP149" s="47"/>
      <c r="GQ149" s="47"/>
      <c r="GR149" s="47"/>
      <c r="GS149" s="47"/>
      <c r="GT149" s="47"/>
      <c r="GU149" s="47"/>
      <c r="GV149" s="47"/>
      <c r="GW149" s="47"/>
      <c r="GX149" s="47"/>
      <c r="GY149" s="47"/>
      <c r="GZ149" s="47"/>
      <c r="HA149" s="47"/>
      <c r="HB149" s="47"/>
      <c r="HC149" s="47"/>
      <c r="HD149" s="47"/>
      <c r="HE149" s="47"/>
      <c r="HF149" s="47"/>
      <c r="HG149" s="47"/>
      <c r="HH149" s="47"/>
      <c r="HI149" s="47"/>
      <c r="HJ149" s="47"/>
      <c r="HK149" s="47"/>
      <c r="HL149" s="47"/>
      <c r="HM149" s="47"/>
      <c r="HN149" s="47"/>
      <c r="HO149" s="47"/>
      <c r="HP149" s="47"/>
      <c r="HQ149" s="47"/>
      <c r="HR149" s="47"/>
      <c r="HS149" s="47"/>
      <c r="HT149" s="47"/>
      <c r="HU149" s="47"/>
      <c r="HV149" s="47"/>
      <c r="HW149" s="47"/>
      <c r="HX149" s="47"/>
      <c r="HY149" s="47"/>
      <c r="HZ149" s="47"/>
      <c r="IA149" s="47"/>
      <c r="IB149" s="47"/>
      <c r="IC149" s="47"/>
      <c r="ID149" s="47"/>
      <c r="IE149" s="47"/>
      <c r="IF149" s="47"/>
      <c r="IG149" s="47"/>
      <c r="IH149" s="47"/>
      <c r="II149" s="47"/>
      <c r="IJ149" s="47"/>
      <c r="IK149" s="47"/>
      <c r="IL149" s="47"/>
      <c r="IM149" s="47"/>
      <c r="IN149" s="47"/>
      <c r="IO149" s="47"/>
      <c r="IP149" s="47"/>
      <c r="IQ149" s="47"/>
      <c r="IR149" s="47"/>
      <c r="IS149" s="47"/>
      <c r="IT149" s="47"/>
      <c r="IU149" s="47"/>
      <c r="IV149" s="47"/>
      <c r="IW149" s="1"/>
      <c r="IX149" s="1"/>
      <c r="IY149" s="1"/>
      <c r="IZ149" s="1"/>
      <c r="JA149" s="1"/>
      <c r="JB149" s="1"/>
      <c r="JC149" s="1"/>
      <c r="JD149" s="1"/>
      <c r="JE149" s="1"/>
      <c r="JF149" s="1"/>
      <c r="JG149" s="1"/>
      <c r="JH149" s="1"/>
      <c r="JI149" s="1"/>
      <c r="JJ149" s="1"/>
      <c r="JK149" s="1"/>
      <c r="JL149" s="1"/>
      <c r="JM149" s="1"/>
      <c r="JN149" s="1"/>
      <c r="JO149" s="1"/>
      <c r="JP149" s="1"/>
      <c r="JQ149" s="1"/>
      <c r="JR149" s="1"/>
      <c r="JS149" s="1"/>
      <c r="JT149" s="1"/>
      <c r="JU149" s="1"/>
      <c r="JV149" s="1"/>
      <c r="JW149" s="1"/>
      <c r="JX149" s="1"/>
      <c r="JY149" s="1"/>
      <c r="JZ149" s="1"/>
      <c r="KA149" s="1"/>
      <c r="KB149" s="1"/>
      <c r="KC149" s="1"/>
      <c r="KD149" s="1"/>
      <c r="KE149" s="1"/>
      <c r="KF149" s="1"/>
      <c r="KG149" s="1"/>
      <c r="KH149" s="1"/>
      <c r="KI149" s="1"/>
      <c r="KJ149" s="1"/>
      <c r="KK149" s="1"/>
      <c r="KL149" s="1"/>
      <c r="KM149" s="1"/>
      <c r="KN149" s="1"/>
      <c r="KO149" s="1"/>
      <c r="KP149" s="1"/>
      <c r="KQ149" s="1"/>
      <c r="KR149" s="1"/>
      <c r="KS149" s="1"/>
      <c r="KT149" s="1"/>
      <c r="KU149" s="1"/>
      <c r="KV149" s="1"/>
      <c r="KW149" s="1"/>
      <c r="KX149" s="1"/>
      <c r="KY149" s="1"/>
      <c r="KZ149" s="1"/>
      <c r="LA149" s="1"/>
      <c r="LB149" s="1"/>
      <c r="LC149" s="1"/>
      <c r="LD149" s="1"/>
      <c r="LE149" s="1"/>
      <c r="LF149" s="1"/>
      <c r="LG149" s="1"/>
      <c r="LH149" s="1"/>
      <c r="LI149" s="1"/>
      <c r="LJ149" s="1"/>
      <c r="LK149" s="1"/>
      <c r="LL149" s="1"/>
      <c r="LM149" s="1"/>
      <c r="LN149" s="1"/>
      <c r="LO149" s="1"/>
      <c r="LP149" s="1"/>
      <c r="LQ149" s="1"/>
      <c r="LR149" s="1"/>
      <c r="LS149" s="1"/>
      <c r="LT149" s="1"/>
      <c r="LU149" s="1"/>
      <c r="LV149" s="1"/>
      <c r="LW149" s="1"/>
      <c r="LX149" s="1"/>
      <c r="LY149" s="1"/>
      <c r="LZ149" s="1"/>
      <c r="MA149" s="1"/>
      <c r="MB149" s="1"/>
      <c r="MC149" s="1"/>
      <c r="MD149" s="1"/>
      <c r="ME149" s="1"/>
      <c r="MF149" s="1"/>
      <c r="MG149" s="1"/>
      <c r="MH149" s="1"/>
      <c r="MI149" s="1"/>
      <c r="MJ149" s="1"/>
      <c r="MK149" s="1"/>
      <c r="ML149" s="1"/>
      <c r="MM149" s="1"/>
      <c r="MN149" s="1"/>
      <c r="MO149" s="1"/>
      <c r="MP149" s="1"/>
      <c r="MQ149" s="1"/>
      <c r="MR149" s="1"/>
      <c r="MS149" s="1"/>
      <c r="MT149" s="1"/>
      <c r="MU149" s="1"/>
      <c r="MV149" s="1"/>
      <c r="MW149" s="1"/>
      <c r="MX149" s="1"/>
      <c r="MY149" s="1"/>
      <c r="MZ149" s="1"/>
      <c r="NA149" s="1"/>
      <c r="NB149" s="1"/>
      <c r="ND149" s="1"/>
      <c r="NE149" s="1"/>
      <c r="NF149" s="1"/>
      <c r="NG149" s="1"/>
      <c r="NH149" s="1"/>
    </row>
    <row r="150" spans="1:372" ht="12.75" customHeight="1" x14ac:dyDescent="0.3">
      <c r="A150" s="59"/>
      <c r="B150" s="61"/>
      <c r="C150" s="61"/>
      <c r="D150" s="61"/>
      <c r="E150" s="47"/>
      <c r="F150" s="47"/>
      <c r="G150" s="47"/>
      <c r="H150" s="47"/>
      <c r="I150" s="47"/>
      <c r="J150" s="47"/>
      <c r="K150" s="47"/>
      <c r="L150" s="47"/>
      <c r="M150" s="47"/>
      <c r="N150" s="47"/>
      <c r="O150" s="47"/>
      <c r="P150" s="47"/>
      <c r="Q150" s="47"/>
      <c r="R150" s="47"/>
      <c r="S150" s="47"/>
      <c r="T150" s="47"/>
      <c r="U150" s="47"/>
      <c r="V150" s="47"/>
      <c r="W150" s="47"/>
      <c r="X150" s="47"/>
      <c r="Y150" s="47"/>
      <c r="Z150" s="47"/>
      <c r="AA150" s="47"/>
      <c r="AB150" s="47"/>
      <c r="AC150" s="47"/>
      <c r="AD150" s="47"/>
      <c r="AE150" s="47"/>
      <c r="AF150" s="47"/>
      <c r="AG150" s="47"/>
      <c r="AH150" s="47"/>
      <c r="AI150" s="47"/>
      <c r="AJ150" s="47"/>
      <c r="AK150" s="47"/>
      <c r="AL150" s="47"/>
      <c r="AM150" s="47"/>
      <c r="AN150" s="47"/>
      <c r="AO150" s="47"/>
      <c r="AP150" s="47"/>
      <c r="AQ150" s="47"/>
      <c r="AR150" s="47"/>
      <c r="AS150" s="47"/>
      <c r="AT150" s="47"/>
      <c r="AU150" s="47"/>
      <c r="AV150" s="47"/>
      <c r="AW150" s="47"/>
      <c r="AX150" s="47"/>
      <c r="AY150" s="47"/>
      <c r="AZ150" s="47"/>
      <c r="BA150" s="47"/>
      <c r="BB150" s="47"/>
      <c r="BC150" s="47"/>
      <c r="BD150" s="47"/>
      <c r="BE150" s="47"/>
      <c r="BF150" s="47"/>
      <c r="BG150" s="47"/>
      <c r="BH150" s="47"/>
      <c r="BI150" s="47"/>
      <c r="BJ150" s="47"/>
      <c r="BK150" s="47"/>
      <c r="BL150" s="47"/>
      <c r="BM150" s="47"/>
      <c r="BN150" s="47"/>
      <c r="BO150" s="47"/>
      <c r="BP150" s="47"/>
      <c r="BQ150" s="47"/>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c r="CO150" s="47"/>
      <c r="CP150" s="47"/>
      <c r="CQ150" s="47"/>
      <c r="CR150" s="47"/>
      <c r="CS150" s="47"/>
      <c r="CT150" s="47"/>
      <c r="CU150" s="47"/>
      <c r="CV150" s="47"/>
      <c r="CW150" s="47"/>
      <c r="CX150" s="47"/>
      <c r="CY150" s="47"/>
      <c r="CZ150" s="47"/>
      <c r="DA150" s="47"/>
      <c r="DB150" s="47"/>
      <c r="DC150" s="47"/>
      <c r="DD150" s="47"/>
      <c r="DE150" s="47"/>
      <c r="DF150" s="47"/>
      <c r="DG150" s="47"/>
      <c r="DH150" s="47"/>
      <c r="DI150" s="47"/>
      <c r="DJ150" s="47"/>
      <c r="DK150" s="47"/>
      <c r="DL150" s="47"/>
      <c r="DM150" s="47"/>
      <c r="DN150" s="47"/>
      <c r="DO150" s="47"/>
      <c r="DP150" s="47"/>
      <c r="DQ150" s="47"/>
      <c r="DR150" s="47"/>
      <c r="DS150" s="47"/>
      <c r="DT150" s="47"/>
      <c r="DU150" s="47"/>
      <c r="DV150" s="47"/>
      <c r="DW150" s="47"/>
      <c r="DX150" s="47"/>
      <c r="DY150" s="47"/>
      <c r="DZ150" s="47"/>
      <c r="EA150" s="47"/>
      <c r="EB150" s="47"/>
      <c r="EC150" s="47"/>
      <c r="ED150" s="47"/>
      <c r="EE150" s="47"/>
      <c r="EF150" s="47"/>
      <c r="EG150" s="47"/>
      <c r="EH150" s="47"/>
      <c r="EI150" s="47"/>
      <c r="EJ150" s="47"/>
      <c r="EK150" s="47"/>
      <c r="EL150" s="47"/>
      <c r="EM150" s="47"/>
      <c r="EN150" s="47"/>
      <c r="EO150" s="47"/>
      <c r="EP150" s="47"/>
      <c r="EQ150" s="47"/>
      <c r="ER150" s="47"/>
      <c r="ES150" s="47"/>
      <c r="ET150" s="47"/>
      <c r="EU150" s="47"/>
      <c r="EV150" s="47"/>
      <c r="EW150" s="47"/>
      <c r="EX150" s="47"/>
      <c r="EY150" s="47"/>
      <c r="EZ150" s="47"/>
      <c r="FA150" s="47"/>
      <c r="FB150" s="47"/>
      <c r="FC150" s="47"/>
      <c r="FD150" s="47"/>
      <c r="FE150" s="47"/>
      <c r="FF150" s="47"/>
      <c r="FG150" s="47"/>
      <c r="FH150" s="47"/>
      <c r="FI150" s="47"/>
      <c r="FJ150" s="47"/>
      <c r="FK150" s="47"/>
      <c r="FL150" s="47"/>
      <c r="FM150" s="47"/>
      <c r="FN150" s="47"/>
      <c r="FO150" s="47"/>
      <c r="FP150" s="47"/>
      <c r="FQ150" s="47"/>
      <c r="FR150" s="47"/>
      <c r="FS150" s="47"/>
      <c r="FT150" s="47"/>
      <c r="FU150" s="47"/>
      <c r="FV150" s="47"/>
      <c r="FW150" s="47"/>
      <c r="FX150" s="47"/>
      <c r="FY150" s="47"/>
      <c r="FZ150" s="47"/>
      <c r="GA150" s="47"/>
      <c r="GB150" s="47"/>
      <c r="GC150" s="47"/>
      <c r="GD150" s="47"/>
      <c r="GE150" s="47"/>
      <c r="GF150" s="47"/>
      <c r="GG150" s="47"/>
      <c r="GH150" s="47"/>
      <c r="GI150" s="47"/>
      <c r="GJ150" s="47"/>
      <c r="GK150" s="47"/>
      <c r="GL150" s="47"/>
      <c r="GM150" s="47"/>
      <c r="GN150" s="47"/>
      <c r="GO150" s="47"/>
      <c r="GP150" s="47"/>
      <c r="GQ150" s="47"/>
      <c r="GR150" s="47"/>
      <c r="GS150" s="47"/>
      <c r="GT150" s="47"/>
      <c r="GU150" s="47"/>
      <c r="GV150" s="47"/>
      <c r="GW150" s="47"/>
      <c r="GX150" s="47"/>
      <c r="GY150" s="47"/>
      <c r="GZ150" s="47"/>
      <c r="HA150" s="47"/>
      <c r="HB150" s="47"/>
      <c r="HC150" s="47"/>
      <c r="HD150" s="47"/>
      <c r="HE150" s="47"/>
      <c r="HF150" s="47"/>
      <c r="HG150" s="47"/>
      <c r="HH150" s="47"/>
      <c r="HI150" s="47"/>
      <c r="HJ150" s="47"/>
      <c r="HK150" s="47"/>
      <c r="HL150" s="47"/>
      <c r="HM150" s="47"/>
      <c r="HN150" s="47"/>
      <c r="HO150" s="47"/>
      <c r="HP150" s="47"/>
      <c r="HQ150" s="47"/>
      <c r="HR150" s="47"/>
      <c r="HS150" s="47"/>
      <c r="HT150" s="47"/>
      <c r="HU150" s="47"/>
      <c r="HV150" s="47"/>
      <c r="HW150" s="47"/>
      <c r="HX150" s="47"/>
      <c r="HY150" s="47"/>
      <c r="HZ150" s="47"/>
      <c r="IA150" s="47"/>
      <c r="IB150" s="47"/>
      <c r="IC150" s="47"/>
      <c r="ID150" s="47"/>
      <c r="IE150" s="47"/>
      <c r="IF150" s="47"/>
      <c r="IG150" s="47"/>
      <c r="IH150" s="47"/>
      <c r="II150" s="47"/>
      <c r="IJ150" s="47"/>
      <c r="IK150" s="47"/>
      <c r="IL150" s="47"/>
      <c r="IM150" s="47"/>
      <c r="IN150" s="47"/>
      <c r="IO150" s="47"/>
      <c r="IP150" s="47"/>
      <c r="IQ150" s="47"/>
      <c r="IR150" s="47"/>
      <c r="IS150" s="47"/>
      <c r="IT150" s="47"/>
      <c r="IU150" s="47"/>
      <c r="IV150" s="47"/>
      <c r="IW150" s="1"/>
      <c r="IX150" s="1"/>
      <c r="IY150" s="1"/>
      <c r="IZ150" s="1"/>
      <c r="JA150" s="1"/>
      <c r="JB150" s="1"/>
      <c r="JC150" s="1"/>
      <c r="JD150" s="1"/>
      <c r="JE150" s="1"/>
      <c r="JF150" s="1"/>
      <c r="JG150" s="1"/>
      <c r="JH150" s="1"/>
      <c r="JI150" s="1"/>
      <c r="JJ150" s="1"/>
      <c r="JK150" s="1"/>
      <c r="JL150" s="1"/>
      <c r="JM150" s="1"/>
      <c r="JN150" s="1"/>
      <c r="JO150" s="1"/>
      <c r="JP150" s="1"/>
      <c r="JQ150" s="1"/>
      <c r="JR150" s="1"/>
      <c r="JS150" s="1"/>
      <c r="JT150" s="1"/>
      <c r="JU150" s="1"/>
      <c r="JV150" s="1"/>
      <c r="JW150" s="1"/>
      <c r="JX150" s="1"/>
      <c r="JY150" s="1"/>
      <c r="JZ150" s="1"/>
      <c r="KA150" s="1"/>
      <c r="KB150" s="1"/>
      <c r="KC150" s="1"/>
      <c r="KD150" s="1"/>
      <c r="KE150" s="1"/>
      <c r="KF150" s="1"/>
      <c r="KG150" s="1"/>
      <c r="KH150" s="1"/>
      <c r="KI150" s="1"/>
      <c r="KJ150" s="1"/>
      <c r="KK150" s="1"/>
      <c r="KL150" s="1"/>
      <c r="KM150" s="1"/>
      <c r="KN150" s="1"/>
      <c r="KO150" s="1"/>
      <c r="KP150" s="1"/>
      <c r="KQ150" s="1"/>
      <c r="KR150" s="1"/>
      <c r="KS150" s="1"/>
      <c r="KT150" s="1"/>
      <c r="KU150" s="1"/>
      <c r="KV150" s="1"/>
      <c r="KW150" s="1"/>
      <c r="KX150" s="1"/>
      <c r="KY150" s="1"/>
      <c r="KZ150" s="1"/>
      <c r="LA150" s="1"/>
      <c r="LB150" s="1"/>
      <c r="LC150" s="1"/>
      <c r="LD150" s="1"/>
      <c r="LE150" s="1"/>
      <c r="LF150" s="1"/>
      <c r="LG150" s="1"/>
      <c r="LH150" s="1"/>
      <c r="LI150" s="1"/>
      <c r="LJ150" s="1"/>
      <c r="LK150" s="1"/>
      <c r="LL150" s="1"/>
      <c r="LM150" s="1"/>
      <c r="LN150" s="1"/>
      <c r="LO150" s="1"/>
      <c r="LP150" s="1"/>
      <c r="LQ150" s="1"/>
      <c r="LR150" s="1"/>
      <c r="LS150" s="1"/>
      <c r="LT150" s="1"/>
      <c r="LU150" s="1"/>
      <c r="LV150" s="1"/>
      <c r="LW150" s="1"/>
      <c r="LX150" s="1"/>
      <c r="LY150" s="1"/>
      <c r="LZ150" s="1"/>
      <c r="MA150" s="1"/>
      <c r="MB150" s="1"/>
      <c r="MC150" s="1"/>
      <c r="MD150" s="1"/>
      <c r="ME150" s="1"/>
      <c r="MF150" s="1"/>
      <c r="MG150" s="1"/>
      <c r="MH150" s="1"/>
      <c r="MI150" s="1"/>
      <c r="MJ150" s="1"/>
      <c r="MK150" s="1"/>
      <c r="ML150" s="1"/>
      <c r="MM150" s="1"/>
      <c r="MN150" s="1"/>
      <c r="MO150" s="1"/>
      <c r="MP150" s="1"/>
      <c r="MQ150" s="1"/>
      <c r="MR150" s="1"/>
      <c r="MS150" s="1"/>
      <c r="MT150" s="1"/>
      <c r="MU150" s="1"/>
      <c r="MV150" s="1"/>
      <c r="MW150" s="1"/>
      <c r="MX150" s="1"/>
      <c r="MY150" s="1"/>
      <c r="MZ150" s="1"/>
      <c r="NA150" s="1"/>
      <c r="NB150" s="1"/>
      <c r="ND150" s="1"/>
      <c r="NE150" s="1"/>
      <c r="NF150" s="1"/>
      <c r="NG150" s="1"/>
      <c r="NH150" s="1"/>
    </row>
    <row r="151" spans="1:372" ht="12.75" customHeight="1" x14ac:dyDescent="0.3">
      <c r="A151" s="59"/>
      <c r="B151" s="61"/>
      <c r="C151" s="61"/>
      <c r="D151" s="61"/>
      <c r="E151" s="47"/>
      <c r="F151" s="47"/>
      <c r="G151" s="47"/>
      <c r="H151" s="47"/>
      <c r="I151" s="47"/>
      <c r="J151" s="47"/>
      <c r="K151" s="47"/>
      <c r="L151" s="47"/>
      <c r="M151" s="47"/>
      <c r="N151" s="47"/>
      <c r="O151" s="47"/>
      <c r="P151" s="47"/>
      <c r="Q151" s="47"/>
      <c r="R151" s="47"/>
      <c r="S151" s="47"/>
      <c r="T151" s="47"/>
      <c r="U151" s="47"/>
      <c r="V151" s="47"/>
      <c r="W151" s="47"/>
      <c r="X151" s="47"/>
      <c r="Y151" s="47"/>
      <c r="Z151" s="47"/>
      <c r="AA151" s="47"/>
      <c r="AB151" s="47"/>
      <c r="AC151" s="47"/>
      <c r="AD151" s="47"/>
      <c r="AE151" s="47"/>
      <c r="AF151" s="47"/>
      <c r="AG151" s="47"/>
      <c r="AH151" s="47"/>
      <c r="AI151" s="47"/>
      <c r="AJ151" s="47"/>
      <c r="AK151" s="47"/>
      <c r="AL151" s="47"/>
      <c r="AM151" s="47"/>
      <c r="AN151" s="47"/>
      <c r="AO151" s="47"/>
      <c r="AP151" s="47"/>
      <c r="AQ151" s="47"/>
      <c r="AR151" s="47"/>
      <c r="AS151" s="47"/>
      <c r="AT151" s="47"/>
      <c r="AU151" s="47"/>
      <c r="AV151" s="47"/>
      <c r="AW151" s="47"/>
      <c r="AX151" s="47"/>
      <c r="AY151" s="47"/>
      <c r="AZ151" s="47"/>
      <c r="BA151" s="47"/>
      <c r="BB151" s="47"/>
      <c r="BC151" s="47"/>
      <c r="BD151" s="47"/>
      <c r="BE151" s="47"/>
      <c r="BF151" s="47"/>
      <c r="BG151" s="47"/>
      <c r="BH151" s="47"/>
      <c r="BI151" s="47"/>
      <c r="BJ151" s="47"/>
      <c r="BK151" s="47"/>
      <c r="BL151" s="47"/>
      <c r="BM151" s="47"/>
      <c r="BN151" s="47"/>
      <c r="BO151" s="47"/>
      <c r="BP151" s="47"/>
      <c r="BQ151" s="47"/>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c r="CO151" s="47"/>
      <c r="CP151" s="47"/>
      <c r="CQ151" s="47"/>
      <c r="CR151" s="47"/>
      <c r="CS151" s="47"/>
      <c r="CT151" s="47"/>
      <c r="CU151" s="47"/>
      <c r="CV151" s="47"/>
      <c r="CW151" s="47"/>
      <c r="CX151" s="47"/>
      <c r="CY151" s="47"/>
      <c r="CZ151" s="47"/>
      <c r="DA151" s="47"/>
      <c r="DB151" s="47"/>
      <c r="DC151" s="47"/>
      <c r="DD151" s="47"/>
      <c r="DE151" s="47"/>
      <c r="DF151" s="47"/>
      <c r="DG151" s="47"/>
      <c r="DH151" s="47"/>
      <c r="DI151" s="47"/>
      <c r="DJ151" s="47"/>
      <c r="DK151" s="47"/>
      <c r="DL151" s="47"/>
      <c r="DM151" s="47"/>
      <c r="DN151" s="47"/>
      <c r="DO151" s="47"/>
      <c r="DP151" s="47"/>
      <c r="DQ151" s="47"/>
      <c r="DR151" s="47"/>
      <c r="DS151" s="47"/>
      <c r="DT151" s="47"/>
      <c r="DU151" s="47"/>
      <c r="DV151" s="47"/>
      <c r="DW151" s="47"/>
      <c r="DX151" s="47"/>
      <c r="DY151" s="47"/>
      <c r="DZ151" s="47"/>
      <c r="EA151" s="47"/>
      <c r="EB151" s="47"/>
      <c r="EC151" s="47"/>
      <c r="ED151" s="47"/>
      <c r="EE151" s="47"/>
      <c r="EF151" s="47"/>
      <c r="EG151" s="47"/>
      <c r="EH151" s="47"/>
      <c r="EI151" s="47"/>
      <c r="EJ151" s="47"/>
      <c r="EK151" s="47"/>
      <c r="EL151" s="47"/>
      <c r="EM151" s="47"/>
      <c r="EN151" s="47"/>
      <c r="EO151" s="47"/>
      <c r="EP151" s="47"/>
      <c r="EQ151" s="47"/>
      <c r="ER151" s="47"/>
      <c r="ES151" s="47"/>
      <c r="ET151" s="47"/>
      <c r="EU151" s="47"/>
      <c r="EV151" s="47"/>
      <c r="EW151" s="47"/>
      <c r="EX151" s="47"/>
      <c r="EY151" s="47"/>
      <c r="EZ151" s="47"/>
      <c r="FA151" s="47"/>
      <c r="FB151" s="47"/>
      <c r="FC151" s="47"/>
      <c r="FD151" s="47"/>
      <c r="FE151" s="47"/>
      <c r="FF151" s="47"/>
      <c r="FG151" s="47"/>
      <c r="FH151" s="47"/>
      <c r="FI151" s="47"/>
      <c r="FJ151" s="47"/>
      <c r="FK151" s="47"/>
      <c r="FL151" s="47"/>
      <c r="FM151" s="47"/>
      <c r="FN151" s="47"/>
      <c r="FO151" s="47"/>
      <c r="FP151" s="47"/>
      <c r="FQ151" s="47"/>
      <c r="FR151" s="47"/>
      <c r="FS151" s="47"/>
      <c r="FT151" s="47"/>
      <c r="FU151" s="47"/>
      <c r="FV151" s="47"/>
      <c r="FW151" s="47"/>
      <c r="FX151" s="47"/>
      <c r="FY151" s="47"/>
      <c r="FZ151" s="47"/>
      <c r="GA151" s="47"/>
      <c r="GB151" s="47"/>
      <c r="GC151" s="47"/>
      <c r="GD151" s="47"/>
      <c r="GE151" s="47"/>
      <c r="GF151" s="47"/>
      <c r="GG151" s="47"/>
      <c r="GH151" s="47"/>
      <c r="GI151" s="47"/>
      <c r="GJ151" s="47"/>
      <c r="GK151" s="47"/>
      <c r="GL151" s="47"/>
      <c r="GM151" s="47"/>
      <c r="GN151" s="47"/>
      <c r="GO151" s="47"/>
      <c r="GP151" s="47"/>
      <c r="GQ151" s="47"/>
      <c r="GR151" s="47"/>
      <c r="GS151" s="47"/>
      <c r="GT151" s="47"/>
      <c r="GU151" s="47"/>
      <c r="GV151" s="47"/>
      <c r="GW151" s="47"/>
      <c r="GX151" s="47"/>
      <c r="GY151" s="47"/>
      <c r="GZ151" s="47"/>
      <c r="HA151" s="47"/>
      <c r="HB151" s="47"/>
      <c r="HC151" s="47"/>
      <c r="HD151" s="47"/>
      <c r="HE151" s="47"/>
      <c r="HF151" s="47"/>
      <c r="HG151" s="47"/>
      <c r="HH151" s="47"/>
      <c r="HI151" s="47"/>
      <c r="HJ151" s="47"/>
      <c r="HK151" s="47"/>
      <c r="HL151" s="47"/>
      <c r="HM151" s="47"/>
      <c r="HN151" s="47"/>
      <c r="HO151" s="47"/>
      <c r="HP151" s="47"/>
      <c r="HQ151" s="47"/>
      <c r="HR151" s="47"/>
      <c r="HS151" s="47"/>
      <c r="HT151" s="47"/>
      <c r="HU151" s="47"/>
      <c r="HV151" s="47"/>
      <c r="HW151" s="47"/>
      <c r="HX151" s="47"/>
      <c r="HY151" s="47"/>
      <c r="HZ151" s="47"/>
      <c r="IA151" s="47"/>
      <c r="IB151" s="47"/>
      <c r="IC151" s="47"/>
      <c r="ID151" s="47"/>
      <c r="IE151" s="47"/>
      <c r="IF151" s="47"/>
      <c r="IG151" s="47"/>
      <c r="IH151" s="47"/>
      <c r="II151" s="47"/>
      <c r="IJ151" s="47"/>
      <c r="IK151" s="47"/>
      <c r="IL151" s="47"/>
      <c r="IM151" s="47"/>
      <c r="IN151" s="47"/>
      <c r="IO151" s="47"/>
      <c r="IP151" s="47"/>
      <c r="IQ151" s="47"/>
      <c r="IR151" s="47"/>
      <c r="IS151" s="47"/>
      <c r="IT151" s="47"/>
      <c r="IU151" s="47"/>
      <c r="IV151" s="47"/>
      <c r="IW151" s="1"/>
      <c r="IX151" s="1"/>
      <c r="IY151" s="1"/>
      <c r="IZ151" s="1"/>
      <c r="JA151" s="1"/>
      <c r="JB151" s="1"/>
      <c r="JC151" s="1"/>
      <c r="JD151" s="1"/>
      <c r="JE151" s="1"/>
      <c r="JF151" s="1"/>
      <c r="JG151" s="1"/>
      <c r="JH151" s="1"/>
      <c r="JI151" s="1"/>
      <c r="JJ151" s="1"/>
      <c r="JK151" s="1"/>
      <c r="JL151" s="1"/>
      <c r="JM151" s="1"/>
      <c r="JN151" s="1"/>
      <c r="JO151" s="1"/>
      <c r="JP151" s="1"/>
      <c r="JQ151" s="1"/>
      <c r="JR151" s="1"/>
      <c r="JS151" s="1"/>
      <c r="JT151" s="1"/>
      <c r="JU151" s="1"/>
      <c r="JV151" s="1"/>
      <c r="JW151" s="1"/>
      <c r="JX151" s="1"/>
      <c r="JY151" s="1"/>
      <c r="JZ151" s="1"/>
      <c r="KA151" s="1"/>
      <c r="KB151" s="1"/>
      <c r="KC151" s="1"/>
      <c r="KD151" s="1"/>
      <c r="KE151" s="1"/>
      <c r="KF151" s="1"/>
      <c r="KG151" s="1"/>
      <c r="KH151" s="1"/>
      <c r="KI151" s="1"/>
      <c r="KJ151" s="1"/>
      <c r="KK151" s="1"/>
      <c r="KL151" s="1"/>
      <c r="KM151" s="1"/>
      <c r="KN151" s="1"/>
      <c r="KO151" s="1"/>
      <c r="KP151" s="1"/>
      <c r="KQ151" s="1"/>
      <c r="KR151" s="1"/>
      <c r="KS151" s="1"/>
      <c r="KT151" s="1"/>
      <c r="KU151" s="1"/>
      <c r="KV151" s="1"/>
      <c r="KW151" s="1"/>
      <c r="KX151" s="1"/>
      <c r="KY151" s="1"/>
      <c r="KZ151" s="1"/>
      <c r="LA151" s="1"/>
      <c r="LB151" s="1"/>
      <c r="LC151" s="1"/>
      <c r="LD151" s="1"/>
      <c r="LE151" s="1"/>
      <c r="LF151" s="1"/>
      <c r="LG151" s="1"/>
      <c r="LH151" s="1"/>
      <c r="LI151" s="1"/>
      <c r="LJ151" s="1"/>
      <c r="LK151" s="1"/>
      <c r="LL151" s="1"/>
      <c r="LM151" s="1"/>
      <c r="LN151" s="1"/>
      <c r="LO151" s="1"/>
      <c r="LP151" s="1"/>
      <c r="LQ151" s="1"/>
      <c r="LR151" s="1"/>
      <c r="LS151" s="1"/>
      <c r="LT151" s="1"/>
      <c r="LU151" s="1"/>
      <c r="LV151" s="1"/>
      <c r="LW151" s="1"/>
      <c r="LX151" s="1"/>
      <c r="LY151" s="1"/>
      <c r="LZ151" s="1"/>
      <c r="MA151" s="1"/>
      <c r="MB151" s="1"/>
      <c r="MC151" s="1"/>
      <c r="MD151" s="1"/>
      <c r="ME151" s="1"/>
      <c r="MF151" s="1"/>
      <c r="MG151" s="1"/>
      <c r="MH151" s="1"/>
      <c r="MI151" s="1"/>
      <c r="MJ151" s="1"/>
      <c r="MK151" s="1"/>
      <c r="ML151" s="1"/>
      <c r="MM151" s="1"/>
      <c r="MN151" s="1"/>
      <c r="MO151" s="1"/>
      <c r="MP151" s="1"/>
      <c r="MQ151" s="1"/>
      <c r="MR151" s="1"/>
      <c r="MS151" s="1"/>
      <c r="MT151" s="1"/>
      <c r="MU151" s="1"/>
      <c r="MV151" s="1"/>
      <c r="MW151" s="1"/>
      <c r="MX151" s="1"/>
      <c r="MY151" s="1"/>
      <c r="MZ151" s="1"/>
      <c r="NA151" s="1"/>
      <c r="NB151" s="1"/>
      <c r="ND151" s="1"/>
      <c r="NE151" s="1"/>
      <c r="NF151" s="1"/>
      <c r="NG151" s="1"/>
      <c r="NH151" s="1"/>
    </row>
    <row r="152" spans="1:372" ht="12.75" customHeight="1" x14ac:dyDescent="0.3">
      <c r="A152" s="59"/>
      <c r="B152" s="61"/>
      <c r="C152" s="61"/>
      <c r="D152" s="61"/>
      <c r="E152" s="47"/>
      <c r="F152" s="47"/>
      <c r="G152" s="47"/>
      <c r="H152" s="47"/>
      <c r="I152" s="47"/>
      <c r="J152" s="47"/>
      <c r="K152" s="47"/>
      <c r="L152" s="47"/>
      <c r="M152" s="47"/>
      <c r="N152" s="47"/>
      <c r="O152" s="47"/>
      <c r="P152" s="47"/>
      <c r="Q152" s="47"/>
      <c r="R152" s="47"/>
      <c r="S152" s="47"/>
      <c r="T152" s="47"/>
      <c r="U152" s="47"/>
      <c r="V152" s="47"/>
      <c r="W152" s="47"/>
      <c r="X152" s="47"/>
      <c r="Y152" s="47"/>
      <c r="Z152" s="47"/>
      <c r="AA152" s="47"/>
      <c r="AB152" s="47"/>
      <c r="AC152" s="47"/>
      <c r="AD152" s="47"/>
      <c r="AE152" s="47"/>
      <c r="AF152" s="47"/>
      <c r="AG152" s="47"/>
      <c r="AH152" s="47"/>
      <c r="AI152" s="47"/>
      <c r="AJ152" s="47"/>
      <c r="AK152" s="47"/>
      <c r="AL152" s="47"/>
      <c r="AM152" s="47"/>
      <c r="AN152" s="47"/>
      <c r="AO152" s="47"/>
      <c r="AP152" s="47"/>
      <c r="AQ152" s="47"/>
      <c r="AR152" s="47"/>
      <c r="AS152" s="47"/>
      <c r="AT152" s="47"/>
      <c r="AU152" s="47"/>
      <c r="AV152" s="47"/>
      <c r="AW152" s="47"/>
      <c r="AX152" s="47"/>
      <c r="AY152" s="47"/>
      <c r="AZ152" s="47"/>
      <c r="BA152" s="47"/>
      <c r="BB152" s="47"/>
      <c r="BC152" s="47"/>
      <c r="BD152" s="47"/>
      <c r="BE152" s="47"/>
      <c r="BF152" s="47"/>
      <c r="BG152" s="47"/>
      <c r="BH152" s="47"/>
      <c r="BI152" s="47"/>
      <c r="BJ152" s="47"/>
      <c r="BK152" s="47"/>
      <c r="BL152" s="47"/>
      <c r="BM152" s="47"/>
      <c r="BN152" s="47"/>
      <c r="BO152" s="47"/>
      <c r="BP152" s="47"/>
      <c r="BQ152" s="47"/>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c r="CO152" s="47"/>
      <c r="CP152" s="47"/>
      <c r="CQ152" s="47"/>
      <c r="CR152" s="47"/>
      <c r="CS152" s="47"/>
      <c r="CT152" s="47"/>
      <c r="CU152" s="47"/>
      <c r="CV152" s="47"/>
      <c r="CW152" s="47"/>
      <c r="CX152" s="47"/>
      <c r="CY152" s="47"/>
      <c r="CZ152" s="47"/>
      <c r="DA152" s="47"/>
      <c r="DB152" s="47"/>
      <c r="DC152" s="47"/>
      <c r="DD152" s="47"/>
      <c r="DE152" s="47"/>
      <c r="DF152" s="47"/>
      <c r="DG152" s="47"/>
      <c r="DH152" s="47"/>
      <c r="DI152" s="47"/>
      <c r="DJ152" s="47"/>
      <c r="DK152" s="47"/>
      <c r="DL152" s="47"/>
      <c r="DM152" s="47"/>
      <c r="DN152" s="47"/>
      <c r="DO152" s="47"/>
      <c r="DP152" s="47"/>
      <c r="DQ152" s="47"/>
      <c r="DR152" s="47"/>
      <c r="DS152" s="47"/>
      <c r="DT152" s="47"/>
      <c r="DU152" s="47"/>
      <c r="DV152" s="47"/>
      <c r="DW152" s="47"/>
      <c r="DX152" s="47"/>
      <c r="DY152" s="47"/>
      <c r="DZ152" s="47"/>
      <c r="EA152" s="47"/>
      <c r="EB152" s="47"/>
      <c r="EC152" s="47"/>
      <c r="ED152" s="47"/>
      <c r="EE152" s="47"/>
      <c r="EF152" s="47"/>
      <c r="EG152" s="47"/>
      <c r="EH152" s="47"/>
      <c r="EI152" s="47"/>
      <c r="EJ152" s="47"/>
      <c r="EK152" s="47"/>
      <c r="EL152" s="47"/>
      <c r="EM152" s="47"/>
      <c r="EN152" s="47"/>
      <c r="EO152" s="47"/>
      <c r="EP152" s="47"/>
      <c r="EQ152" s="47"/>
      <c r="ER152" s="47"/>
      <c r="ES152" s="47"/>
      <c r="ET152" s="47"/>
      <c r="EU152" s="47"/>
      <c r="EV152" s="47"/>
      <c r="EW152" s="47"/>
      <c r="EX152" s="47"/>
      <c r="EY152" s="47"/>
      <c r="EZ152" s="47"/>
      <c r="FA152" s="47"/>
      <c r="FB152" s="47"/>
      <c r="FC152" s="47"/>
      <c r="FD152" s="47"/>
      <c r="FE152" s="47"/>
      <c r="FF152" s="47"/>
      <c r="FG152" s="47"/>
      <c r="FH152" s="47"/>
      <c r="FI152" s="47"/>
      <c r="FJ152" s="47"/>
      <c r="FK152" s="47"/>
      <c r="FL152" s="47"/>
      <c r="FM152" s="47"/>
      <c r="FN152" s="47"/>
      <c r="FO152" s="47"/>
      <c r="FP152" s="47"/>
      <c r="FQ152" s="47"/>
      <c r="FR152" s="47"/>
      <c r="FS152" s="47"/>
      <c r="FT152" s="47"/>
      <c r="FU152" s="47"/>
      <c r="FV152" s="47"/>
      <c r="FW152" s="47"/>
      <c r="FX152" s="47"/>
      <c r="FY152" s="47"/>
      <c r="FZ152" s="47"/>
      <c r="GA152" s="47"/>
      <c r="GB152" s="47"/>
      <c r="GC152" s="47"/>
      <c r="GD152" s="47"/>
      <c r="GE152" s="47"/>
      <c r="GF152" s="47"/>
      <c r="GG152" s="47"/>
      <c r="GH152" s="47"/>
      <c r="GI152" s="47"/>
      <c r="GJ152" s="47"/>
      <c r="GK152" s="47"/>
      <c r="GL152" s="47"/>
      <c r="GM152" s="47"/>
      <c r="GN152" s="47"/>
      <c r="GO152" s="47"/>
      <c r="GP152" s="47"/>
      <c r="GQ152" s="47"/>
      <c r="GR152" s="47"/>
      <c r="GS152" s="47"/>
      <c r="GT152" s="47"/>
      <c r="GU152" s="47"/>
      <c r="GV152" s="47"/>
      <c r="GW152" s="47"/>
      <c r="GX152" s="47"/>
      <c r="GY152" s="47"/>
      <c r="GZ152" s="47"/>
      <c r="HA152" s="47"/>
      <c r="HB152" s="47"/>
      <c r="HC152" s="47"/>
      <c r="HD152" s="47"/>
      <c r="HE152" s="47"/>
      <c r="HF152" s="47"/>
      <c r="HG152" s="47"/>
      <c r="HH152" s="47"/>
      <c r="HI152" s="47"/>
      <c r="HJ152" s="47"/>
      <c r="HK152" s="47"/>
      <c r="HL152" s="47"/>
      <c r="HM152" s="47"/>
      <c r="HN152" s="47"/>
      <c r="HO152" s="47"/>
      <c r="HP152" s="47"/>
      <c r="HQ152" s="47"/>
      <c r="HR152" s="47"/>
      <c r="HS152" s="47"/>
      <c r="HT152" s="47"/>
      <c r="HU152" s="47"/>
      <c r="HV152" s="47"/>
      <c r="HW152" s="47"/>
      <c r="HX152" s="47"/>
      <c r="HY152" s="47"/>
      <c r="HZ152" s="47"/>
      <c r="IA152" s="47"/>
      <c r="IB152" s="47"/>
      <c r="IC152" s="47"/>
      <c r="ID152" s="47"/>
      <c r="IE152" s="47"/>
      <c r="IF152" s="47"/>
      <c r="IG152" s="47"/>
      <c r="IH152" s="47"/>
      <c r="II152" s="47"/>
      <c r="IJ152" s="47"/>
      <c r="IK152" s="47"/>
      <c r="IL152" s="47"/>
      <c r="IM152" s="47"/>
      <c r="IN152" s="47"/>
      <c r="IO152" s="47"/>
      <c r="IP152" s="47"/>
      <c r="IQ152" s="47"/>
      <c r="IR152" s="47"/>
      <c r="IS152" s="47"/>
      <c r="IT152" s="47"/>
      <c r="IU152" s="47"/>
      <c r="IV152" s="47"/>
      <c r="IW152" s="1"/>
      <c r="IX152" s="1"/>
      <c r="IY152" s="1"/>
      <c r="IZ152" s="1"/>
      <c r="JA152" s="1"/>
      <c r="JB152" s="1"/>
      <c r="JC152" s="1"/>
      <c r="JD152" s="1"/>
      <c r="JE152" s="1"/>
      <c r="JF152" s="1"/>
      <c r="JG152" s="1"/>
      <c r="JH152" s="1"/>
      <c r="JI152" s="1"/>
      <c r="JJ152" s="1"/>
      <c r="JK152" s="1"/>
      <c r="JL152" s="1"/>
      <c r="JM152" s="1"/>
      <c r="JN152" s="1"/>
      <c r="JO152" s="1"/>
      <c r="JP152" s="1"/>
      <c r="JQ152" s="1"/>
      <c r="JR152" s="1"/>
      <c r="JS152" s="1"/>
      <c r="JT152" s="1"/>
      <c r="JU152" s="1"/>
      <c r="JV152" s="1"/>
      <c r="JW152" s="1"/>
      <c r="JX152" s="1"/>
      <c r="JY152" s="1"/>
      <c r="JZ152" s="1"/>
      <c r="KA152" s="1"/>
      <c r="KB152" s="1"/>
      <c r="KC152" s="1"/>
      <c r="KD152" s="1"/>
      <c r="KE152" s="1"/>
      <c r="KF152" s="1"/>
      <c r="KG152" s="1"/>
      <c r="KH152" s="1"/>
      <c r="KI152" s="1"/>
      <c r="KJ152" s="1"/>
      <c r="KK152" s="1"/>
      <c r="KL152" s="1"/>
      <c r="KM152" s="1"/>
      <c r="KN152" s="1"/>
      <c r="KO152" s="1"/>
      <c r="KP152" s="1"/>
      <c r="KQ152" s="1"/>
      <c r="KR152" s="1"/>
      <c r="KS152" s="1"/>
      <c r="KT152" s="1"/>
      <c r="KU152" s="1"/>
      <c r="KV152" s="1"/>
      <c r="KW152" s="1"/>
      <c r="KX152" s="1"/>
      <c r="KY152" s="1"/>
      <c r="KZ152" s="1"/>
      <c r="LA152" s="1"/>
      <c r="LB152" s="1"/>
      <c r="LC152" s="1"/>
      <c r="LD152" s="1"/>
      <c r="LE152" s="1"/>
      <c r="LF152" s="1"/>
      <c r="LG152" s="1"/>
      <c r="LH152" s="1"/>
      <c r="LI152" s="1"/>
      <c r="LJ152" s="1"/>
      <c r="LK152" s="1"/>
      <c r="LL152" s="1"/>
      <c r="LM152" s="1"/>
      <c r="LN152" s="1"/>
      <c r="LO152" s="1"/>
      <c r="LP152" s="1"/>
      <c r="LQ152" s="1"/>
      <c r="LR152" s="1"/>
      <c r="LS152" s="1"/>
      <c r="LT152" s="1"/>
      <c r="LU152" s="1"/>
      <c r="LV152" s="1"/>
      <c r="LW152" s="1"/>
      <c r="LX152" s="1"/>
      <c r="LY152" s="1"/>
      <c r="LZ152" s="1"/>
      <c r="MA152" s="1"/>
      <c r="MB152" s="1"/>
      <c r="MC152" s="1"/>
      <c r="MD152" s="1"/>
      <c r="ME152" s="1"/>
      <c r="MF152" s="1"/>
      <c r="MG152" s="1"/>
      <c r="MH152" s="1"/>
      <c r="MI152" s="1"/>
      <c r="MJ152" s="1"/>
      <c r="MK152" s="1"/>
      <c r="ML152" s="1"/>
      <c r="MM152" s="1"/>
      <c r="MN152" s="1"/>
      <c r="MO152" s="1"/>
      <c r="MP152" s="1"/>
      <c r="MQ152" s="1"/>
      <c r="MR152" s="1"/>
      <c r="MS152" s="1"/>
      <c r="MT152" s="1"/>
      <c r="MU152" s="1"/>
      <c r="MV152" s="1"/>
      <c r="MW152" s="1"/>
      <c r="MX152" s="1"/>
      <c r="MY152" s="1"/>
      <c r="MZ152" s="1"/>
      <c r="NA152" s="1"/>
      <c r="NB152" s="1"/>
      <c r="ND152" s="1"/>
      <c r="NE152" s="1"/>
      <c r="NF152" s="1"/>
      <c r="NG152" s="1"/>
      <c r="NH152" s="1"/>
    </row>
    <row r="153" spans="1:372" ht="12.75" customHeight="1" x14ac:dyDescent="0.3">
      <c r="A153" s="59"/>
      <c r="B153" s="61"/>
      <c r="C153" s="61"/>
      <c r="D153" s="61"/>
      <c r="E153" s="47"/>
      <c r="F153" s="47"/>
      <c r="G153" s="47"/>
      <c r="H153" s="47"/>
      <c r="I153" s="47"/>
      <c r="J153" s="47"/>
      <c r="K153" s="47"/>
      <c r="L153" s="47"/>
      <c r="M153" s="47"/>
      <c r="N153" s="47"/>
      <c r="O153" s="47"/>
      <c r="P153" s="47"/>
      <c r="Q153" s="47"/>
      <c r="R153" s="47"/>
      <c r="S153" s="47"/>
      <c r="T153" s="47"/>
      <c r="U153" s="47"/>
      <c r="V153" s="47"/>
      <c r="W153" s="47"/>
      <c r="X153" s="47"/>
      <c r="Y153" s="47"/>
      <c r="Z153" s="47"/>
      <c r="AA153" s="47"/>
      <c r="AB153" s="47"/>
      <c r="AC153" s="47"/>
      <c r="AD153" s="47"/>
      <c r="AE153" s="47"/>
      <c r="AF153" s="47"/>
      <c r="AG153" s="47"/>
      <c r="AH153" s="47"/>
      <c r="AI153" s="47"/>
      <c r="AJ153" s="47"/>
      <c r="AK153" s="47"/>
      <c r="AL153" s="47"/>
      <c r="AM153" s="47"/>
      <c r="AN153" s="47"/>
      <c r="AO153" s="47"/>
      <c r="AP153" s="47"/>
      <c r="AQ153" s="47"/>
      <c r="AR153" s="47"/>
      <c r="AS153" s="47"/>
      <c r="AT153" s="47"/>
      <c r="AU153" s="47"/>
      <c r="AV153" s="47"/>
      <c r="AW153" s="47"/>
      <c r="AX153" s="47"/>
      <c r="AY153" s="47"/>
      <c r="AZ153" s="47"/>
      <c r="BA153" s="47"/>
      <c r="BB153" s="47"/>
      <c r="BC153" s="47"/>
      <c r="BD153" s="47"/>
      <c r="BE153" s="47"/>
      <c r="BF153" s="47"/>
      <c r="BG153" s="47"/>
      <c r="BH153" s="47"/>
      <c r="BI153" s="47"/>
      <c r="BJ153" s="47"/>
      <c r="BK153" s="47"/>
      <c r="BL153" s="47"/>
      <c r="BM153" s="47"/>
      <c r="BN153" s="47"/>
      <c r="BO153" s="47"/>
      <c r="BP153" s="47"/>
      <c r="BQ153" s="47"/>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c r="CO153" s="47"/>
      <c r="CP153" s="47"/>
      <c r="CQ153" s="47"/>
      <c r="CR153" s="47"/>
      <c r="CS153" s="47"/>
      <c r="CT153" s="47"/>
      <c r="CU153" s="47"/>
      <c r="CV153" s="47"/>
      <c r="CW153" s="47"/>
      <c r="CX153" s="47"/>
      <c r="CY153" s="47"/>
      <c r="CZ153" s="47"/>
      <c r="DA153" s="47"/>
      <c r="DB153" s="47"/>
      <c r="DC153" s="47"/>
      <c r="DD153" s="47"/>
      <c r="DE153" s="47"/>
      <c r="DF153" s="47"/>
      <c r="DG153" s="47"/>
      <c r="DH153" s="47"/>
      <c r="DI153" s="47"/>
      <c r="DJ153" s="47"/>
      <c r="DK153" s="47"/>
      <c r="DL153" s="47"/>
      <c r="DM153" s="47"/>
      <c r="DN153" s="47"/>
      <c r="DO153" s="47"/>
      <c r="DP153" s="47"/>
      <c r="DQ153" s="47"/>
      <c r="DR153" s="47"/>
      <c r="DS153" s="47"/>
      <c r="DT153" s="47"/>
      <c r="DU153" s="47"/>
      <c r="DV153" s="47"/>
      <c r="DW153" s="47"/>
      <c r="DX153" s="47"/>
      <c r="DY153" s="47"/>
      <c r="DZ153" s="47"/>
      <c r="EA153" s="47"/>
      <c r="EB153" s="47"/>
      <c r="EC153" s="47"/>
      <c r="ED153" s="47"/>
      <c r="EE153" s="47"/>
      <c r="EF153" s="47"/>
      <c r="EG153" s="47"/>
      <c r="EH153" s="47"/>
      <c r="EI153" s="47"/>
      <c r="EJ153" s="47"/>
      <c r="EK153" s="47"/>
      <c r="EL153" s="47"/>
      <c r="EM153" s="47"/>
      <c r="EN153" s="47"/>
      <c r="EO153" s="47"/>
      <c r="EP153" s="47"/>
      <c r="EQ153" s="47"/>
      <c r="ER153" s="47"/>
      <c r="ES153" s="47"/>
      <c r="ET153" s="47"/>
      <c r="EU153" s="47"/>
      <c r="EV153" s="47"/>
      <c r="EW153" s="47"/>
      <c r="EX153" s="47"/>
      <c r="EY153" s="47"/>
      <c r="EZ153" s="47"/>
      <c r="FA153" s="47"/>
      <c r="FB153" s="47"/>
      <c r="FC153" s="47"/>
      <c r="FD153" s="47"/>
      <c r="FE153" s="47"/>
      <c r="FF153" s="47"/>
      <c r="FG153" s="47"/>
      <c r="FH153" s="47"/>
      <c r="FI153" s="47"/>
      <c r="FJ153" s="47"/>
      <c r="FK153" s="47"/>
      <c r="FL153" s="47"/>
      <c r="FM153" s="47"/>
      <c r="FN153" s="47"/>
      <c r="FO153" s="47"/>
      <c r="FP153" s="47"/>
      <c r="FQ153" s="47"/>
      <c r="FR153" s="47"/>
      <c r="FS153" s="47"/>
      <c r="FT153" s="47"/>
      <c r="FU153" s="47"/>
      <c r="FV153" s="47"/>
      <c r="FW153" s="47"/>
      <c r="FX153" s="47"/>
      <c r="FY153" s="47"/>
      <c r="FZ153" s="47"/>
      <c r="GA153" s="47"/>
      <c r="GB153" s="47"/>
      <c r="GC153" s="47"/>
      <c r="GD153" s="47"/>
      <c r="GE153" s="47"/>
      <c r="GF153" s="47"/>
      <c r="GG153" s="47"/>
      <c r="GH153" s="47"/>
      <c r="GI153" s="47"/>
      <c r="GJ153" s="47"/>
      <c r="GK153" s="47"/>
      <c r="GL153" s="47"/>
      <c r="GM153" s="47"/>
      <c r="GN153" s="47"/>
      <c r="GO153" s="47"/>
      <c r="GP153" s="47"/>
      <c r="GQ153" s="47"/>
      <c r="GR153" s="47"/>
      <c r="GS153" s="47"/>
      <c r="GT153" s="47"/>
      <c r="GU153" s="47"/>
      <c r="GV153" s="47"/>
      <c r="GW153" s="47"/>
      <c r="GX153" s="47"/>
      <c r="GY153" s="47"/>
      <c r="GZ153" s="47"/>
      <c r="HA153" s="47"/>
      <c r="HB153" s="47"/>
      <c r="HC153" s="47"/>
      <c r="HD153" s="47"/>
      <c r="HE153" s="47"/>
      <c r="HF153" s="47"/>
      <c r="HG153" s="47"/>
      <c r="HH153" s="47"/>
      <c r="HI153" s="47"/>
      <c r="HJ153" s="47"/>
      <c r="HK153" s="47"/>
      <c r="HL153" s="47"/>
      <c r="HM153" s="47"/>
      <c r="HN153" s="47"/>
      <c r="HO153" s="47"/>
      <c r="HP153" s="47"/>
      <c r="HQ153" s="47"/>
      <c r="HR153" s="47"/>
      <c r="HS153" s="47"/>
      <c r="HT153" s="47"/>
      <c r="HU153" s="47"/>
      <c r="HV153" s="47"/>
      <c r="HW153" s="47"/>
      <c r="HX153" s="47"/>
      <c r="HY153" s="47"/>
      <c r="HZ153" s="47"/>
      <c r="IA153" s="47"/>
      <c r="IB153" s="47"/>
      <c r="IC153" s="47"/>
      <c r="ID153" s="47"/>
      <c r="IE153" s="47"/>
      <c r="IF153" s="47"/>
      <c r="IG153" s="47"/>
      <c r="IH153" s="47"/>
      <c r="II153" s="47"/>
      <c r="IJ153" s="47"/>
      <c r="IK153" s="47"/>
      <c r="IL153" s="47"/>
      <c r="IM153" s="47"/>
      <c r="IN153" s="47"/>
      <c r="IO153" s="47"/>
      <c r="IP153" s="47"/>
      <c r="IQ153" s="47"/>
      <c r="IR153" s="47"/>
      <c r="IS153" s="47"/>
      <c r="IT153" s="47"/>
      <c r="IU153" s="47"/>
      <c r="IV153" s="47"/>
      <c r="IW153" s="1"/>
      <c r="IX153" s="1"/>
      <c r="IY153" s="1"/>
      <c r="IZ153" s="1"/>
      <c r="JA153" s="1"/>
      <c r="JB153" s="1"/>
      <c r="JC153" s="1"/>
      <c r="JD153" s="1"/>
      <c r="JE153" s="1"/>
      <c r="JF153" s="1"/>
      <c r="JG153" s="1"/>
      <c r="JH153" s="1"/>
      <c r="JI153" s="1"/>
      <c r="JJ153" s="1"/>
      <c r="JK153" s="1"/>
      <c r="JL153" s="1"/>
      <c r="JM153" s="1"/>
      <c r="JN153" s="1"/>
      <c r="JO153" s="1"/>
      <c r="JP153" s="1"/>
      <c r="JQ153" s="1"/>
      <c r="JR153" s="1"/>
      <c r="JS153" s="1"/>
      <c r="JT153" s="1"/>
      <c r="JU153" s="1"/>
      <c r="JV153" s="1"/>
      <c r="JW153" s="1"/>
      <c r="JX153" s="1"/>
      <c r="JY153" s="1"/>
      <c r="JZ153" s="1"/>
      <c r="KA153" s="1"/>
      <c r="KB153" s="1"/>
      <c r="KC153" s="1"/>
      <c r="KD153" s="1"/>
      <c r="KE153" s="1"/>
      <c r="KF153" s="1"/>
      <c r="KG153" s="1"/>
      <c r="KH153" s="1"/>
      <c r="KI153" s="1"/>
      <c r="KJ153" s="1"/>
      <c r="KK153" s="1"/>
      <c r="KL153" s="1"/>
      <c r="KM153" s="1"/>
      <c r="KN153" s="1"/>
      <c r="KO153" s="1"/>
      <c r="KP153" s="1"/>
      <c r="KQ153" s="1"/>
      <c r="KR153" s="1"/>
      <c r="KS153" s="1"/>
      <c r="KT153" s="1"/>
      <c r="KU153" s="1"/>
      <c r="KV153" s="1"/>
      <c r="KW153" s="1"/>
      <c r="KX153" s="1"/>
      <c r="KY153" s="1"/>
      <c r="KZ153" s="1"/>
      <c r="LA153" s="1"/>
      <c r="LB153" s="1"/>
      <c r="LC153" s="1"/>
      <c r="LD153" s="1"/>
      <c r="LE153" s="1"/>
      <c r="LF153" s="1"/>
      <c r="LG153" s="1"/>
      <c r="LH153" s="1"/>
      <c r="LI153" s="1"/>
      <c r="LJ153" s="1"/>
      <c r="LK153" s="1"/>
      <c r="LL153" s="1"/>
      <c r="LM153" s="1"/>
      <c r="LN153" s="1"/>
      <c r="LO153" s="1"/>
      <c r="LP153" s="1"/>
      <c r="LQ153" s="1"/>
      <c r="LR153" s="1"/>
      <c r="LS153" s="1"/>
      <c r="LT153" s="1"/>
      <c r="LU153" s="1"/>
      <c r="LV153" s="1"/>
      <c r="LW153" s="1"/>
      <c r="LX153" s="1"/>
      <c r="LY153" s="1"/>
      <c r="LZ153" s="1"/>
      <c r="MA153" s="1"/>
      <c r="MB153" s="1"/>
      <c r="MC153" s="1"/>
      <c r="MD153" s="1"/>
      <c r="ME153" s="1"/>
      <c r="MF153" s="1"/>
      <c r="MG153" s="1"/>
      <c r="MH153" s="1"/>
      <c r="MI153" s="1"/>
      <c r="MJ153" s="1"/>
      <c r="MK153" s="1"/>
      <c r="ML153" s="1"/>
      <c r="MM153" s="1"/>
      <c r="MN153" s="1"/>
      <c r="MO153" s="1"/>
      <c r="MP153" s="1"/>
      <c r="MQ153" s="1"/>
      <c r="MR153" s="1"/>
      <c r="MS153" s="1"/>
      <c r="MT153" s="1"/>
      <c r="MU153" s="1"/>
      <c r="MV153" s="1"/>
      <c r="MW153" s="1"/>
      <c r="MX153" s="1"/>
      <c r="MY153" s="1"/>
      <c r="MZ153" s="1"/>
      <c r="NA153" s="1"/>
      <c r="NB153" s="1"/>
      <c r="ND153" s="1"/>
      <c r="NE153" s="1"/>
      <c r="NF153" s="1"/>
      <c r="NG153" s="1"/>
      <c r="NH153" s="1"/>
    </row>
    <row r="154" spans="1:372" ht="12.75" customHeight="1" x14ac:dyDescent="0.3">
      <c r="A154" s="59"/>
      <c r="B154" s="61"/>
      <c r="C154" s="61"/>
      <c r="D154" s="61"/>
      <c r="E154" s="47"/>
      <c r="F154" s="47"/>
      <c r="G154" s="47"/>
      <c r="H154" s="47"/>
      <c r="I154" s="47"/>
      <c r="J154" s="47"/>
      <c r="K154" s="47"/>
      <c r="L154" s="47"/>
      <c r="M154" s="47"/>
      <c r="N154" s="47"/>
      <c r="O154" s="47"/>
      <c r="P154" s="47"/>
      <c r="Q154" s="47"/>
      <c r="R154" s="47"/>
      <c r="S154" s="47"/>
      <c r="T154" s="47"/>
      <c r="U154" s="47"/>
      <c r="V154" s="47"/>
      <c r="W154" s="47"/>
      <c r="X154" s="47"/>
      <c r="Y154" s="47"/>
      <c r="Z154" s="47"/>
      <c r="AA154" s="47"/>
      <c r="AB154" s="47"/>
      <c r="AC154" s="47"/>
      <c r="AD154" s="47"/>
      <c r="AE154" s="47"/>
      <c r="AF154" s="47"/>
      <c r="AG154" s="47"/>
      <c r="AH154" s="47"/>
      <c r="AI154" s="47"/>
      <c r="AJ154" s="47"/>
      <c r="AK154" s="47"/>
      <c r="AL154" s="47"/>
      <c r="AM154" s="47"/>
      <c r="AN154" s="47"/>
      <c r="AO154" s="47"/>
      <c r="AP154" s="47"/>
      <c r="AQ154" s="47"/>
      <c r="AR154" s="47"/>
      <c r="AS154" s="47"/>
      <c r="AT154" s="47"/>
      <c r="AU154" s="47"/>
      <c r="AV154" s="47"/>
      <c r="AW154" s="47"/>
      <c r="AX154" s="47"/>
      <c r="AY154" s="47"/>
      <c r="AZ154" s="47"/>
      <c r="BA154" s="47"/>
      <c r="BB154" s="47"/>
      <c r="BC154" s="47"/>
      <c r="BD154" s="47"/>
      <c r="BE154" s="47"/>
      <c r="BF154" s="47"/>
      <c r="BG154" s="47"/>
      <c r="BH154" s="47"/>
      <c r="BI154" s="47"/>
      <c r="BJ154" s="47"/>
      <c r="BK154" s="47"/>
      <c r="BL154" s="47"/>
      <c r="BM154" s="47"/>
      <c r="BN154" s="47"/>
      <c r="BO154" s="47"/>
      <c r="BP154" s="47"/>
      <c r="BQ154" s="47"/>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c r="CO154" s="47"/>
      <c r="CP154" s="47"/>
      <c r="CQ154" s="47"/>
      <c r="CR154" s="47"/>
      <c r="CS154" s="47"/>
      <c r="CT154" s="47"/>
      <c r="CU154" s="47"/>
      <c r="CV154" s="47"/>
      <c r="CW154" s="47"/>
      <c r="CX154" s="47"/>
      <c r="CY154" s="47"/>
      <c r="CZ154" s="47"/>
      <c r="DA154" s="47"/>
      <c r="DB154" s="47"/>
      <c r="DC154" s="47"/>
      <c r="DD154" s="47"/>
      <c r="DE154" s="47"/>
      <c r="DF154" s="47"/>
      <c r="DG154" s="47"/>
      <c r="DH154" s="47"/>
      <c r="DI154" s="47"/>
      <c r="DJ154" s="47"/>
      <c r="DK154" s="47"/>
      <c r="DL154" s="47"/>
      <c r="DM154" s="47"/>
      <c r="DN154" s="47"/>
      <c r="DO154" s="47"/>
      <c r="DP154" s="47"/>
      <c r="DQ154" s="47"/>
      <c r="DR154" s="47"/>
      <c r="DS154" s="47"/>
      <c r="DT154" s="47"/>
      <c r="DU154" s="47"/>
      <c r="DV154" s="47"/>
      <c r="DW154" s="47"/>
      <c r="DX154" s="47"/>
      <c r="DY154" s="47"/>
      <c r="DZ154" s="47"/>
      <c r="EA154" s="47"/>
      <c r="EB154" s="47"/>
      <c r="EC154" s="47"/>
      <c r="ED154" s="47"/>
      <c r="EE154" s="47"/>
      <c r="EF154" s="47"/>
      <c r="EG154" s="47"/>
      <c r="EH154" s="47"/>
      <c r="EI154" s="47"/>
      <c r="EJ154" s="47"/>
      <c r="EK154" s="47"/>
      <c r="EL154" s="47"/>
      <c r="EM154" s="47"/>
      <c r="EN154" s="47"/>
      <c r="EO154" s="47"/>
      <c r="EP154" s="47"/>
      <c r="EQ154" s="47"/>
      <c r="ER154" s="47"/>
      <c r="ES154" s="47"/>
      <c r="ET154" s="47"/>
      <c r="EU154" s="47"/>
      <c r="EV154" s="47"/>
      <c r="EW154" s="47"/>
      <c r="EX154" s="47"/>
      <c r="EY154" s="47"/>
      <c r="EZ154" s="47"/>
      <c r="FA154" s="47"/>
      <c r="FB154" s="47"/>
      <c r="FC154" s="47"/>
      <c r="FD154" s="47"/>
      <c r="FE154" s="47"/>
      <c r="FF154" s="47"/>
      <c r="FG154" s="47"/>
      <c r="FH154" s="47"/>
      <c r="FI154" s="47"/>
      <c r="FJ154" s="47"/>
      <c r="FK154" s="47"/>
      <c r="FL154" s="47"/>
      <c r="FM154" s="47"/>
      <c r="FN154" s="47"/>
      <c r="FO154" s="47"/>
      <c r="FP154" s="47"/>
      <c r="FQ154" s="47"/>
      <c r="FR154" s="47"/>
      <c r="FS154" s="47"/>
      <c r="FT154" s="47"/>
      <c r="FU154" s="47"/>
      <c r="FV154" s="47"/>
      <c r="FW154" s="47"/>
      <c r="FX154" s="47"/>
      <c r="FY154" s="47"/>
      <c r="FZ154" s="47"/>
      <c r="GA154" s="47"/>
      <c r="GB154" s="47"/>
      <c r="GC154" s="47"/>
      <c r="GD154" s="47"/>
      <c r="GE154" s="47"/>
      <c r="GF154" s="47"/>
      <c r="GG154" s="47"/>
      <c r="GH154" s="47"/>
      <c r="GI154" s="47"/>
      <c r="GJ154" s="47"/>
      <c r="GK154" s="47"/>
      <c r="GL154" s="47"/>
      <c r="GM154" s="47"/>
      <c r="GN154" s="47"/>
      <c r="GO154" s="47"/>
      <c r="GP154" s="47"/>
      <c r="GQ154" s="47"/>
      <c r="GR154" s="47"/>
      <c r="GS154" s="47"/>
      <c r="GT154" s="47"/>
      <c r="GU154" s="47"/>
      <c r="GV154" s="47"/>
      <c r="GW154" s="47"/>
      <c r="GX154" s="47"/>
      <c r="GY154" s="47"/>
      <c r="GZ154" s="47"/>
      <c r="HA154" s="47"/>
      <c r="HB154" s="47"/>
      <c r="HC154" s="47"/>
      <c r="HD154" s="47"/>
      <c r="HE154" s="47"/>
      <c r="HF154" s="47"/>
      <c r="HG154" s="47"/>
      <c r="HH154" s="47"/>
      <c r="HI154" s="47"/>
      <c r="HJ154" s="47"/>
      <c r="HK154" s="47"/>
      <c r="HL154" s="47"/>
      <c r="HM154" s="47"/>
      <c r="HN154" s="47"/>
      <c r="HO154" s="47"/>
      <c r="HP154" s="47"/>
      <c r="HQ154" s="47"/>
      <c r="HR154" s="47"/>
      <c r="HS154" s="47"/>
      <c r="HT154" s="47"/>
      <c r="HU154" s="47"/>
      <c r="HV154" s="47"/>
      <c r="HW154" s="47"/>
      <c r="HX154" s="47"/>
      <c r="HY154" s="47"/>
      <c r="HZ154" s="47"/>
      <c r="IA154" s="47"/>
      <c r="IB154" s="47"/>
      <c r="IC154" s="47"/>
      <c r="ID154" s="47"/>
      <c r="IE154" s="47"/>
      <c r="IF154" s="47"/>
      <c r="IG154" s="47"/>
      <c r="IH154" s="47"/>
      <c r="II154" s="47"/>
      <c r="IJ154" s="47"/>
      <c r="IK154" s="47"/>
      <c r="IL154" s="47"/>
      <c r="IM154" s="47"/>
      <c r="IN154" s="47"/>
      <c r="IO154" s="47"/>
      <c r="IP154" s="47"/>
      <c r="IQ154" s="47"/>
      <c r="IR154" s="47"/>
      <c r="IS154" s="47"/>
      <c r="IT154" s="47"/>
      <c r="IU154" s="47"/>
      <c r="IV154" s="47"/>
      <c r="IW154" s="1"/>
      <c r="IX154" s="1"/>
      <c r="IY154" s="1"/>
      <c r="IZ154" s="1"/>
      <c r="JA154" s="1"/>
      <c r="JB154" s="1"/>
      <c r="JC154" s="1"/>
      <c r="JD154" s="1"/>
      <c r="JE154" s="1"/>
      <c r="JF154" s="1"/>
      <c r="JG154" s="1"/>
      <c r="JH154" s="1"/>
      <c r="JI154" s="1"/>
      <c r="JJ154" s="1"/>
      <c r="JK154" s="1"/>
      <c r="JL154" s="1"/>
      <c r="JM154" s="1"/>
      <c r="JN154" s="1"/>
      <c r="JO154" s="1"/>
      <c r="JP154" s="1"/>
      <c r="JQ154" s="1"/>
      <c r="JR154" s="1"/>
      <c r="JS154" s="1"/>
      <c r="JT154" s="1"/>
      <c r="JU154" s="1"/>
      <c r="JV154" s="1"/>
      <c r="JW154" s="1"/>
      <c r="JX154" s="1"/>
      <c r="JY154" s="1"/>
      <c r="JZ154" s="1"/>
      <c r="KA154" s="1"/>
      <c r="KB154" s="1"/>
      <c r="KC154" s="1"/>
      <c r="KD154" s="1"/>
      <c r="KE154" s="1"/>
      <c r="KF154" s="1"/>
      <c r="KG154" s="1"/>
      <c r="KH154" s="1"/>
      <c r="KI154" s="1"/>
      <c r="KJ154" s="1"/>
      <c r="KK154" s="1"/>
      <c r="KL154" s="1"/>
      <c r="KM154" s="1"/>
      <c r="KN154" s="1"/>
      <c r="KO154" s="1"/>
      <c r="KP154" s="1"/>
      <c r="KQ154" s="1"/>
      <c r="KR154" s="1"/>
      <c r="KS154" s="1"/>
      <c r="KT154" s="1"/>
      <c r="KU154" s="1"/>
      <c r="KV154" s="1"/>
      <c r="KW154" s="1"/>
      <c r="KX154" s="1"/>
      <c r="KY154" s="1"/>
      <c r="KZ154" s="1"/>
      <c r="LA154" s="1"/>
      <c r="LB154" s="1"/>
      <c r="LC154" s="1"/>
      <c r="LD154" s="1"/>
      <c r="LE154" s="1"/>
      <c r="LF154" s="1"/>
      <c r="LG154" s="1"/>
      <c r="LH154" s="1"/>
      <c r="LI154" s="1"/>
      <c r="LJ154" s="1"/>
      <c r="LK154" s="1"/>
      <c r="LL154" s="1"/>
      <c r="LM154" s="1"/>
      <c r="LN154" s="1"/>
      <c r="LO154" s="1"/>
      <c r="LP154" s="1"/>
      <c r="LQ154" s="1"/>
      <c r="LR154" s="1"/>
      <c r="LS154" s="1"/>
      <c r="LT154" s="1"/>
      <c r="LU154" s="1"/>
      <c r="LV154" s="1"/>
      <c r="LW154" s="1"/>
      <c r="LX154" s="1"/>
      <c r="LY154" s="1"/>
      <c r="LZ154" s="1"/>
      <c r="MA154" s="1"/>
      <c r="MB154" s="1"/>
      <c r="MC154" s="1"/>
      <c r="MD154" s="1"/>
      <c r="ME154" s="1"/>
      <c r="MF154" s="1"/>
      <c r="MG154" s="1"/>
      <c r="MH154" s="1"/>
      <c r="MI154" s="1"/>
      <c r="MJ154" s="1"/>
      <c r="MK154" s="1"/>
      <c r="ML154" s="1"/>
      <c r="MM154" s="1"/>
      <c r="MN154" s="1"/>
      <c r="MO154" s="1"/>
      <c r="MP154" s="1"/>
      <c r="MQ154" s="1"/>
      <c r="MR154" s="1"/>
      <c r="MS154" s="1"/>
      <c r="MT154" s="1"/>
      <c r="MU154" s="1"/>
      <c r="MV154" s="1"/>
      <c r="MW154" s="1"/>
      <c r="MX154" s="1"/>
      <c r="MY154" s="1"/>
      <c r="MZ154" s="1"/>
      <c r="NA154" s="1"/>
      <c r="NB154" s="1"/>
      <c r="ND154" s="1"/>
      <c r="NE154" s="1"/>
      <c r="NF154" s="1"/>
      <c r="NG154" s="1"/>
      <c r="NH154" s="1"/>
    </row>
    <row r="155" spans="1:372" ht="12.75" customHeight="1" x14ac:dyDescent="0.3">
      <c r="A155" s="59"/>
      <c r="B155" s="61"/>
      <c r="C155" s="61"/>
      <c r="D155" s="61"/>
      <c r="E155" s="47"/>
      <c r="F155" s="47"/>
      <c r="G155" s="47"/>
      <c r="H155" s="47"/>
      <c r="I155" s="47"/>
      <c r="J155" s="47"/>
      <c r="K155" s="47"/>
      <c r="L155" s="47"/>
      <c r="M155" s="47"/>
      <c r="N155" s="47"/>
      <c r="O155" s="47"/>
      <c r="P155" s="47"/>
      <c r="Q155" s="47"/>
      <c r="R155" s="47"/>
      <c r="S155" s="47"/>
      <c r="T155" s="47"/>
      <c r="U155" s="47"/>
      <c r="V155" s="47"/>
      <c r="W155" s="47"/>
      <c r="X155" s="47"/>
      <c r="Y155" s="47"/>
      <c r="Z155" s="47"/>
      <c r="AA155" s="47"/>
      <c r="AB155" s="47"/>
      <c r="AC155" s="47"/>
      <c r="AD155" s="47"/>
      <c r="AE155" s="47"/>
      <c r="AF155" s="47"/>
      <c r="AG155" s="47"/>
      <c r="AH155" s="47"/>
      <c r="AI155" s="47"/>
      <c r="AJ155" s="47"/>
      <c r="AK155" s="47"/>
      <c r="AL155" s="47"/>
      <c r="AM155" s="47"/>
      <c r="AN155" s="47"/>
      <c r="AO155" s="47"/>
      <c r="AP155" s="47"/>
      <c r="AQ155" s="47"/>
      <c r="AR155" s="47"/>
      <c r="AS155" s="47"/>
      <c r="AT155" s="47"/>
      <c r="AU155" s="47"/>
      <c r="AV155" s="47"/>
      <c r="AW155" s="47"/>
      <c r="AX155" s="47"/>
      <c r="AY155" s="47"/>
      <c r="AZ155" s="47"/>
      <c r="BA155" s="47"/>
      <c r="BB155" s="47"/>
      <c r="BC155" s="47"/>
      <c r="BD155" s="47"/>
      <c r="BE155" s="47"/>
      <c r="BF155" s="47"/>
      <c r="BG155" s="47"/>
      <c r="BH155" s="47"/>
      <c r="BI155" s="47"/>
      <c r="BJ155" s="47"/>
      <c r="BK155" s="47"/>
      <c r="BL155" s="47"/>
      <c r="BM155" s="47"/>
      <c r="BN155" s="47"/>
      <c r="BO155" s="47"/>
      <c r="BP155" s="47"/>
      <c r="BQ155" s="47"/>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c r="CO155" s="47"/>
      <c r="CP155" s="47"/>
      <c r="CQ155" s="47"/>
      <c r="CR155" s="47"/>
      <c r="CS155" s="47"/>
      <c r="CT155" s="47"/>
      <c r="CU155" s="47"/>
      <c r="CV155" s="47"/>
      <c r="CW155" s="47"/>
      <c r="CX155" s="47"/>
      <c r="CY155" s="47"/>
      <c r="CZ155" s="47"/>
      <c r="DA155" s="47"/>
      <c r="DB155" s="47"/>
      <c r="DC155" s="47"/>
      <c r="DD155" s="47"/>
      <c r="DE155" s="47"/>
      <c r="DF155" s="47"/>
      <c r="DG155" s="47"/>
      <c r="DH155" s="47"/>
      <c r="DI155" s="47"/>
      <c r="DJ155" s="47"/>
      <c r="DK155" s="47"/>
      <c r="DL155" s="47"/>
      <c r="DM155" s="47"/>
      <c r="DN155" s="47"/>
      <c r="DO155" s="47"/>
      <c r="DP155" s="47"/>
      <c r="DQ155" s="47"/>
      <c r="DR155" s="47"/>
      <c r="DS155" s="47"/>
      <c r="DT155" s="47"/>
      <c r="DU155" s="47"/>
      <c r="DV155" s="47"/>
      <c r="DW155" s="47"/>
      <c r="DX155" s="47"/>
      <c r="DY155" s="47"/>
      <c r="DZ155" s="47"/>
      <c r="EA155" s="47"/>
      <c r="EB155" s="47"/>
      <c r="EC155" s="47"/>
      <c r="ED155" s="47"/>
      <c r="EE155" s="47"/>
      <c r="EF155" s="47"/>
      <c r="EG155" s="47"/>
      <c r="EH155" s="47"/>
      <c r="EI155" s="47"/>
      <c r="EJ155" s="47"/>
      <c r="EK155" s="47"/>
      <c r="EL155" s="47"/>
      <c r="EM155" s="47"/>
      <c r="EN155" s="47"/>
      <c r="EO155" s="47"/>
      <c r="EP155" s="47"/>
      <c r="EQ155" s="47"/>
      <c r="ER155" s="47"/>
      <c r="ES155" s="47"/>
      <c r="ET155" s="47"/>
      <c r="EU155" s="47"/>
      <c r="EV155" s="47"/>
      <c r="EW155" s="47"/>
      <c r="EX155" s="47"/>
      <c r="EY155" s="47"/>
      <c r="EZ155" s="47"/>
      <c r="FA155" s="47"/>
      <c r="FB155" s="47"/>
      <c r="FC155" s="47"/>
      <c r="FD155" s="47"/>
      <c r="FE155" s="47"/>
      <c r="FF155" s="47"/>
      <c r="FG155" s="47"/>
      <c r="FH155" s="47"/>
      <c r="FI155" s="47"/>
      <c r="FJ155" s="47"/>
      <c r="FK155" s="47"/>
      <c r="FL155" s="47"/>
      <c r="FM155" s="47"/>
      <c r="FN155" s="47"/>
      <c r="FO155" s="47"/>
      <c r="FP155" s="47"/>
      <c r="FQ155" s="47"/>
      <c r="FR155" s="47"/>
      <c r="FS155" s="47"/>
      <c r="FT155" s="47"/>
      <c r="FU155" s="47"/>
      <c r="FV155" s="47"/>
      <c r="FW155" s="47"/>
      <c r="FX155" s="47"/>
      <c r="FY155" s="47"/>
      <c r="FZ155" s="47"/>
      <c r="GA155" s="47"/>
      <c r="GB155" s="47"/>
      <c r="GC155" s="47"/>
      <c r="GD155" s="47"/>
      <c r="GE155" s="47"/>
      <c r="GF155" s="47"/>
      <c r="GG155" s="47"/>
      <c r="GH155" s="47"/>
      <c r="GI155" s="47"/>
      <c r="GJ155" s="47"/>
      <c r="GK155" s="47"/>
      <c r="GL155" s="47"/>
      <c r="GM155" s="47"/>
      <c r="GN155" s="47"/>
      <c r="GO155" s="47"/>
      <c r="GP155" s="47"/>
      <c r="GQ155" s="47"/>
      <c r="GR155" s="47"/>
      <c r="GS155" s="47"/>
      <c r="GT155" s="47"/>
      <c r="GU155" s="47"/>
      <c r="GV155" s="47"/>
      <c r="GW155" s="47"/>
      <c r="GX155" s="47"/>
      <c r="GY155" s="47"/>
      <c r="GZ155" s="47"/>
      <c r="HA155" s="47"/>
      <c r="HB155" s="47"/>
      <c r="HC155" s="47"/>
      <c r="HD155" s="47"/>
      <c r="HE155" s="47"/>
      <c r="HF155" s="47"/>
      <c r="HG155" s="47"/>
      <c r="HH155" s="47"/>
      <c r="HI155" s="47"/>
      <c r="HJ155" s="47"/>
      <c r="HK155" s="47"/>
      <c r="HL155" s="47"/>
      <c r="HM155" s="47"/>
      <c r="HN155" s="47"/>
      <c r="HO155" s="47"/>
      <c r="HP155" s="47"/>
      <c r="HQ155" s="47"/>
      <c r="HR155" s="47"/>
      <c r="HS155" s="47"/>
      <c r="HT155" s="47"/>
      <c r="HU155" s="47"/>
      <c r="HV155" s="47"/>
      <c r="HW155" s="47"/>
      <c r="HX155" s="47"/>
      <c r="HY155" s="47"/>
      <c r="HZ155" s="47"/>
      <c r="IA155" s="47"/>
      <c r="IB155" s="47"/>
      <c r="IC155" s="47"/>
      <c r="ID155" s="47"/>
      <c r="IE155" s="47"/>
      <c r="IF155" s="47"/>
      <c r="IG155" s="47"/>
      <c r="IH155" s="47"/>
      <c r="II155" s="47"/>
      <c r="IJ155" s="47"/>
      <c r="IK155" s="47"/>
      <c r="IL155" s="47"/>
      <c r="IM155" s="47"/>
      <c r="IN155" s="47"/>
      <c r="IO155" s="47"/>
      <c r="IP155" s="47"/>
      <c r="IQ155" s="47"/>
      <c r="IR155" s="47"/>
      <c r="IS155" s="47"/>
      <c r="IT155" s="47"/>
      <c r="IU155" s="47"/>
      <c r="IV155" s="47"/>
      <c r="IW155" s="1"/>
      <c r="IX155" s="1"/>
      <c r="IY155" s="1"/>
      <c r="IZ155" s="1"/>
      <c r="JA155" s="1"/>
      <c r="JB155" s="1"/>
      <c r="JC155" s="1"/>
      <c r="JD155" s="1"/>
      <c r="JE155" s="1"/>
      <c r="JF155" s="1"/>
      <c r="JG155" s="1"/>
      <c r="JH155" s="1"/>
      <c r="JI155" s="1"/>
      <c r="JJ155" s="1"/>
      <c r="JK155" s="1"/>
      <c r="JL155" s="1"/>
      <c r="JM155" s="1"/>
      <c r="JN155" s="1"/>
      <c r="JO155" s="1"/>
      <c r="JP155" s="1"/>
      <c r="JQ155" s="1"/>
      <c r="JR155" s="1"/>
      <c r="JS155" s="1"/>
      <c r="JT155" s="1"/>
      <c r="JU155" s="1"/>
      <c r="JV155" s="1"/>
      <c r="JW155" s="1"/>
      <c r="JX155" s="1"/>
      <c r="JY155" s="1"/>
      <c r="JZ155" s="1"/>
      <c r="KA155" s="1"/>
      <c r="KB155" s="1"/>
      <c r="KC155" s="1"/>
      <c r="KD155" s="1"/>
      <c r="KE155" s="1"/>
      <c r="KF155" s="1"/>
      <c r="KG155" s="1"/>
      <c r="KH155" s="1"/>
      <c r="KI155" s="1"/>
      <c r="KJ155" s="1"/>
      <c r="KK155" s="1"/>
      <c r="KL155" s="1"/>
      <c r="KM155" s="1"/>
      <c r="KN155" s="1"/>
      <c r="KO155" s="1"/>
      <c r="KP155" s="1"/>
      <c r="KQ155" s="1"/>
      <c r="KR155" s="1"/>
      <c r="KS155" s="1"/>
      <c r="KT155" s="1"/>
      <c r="KU155" s="1"/>
      <c r="KV155" s="1"/>
      <c r="KW155" s="1"/>
      <c r="KX155" s="1"/>
      <c r="KY155" s="1"/>
      <c r="KZ155" s="1"/>
      <c r="LA155" s="1"/>
      <c r="LB155" s="1"/>
      <c r="LC155" s="1"/>
      <c r="LD155" s="1"/>
      <c r="LE155" s="1"/>
      <c r="LF155" s="1"/>
      <c r="LG155" s="1"/>
      <c r="LH155" s="1"/>
      <c r="LI155" s="1"/>
      <c r="LJ155" s="1"/>
      <c r="LK155" s="1"/>
      <c r="LL155" s="1"/>
      <c r="LM155" s="1"/>
      <c r="LN155" s="1"/>
      <c r="LO155" s="1"/>
      <c r="LP155" s="1"/>
      <c r="LQ155" s="1"/>
      <c r="LR155" s="1"/>
      <c r="LS155" s="1"/>
      <c r="LT155" s="1"/>
      <c r="LU155" s="1"/>
      <c r="LV155" s="1"/>
      <c r="LW155" s="1"/>
      <c r="LX155" s="1"/>
      <c r="LY155" s="1"/>
      <c r="LZ155" s="1"/>
      <c r="MA155" s="1"/>
      <c r="MB155" s="1"/>
      <c r="MC155" s="1"/>
      <c r="MD155" s="1"/>
      <c r="ME155" s="1"/>
      <c r="MF155" s="1"/>
      <c r="MG155" s="1"/>
      <c r="MH155" s="1"/>
      <c r="MI155" s="1"/>
      <c r="MJ155" s="1"/>
      <c r="MK155" s="1"/>
      <c r="ML155" s="1"/>
      <c r="MM155" s="1"/>
      <c r="MN155" s="1"/>
      <c r="MO155" s="1"/>
      <c r="MP155" s="1"/>
      <c r="MQ155" s="1"/>
      <c r="MR155" s="1"/>
      <c r="MS155" s="1"/>
      <c r="MT155" s="1"/>
      <c r="MU155" s="1"/>
      <c r="MV155" s="1"/>
      <c r="MW155" s="1"/>
      <c r="MX155" s="1"/>
      <c r="MY155" s="1"/>
      <c r="MZ155" s="1"/>
      <c r="NA155" s="1"/>
      <c r="NB155" s="1"/>
      <c r="ND155" s="1"/>
      <c r="NE155" s="1"/>
      <c r="NF155" s="1"/>
      <c r="NG155" s="1"/>
      <c r="NH155" s="1"/>
    </row>
    <row r="156" spans="1:372" ht="12.75" customHeight="1" x14ac:dyDescent="0.3">
      <c r="A156" s="59"/>
      <c r="B156" s="61"/>
      <c r="C156" s="61"/>
      <c r="D156" s="61"/>
      <c r="E156" s="47"/>
      <c r="F156" s="47"/>
      <c r="G156" s="47"/>
      <c r="H156" s="47"/>
      <c r="I156" s="47"/>
      <c r="J156" s="47"/>
      <c r="K156" s="47"/>
      <c r="L156" s="47"/>
      <c r="M156" s="47"/>
      <c r="N156" s="47"/>
      <c r="O156" s="47"/>
      <c r="P156" s="47"/>
      <c r="Q156" s="47"/>
      <c r="R156" s="47"/>
      <c r="S156" s="47"/>
      <c r="T156" s="47"/>
      <c r="U156" s="47"/>
      <c r="V156" s="47"/>
      <c r="W156" s="47"/>
      <c r="X156" s="47"/>
      <c r="Y156" s="47"/>
      <c r="Z156" s="47"/>
      <c r="AA156" s="47"/>
      <c r="AB156" s="47"/>
      <c r="AC156" s="47"/>
      <c r="AD156" s="47"/>
      <c r="AE156" s="47"/>
      <c r="AF156" s="47"/>
      <c r="AG156" s="47"/>
      <c r="AH156" s="47"/>
      <c r="AI156" s="47"/>
      <c r="AJ156" s="47"/>
      <c r="AK156" s="47"/>
      <c r="AL156" s="47"/>
      <c r="AM156" s="47"/>
      <c r="AN156" s="47"/>
      <c r="AO156" s="47"/>
      <c r="AP156" s="47"/>
      <c r="AQ156" s="47"/>
      <c r="AR156" s="47"/>
      <c r="AS156" s="47"/>
      <c r="AT156" s="47"/>
      <c r="AU156" s="47"/>
      <c r="AV156" s="47"/>
      <c r="AW156" s="47"/>
      <c r="AX156" s="47"/>
      <c r="AY156" s="47"/>
      <c r="AZ156" s="47"/>
      <c r="BA156" s="47"/>
      <c r="BB156" s="47"/>
      <c r="BC156" s="47"/>
      <c r="BD156" s="47"/>
      <c r="BE156" s="47"/>
      <c r="BF156" s="47"/>
      <c r="BG156" s="47"/>
      <c r="BH156" s="47"/>
      <c r="BI156" s="47"/>
      <c r="BJ156" s="47"/>
      <c r="BK156" s="47"/>
      <c r="BL156" s="47"/>
      <c r="BM156" s="47"/>
      <c r="BN156" s="47"/>
      <c r="BO156" s="47"/>
      <c r="BP156" s="47"/>
      <c r="BQ156" s="47"/>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c r="CO156" s="47"/>
      <c r="CP156" s="47"/>
      <c r="CQ156" s="47"/>
      <c r="CR156" s="47"/>
      <c r="CS156" s="47"/>
      <c r="CT156" s="47"/>
      <c r="CU156" s="47"/>
      <c r="CV156" s="47"/>
      <c r="CW156" s="47"/>
      <c r="CX156" s="47"/>
      <c r="CY156" s="47"/>
      <c r="CZ156" s="47"/>
      <c r="DA156" s="47"/>
      <c r="DB156" s="47"/>
      <c r="DC156" s="47"/>
      <c r="DD156" s="47"/>
      <c r="DE156" s="47"/>
      <c r="DF156" s="47"/>
      <c r="DG156" s="47"/>
      <c r="DH156" s="47"/>
      <c r="DI156" s="47"/>
      <c r="DJ156" s="47"/>
      <c r="DK156" s="47"/>
      <c r="DL156" s="47"/>
      <c r="DM156" s="47"/>
      <c r="DN156" s="47"/>
      <c r="DO156" s="47"/>
      <c r="DP156" s="47"/>
      <c r="DQ156" s="47"/>
      <c r="DR156" s="47"/>
      <c r="DS156" s="47"/>
      <c r="DT156" s="47"/>
      <c r="DU156" s="47"/>
      <c r="DV156" s="47"/>
      <c r="DW156" s="47"/>
      <c r="DX156" s="47"/>
      <c r="DY156" s="47"/>
      <c r="DZ156" s="47"/>
      <c r="EA156" s="47"/>
      <c r="EB156" s="47"/>
      <c r="EC156" s="47"/>
      <c r="ED156" s="47"/>
      <c r="EE156" s="47"/>
      <c r="EF156" s="47"/>
      <c r="EG156" s="47"/>
      <c r="EH156" s="47"/>
      <c r="EI156" s="47"/>
      <c r="EJ156" s="47"/>
      <c r="EK156" s="47"/>
      <c r="EL156" s="47"/>
      <c r="EM156" s="47"/>
      <c r="EN156" s="47"/>
      <c r="EO156" s="47"/>
      <c r="EP156" s="47"/>
      <c r="EQ156" s="47"/>
      <c r="ER156" s="47"/>
      <c r="ES156" s="47"/>
      <c r="ET156" s="47"/>
      <c r="EU156" s="47"/>
      <c r="EV156" s="47"/>
      <c r="EW156" s="47"/>
      <c r="EX156" s="47"/>
      <c r="EY156" s="47"/>
      <c r="EZ156" s="47"/>
      <c r="FA156" s="47"/>
      <c r="FB156" s="47"/>
      <c r="FC156" s="47"/>
      <c r="FD156" s="47"/>
      <c r="FE156" s="47"/>
      <c r="FF156" s="47"/>
      <c r="FG156" s="47"/>
      <c r="FH156" s="47"/>
      <c r="FI156" s="47"/>
      <c r="FJ156" s="47"/>
      <c r="FK156" s="47"/>
      <c r="FL156" s="47"/>
      <c r="FM156" s="47"/>
      <c r="FN156" s="47"/>
      <c r="FO156" s="47"/>
      <c r="FP156" s="47"/>
      <c r="FQ156" s="47"/>
      <c r="FR156" s="47"/>
      <c r="FS156" s="47"/>
      <c r="FT156" s="47"/>
      <c r="FU156" s="47"/>
      <c r="FV156" s="47"/>
      <c r="FW156" s="47"/>
      <c r="FX156" s="47"/>
      <c r="FY156" s="47"/>
      <c r="FZ156" s="47"/>
      <c r="GA156" s="47"/>
      <c r="GB156" s="47"/>
      <c r="GC156" s="47"/>
      <c r="GD156" s="47"/>
      <c r="GE156" s="47"/>
      <c r="GF156" s="47"/>
      <c r="GG156" s="47"/>
      <c r="GH156" s="47"/>
      <c r="GI156" s="47"/>
      <c r="GJ156" s="47"/>
      <c r="GK156" s="47"/>
      <c r="GL156" s="47"/>
      <c r="GM156" s="47"/>
      <c r="GN156" s="47"/>
      <c r="GO156" s="47"/>
      <c r="GP156" s="47"/>
      <c r="GQ156" s="47"/>
      <c r="GR156" s="47"/>
      <c r="GS156" s="47"/>
      <c r="GT156" s="47"/>
      <c r="GU156" s="47"/>
      <c r="GV156" s="47"/>
      <c r="GW156" s="47"/>
      <c r="GX156" s="47"/>
      <c r="GY156" s="47"/>
      <c r="GZ156" s="47"/>
      <c r="HA156" s="47"/>
      <c r="HB156" s="47"/>
      <c r="HC156" s="47"/>
      <c r="HD156" s="47"/>
      <c r="HE156" s="47"/>
      <c r="HF156" s="47"/>
      <c r="HG156" s="47"/>
      <c r="HH156" s="47"/>
      <c r="HI156" s="47"/>
      <c r="HJ156" s="47"/>
      <c r="HK156" s="47"/>
      <c r="HL156" s="47"/>
      <c r="HM156" s="47"/>
      <c r="HN156" s="47"/>
      <c r="HO156" s="47"/>
      <c r="HP156" s="47"/>
      <c r="HQ156" s="47"/>
      <c r="HR156" s="47"/>
      <c r="HS156" s="47"/>
      <c r="HT156" s="47"/>
      <c r="HU156" s="47"/>
      <c r="HV156" s="47"/>
      <c r="HW156" s="47"/>
      <c r="HX156" s="47"/>
      <c r="HY156" s="47"/>
      <c r="HZ156" s="47"/>
      <c r="IA156" s="47"/>
      <c r="IB156" s="47"/>
      <c r="IC156" s="47"/>
      <c r="ID156" s="47"/>
      <c r="IE156" s="47"/>
      <c r="IF156" s="47"/>
      <c r="IG156" s="47"/>
      <c r="IH156" s="47"/>
      <c r="II156" s="47"/>
      <c r="IJ156" s="47"/>
      <c r="IK156" s="47"/>
      <c r="IL156" s="47"/>
      <c r="IM156" s="47"/>
      <c r="IN156" s="47"/>
      <c r="IO156" s="47"/>
      <c r="IP156" s="47"/>
      <c r="IQ156" s="47"/>
      <c r="IR156" s="47"/>
      <c r="IS156" s="47"/>
      <c r="IT156" s="47"/>
      <c r="IU156" s="47"/>
      <c r="IV156" s="47"/>
      <c r="IW156" s="1"/>
      <c r="IX156" s="1"/>
      <c r="IY156" s="1"/>
      <c r="IZ156" s="1"/>
      <c r="JA156" s="1"/>
      <c r="JB156" s="1"/>
      <c r="JC156" s="1"/>
      <c r="JD156" s="1"/>
      <c r="JE156" s="1"/>
      <c r="JF156" s="1"/>
      <c r="JG156" s="1"/>
      <c r="JH156" s="1"/>
      <c r="JI156" s="1"/>
      <c r="JJ156" s="1"/>
      <c r="JK156" s="1"/>
      <c r="JL156" s="1"/>
      <c r="JM156" s="1"/>
      <c r="JN156" s="1"/>
      <c r="JO156" s="1"/>
      <c r="JP156" s="1"/>
      <c r="JQ156" s="1"/>
      <c r="JR156" s="1"/>
      <c r="JS156" s="1"/>
      <c r="JT156" s="1"/>
      <c r="JU156" s="1"/>
      <c r="JV156" s="1"/>
      <c r="JW156" s="1"/>
      <c r="JX156" s="1"/>
      <c r="JY156" s="1"/>
      <c r="JZ156" s="1"/>
      <c r="KA156" s="1"/>
      <c r="KB156" s="1"/>
      <c r="KC156" s="1"/>
      <c r="KD156" s="1"/>
      <c r="KE156" s="1"/>
      <c r="KF156" s="1"/>
      <c r="KG156" s="1"/>
      <c r="KH156" s="1"/>
      <c r="KI156" s="1"/>
      <c r="KJ156" s="1"/>
      <c r="KK156" s="1"/>
      <c r="KL156" s="1"/>
      <c r="KM156" s="1"/>
      <c r="KN156" s="1"/>
      <c r="KO156" s="1"/>
      <c r="KP156" s="1"/>
      <c r="KQ156" s="1"/>
      <c r="KR156" s="1"/>
      <c r="KS156" s="1"/>
      <c r="KT156" s="1"/>
      <c r="KU156" s="1"/>
      <c r="KV156" s="1"/>
      <c r="KW156" s="1"/>
      <c r="KX156" s="1"/>
      <c r="KY156" s="1"/>
      <c r="KZ156" s="1"/>
      <c r="LA156" s="1"/>
      <c r="LB156" s="1"/>
      <c r="LC156" s="1"/>
      <c r="LD156" s="1"/>
      <c r="LE156" s="1"/>
      <c r="LF156" s="1"/>
      <c r="LG156" s="1"/>
      <c r="LH156" s="1"/>
      <c r="LI156" s="1"/>
      <c r="LJ156" s="1"/>
      <c r="LK156" s="1"/>
      <c r="LL156" s="1"/>
      <c r="LM156" s="1"/>
      <c r="LN156" s="1"/>
      <c r="LO156" s="1"/>
      <c r="LP156" s="1"/>
      <c r="LQ156" s="1"/>
      <c r="LR156" s="1"/>
      <c r="LS156" s="1"/>
      <c r="LT156" s="1"/>
      <c r="LU156" s="1"/>
      <c r="LV156" s="1"/>
      <c r="LW156" s="1"/>
      <c r="LX156" s="1"/>
      <c r="LY156" s="1"/>
      <c r="LZ156" s="1"/>
      <c r="MA156" s="1"/>
      <c r="MB156" s="1"/>
      <c r="MC156" s="1"/>
      <c r="MD156" s="1"/>
      <c r="ME156" s="1"/>
      <c r="MF156" s="1"/>
      <c r="MG156" s="1"/>
      <c r="MH156" s="1"/>
      <c r="MI156" s="1"/>
      <c r="MJ156" s="1"/>
      <c r="MK156" s="1"/>
      <c r="ML156" s="1"/>
      <c r="MM156" s="1"/>
      <c r="MN156" s="1"/>
      <c r="MO156" s="1"/>
      <c r="MP156" s="1"/>
      <c r="MQ156" s="1"/>
      <c r="MR156" s="1"/>
      <c r="MS156" s="1"/>
      <c r="MT156" s="1"/>
      <c r="MU156" s="1"/>
      <c r="MV156" s="1"/>
      <c r="MW156" s="1"/>
      <c r="MX156" s="1"/>
      <c r="MY156" s="1"/>
      <c r="MZ156" s="1"/>
      <c r="NA156" s="1"/>
      <c r="NB156" s="1"/>
      <c r="ND156" s="1"/>
      <c r="NE156" s="1"/>
      <c r="NF156" s="1"/>
      <c r="NG156" s="1"/>
      <c r="NH156" s="1"/>
    </row>
    <row r="157" spans="1:372" ht="12.75" customHeight="1" x14ac:dyDescent="0.3">
      <c r="A157" s="59"/>
      <c r="B157" s="61"/>
      <c r="C157" s="61"/>
      <c r="D157" s="61"/>
      <c r="E157" s="47"/>
      <c r="F157" s="47"/>
      <c r="G157" s="47"/>
      <c r="H157" s="47"/>
      <c r="I157" s="47"/>
      <c r="J157" s="47"/>
      <c r="K157" s="47"/>
      <c r="L157" s="47"/>
      <c r="M157" s="47"/>
      <c r="N157" s="47"/>
      <c r="O157" s="47"/>
      <c r="P157" s="47"/>
      <c r="Q157" s="47"/>
      <c r="R157" s="47"/>
      <c r="S157" s="47"/>
      <c r="T157" s="47"/>
      <c r="U157" s="47"/>
      <c r="V157" s="47"/>
      <c r="W157" s="47"/>
      <c r="X157" s="47"/>
      <c r="Y157" s="47"/>
      <c r="Z157" s="47"/>
      <c r="AA157" s="47"/>
      <c r="AB157" s="47"/>
      <c r="AC157" s="47"/>
      <c r="AD157" s="47"/>
      <c r="AE157" s="47"/>
      <c r="AF157" s="47"/>
      <c r="AG157" s="47"/>
      <c r="AH157" s="47"/>
      <c r="AI157" s="47"/>
      <c r="AJ157" s="47"/>
      <c r="AK157" s="47"/>
      <c r="AL157" s="47"/>
      <c r="AM157" s="47"/>
      <c r="AN157" s="47"/>
      <c r="AO157" s="47"/>
      <c r="AP157" s="47"/>
      <c r="AQ157" s="47"/>
      <c r="AR157" s="47"/>
      <c r="AS157" s="47"/>
      <c r="AT157" s="47"/>
      <c r="AU157" s="47"/>
      <c r="AV157" s="47"/>
      <c r="AW157" s="47"/>
      <c r="AX157" s="47"/>
      <c r="AY157" s="47"/>
      <c r="AZ157" s="47"/>
      <c r="BA157" s="47"/>
      <c r="BB157" s="47"/>
      <c r="BC157" s="47"/>
      <c r="BD157" s="47"/>
      <c r="BE157" s="47"/>
      <c r="BF157" s="47"/>
      <c r="BG157" s="47"/>
      <c r="BH157" s="47"/>
      <c r="BI157" s="47"/>
      <c r="BJ157" s="47"/>
      <c r="BK157" s="47"/>
      <c r="BL157" s="47"/>
      <c r="BM157" s="47"/>
      <c r="BN157" s="47"/>
      <c r="BO157" s="47"/>
      <c r="BP157" s="47"/>
      <c r="BQ157" s="47"/>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c r="CO157" s="47"/>
      <c r="CP157" s="47"/>
      <c r="CQ157" s="47"/>
      <c r="CR157" s="47"/>
      <c r="CS157" s="47"/>
      <c r="CT157" s="47"/>
      <c r="CU157" s="47"/>
      <c r="CV157" s="47"/>
      <c r="CW157" s="47"/>
      <c r="CX157" s="47"/>
      <c r="CY157" s="47"/>
      <c r="CZ157" s="47"/>
      <c r="DA157" s="47"/>
      <c r="DB157" s="47"/>
      <c r="DC157" s="47"/>
      <c r="DD157" s="47"/>
      <c r="DE157" s="47"/>
      <c r="DF157" s="47"/>
      <c r="DG157" s="47"/>
      <c r="DH157" s="47"/>
      <c r="DI157" s="47"/>
      <c r="DJ157" s="47"/>
      <c r="DK157" s="47"/>
      <c r="DL157" s="47"/>
      <c r="DM157" s="47"/>
      <c r="DN157" s="47"/>
      <c r="DO157" s="47"/>
      <c r="DP157" s="47"/>
      <c r="DQ157" s="47"/>
      <c r="DR157" s="47"/>
      <c r="DS157" s="47"/>
      <c r="DT157" s="47"/>
      <c r="DU157" s="47"/>
      <c r="DV157" s="47"/>
      <c r="DW157" s="47"/>
      <c r="DX157" s="47"/>
      <c r="DY157" s="47"/>
      <c r="DZ157" s="47"/>
      <c r="EA157" s="47"/>
      <c r="EB157" s="47"/>
      <c r="EC157" s="47"/>
      <c r="ED157" s="47"/>
      <c r="EE157" s="47"/>
      <c r="EF157" s="47"/>
      <c r="EG157" s="47"/>
      <c r="EH157" s="47"/>
      <c r="EI157" s="47"/>
      <c r="EJ157" s="47"/>
      <c r="EK157" s="47"/>
      <c r="EL157" s="47"/>
      <c r="EM157" s="47"/>
      <c r="EN157" s="47"/>
      <c r="EO157" s="47"/>
      <c r="EP157" s="47"/>
      <c r="EQ157" s="47"/>
      <c r="ER157" s="47"/>
      <c r="ES157" s="47"/>
      <c r="ET157" s="47"/>
      <c r="EU157" s="47"/>
      <c r="EV157" s="47"/>
      <c r="EW157" s="47"/>
      <c r="EX157" s="47"/>
      <c r="EY157" s="47"/>
      <c r="EZ157" s="47"/>
      <c r="FA157" s="47"/>
      <c r="FB157" s="47"/>
      <c r="FC157" s="47"/>
      <c r="FD157" s="47"/>
      <c r="FE157" s="47"/>
      <c r="FF157" s="47"/>
      <c r="FG157" s="47"/>
      <c r="FH157" s="47"/>
      <c r="FI157" s="47"/>
      <c r="FJ157" s="47"/>
      <c r="FK157" s="47"/>
      <c r="FL157" s="47"/>
      <c r="FM157" s="47"/>
      <c r="FN157" s="47"/>
      <c r="FO157" s="47"/>
      <c r="FP157" s="47"/>
      <c r="FQ157" s="47"/>
      <c r="FR157" s="47"/>
      <c r="FS157" s="47"/>
      <c r="FT157" s="47"/>
      <c r="FU157" s="47"/>
      <c r="FV157" s="47"/>
      <c r="FW157" s="47"/>
      <c r="FX157" s="47"/>
      <c r="FY157" s="47"/>
      <c r="FZ157" s="47"/>
      <c r="GA157" s="47"/>
      <c r="GB157" s="47"/>
      <c r="GC157" s="47"/>
      <c r="GD157" s="47"/>
      <c r="GE157" s="47"/>
      <c r="GF157" s="47"/>
      <c r="GG157" s="47"/>
      <c r="GH157" s="47"/>
      <c r="GI157" s="47"/>
      <c r="GJ157" s="47"/>
      <c r="GK157" s="47"/>
      <c r="GL157" s="47"/>
      <c r="GM157" s="47"/>
      <c r="GN157" s="47"/>
      <c r="GO157" s="47"/>
      <c r="GP157" s="47"/>
      <c r="GQ157" s="47"/>
      <c r="GR157" s="47"/>
      <c r="GS157" s="47"/>
      <c r="GT157" s="47"/>
      <c r="GU157" s="47"/>
      <c r="GV157" s="47"/>
      <c r="GW157" s="47"/>
      <c r="GX157" s="47"/>
      <c r="GY157" s="47"/>
      <c r="GZ157" s="47"/>
      <c r="HA157" s="47"/>
      <c r="HB157" s="47"/>
      <c r="HC157" s="47"/>
      <c r="HD157" s="47"/>
      <c r="HE157" s="47"/>
      <c r="HF157" s="47"/>
      <c r="HG157" s="47"/>
      <c r="HH157" s="47"/>
      <c r="HI157" s="47"/>
      <c r="HJ157" s="47"/>
      <c r="HK157" s="47"/>
      <c r="HL157" s="47"/>
      <c r="HM157" s="47"/>
      <c r="HN157" s="47"/>
      <c r="HO157" s="47"/>
      <c r="HP157" s="47"/>
      <c r="HQ157" s="47"/>
      <c r="HR157" s="47"/>
      <c r="HS157" s="47"/>
      <c r="HT157" s="47"/>
      <c r="HU157" s="47"/>
      <c r="HV157" s="47"/>
      <c r="HW157" s="47"/>
      <c r="HX157" s="47"/>
      <c r="HY157" s="47"/>
      <c r="HZ157" s="47"/>
      <c r="IA157" s="47"/>
      <c r="IB157" s="47"/>
      <c r="IC157" s="47"/>
      <c r="ID157" s="47"/>
      <c r="IE157" s="47"/>
      <c r="IF157" s="47"/>
      <c r="IG157" s="47"/>
      <c r="IH157" s="47"/>
      <c r="II157" s="47"/>
      <c r="IJ157" s="47"/>
      <c r="IK157" s="47"/>
      <c r="IL157" s="47"/>
      <c r="IM157" s="47"/>
      <c r="IN157" s="47"/>
      <c r="IO157" s="47"/>
      <c r="IP157" s="47"/>
      <c r="IQ157" s="47"/>
      <c r="IR157" s="47"/>
      <c r="IS157" s="47"/>
      <c r="IT157" s="47"/>
      <c r="IU157" s="47"/>
      <c r="IV157" s="47"/>
      <c r="IW157" s="1"/>
      <c r="IX157" s="1"/>
      <c r="IY157" s="1"/>
      <c r="IZ157" s="1"/>
      <c r="JA157" s="1"/>
      <c r="JB157" s="1"/>
      <c r="JC157" s="1"/>
      <c r="JD157" s="1"/>
      <c r="JE157" s="1"/>
      <c r="JF157" s="1"/>
      <c r="JG157" s="1"/>
      <c r="JH157" s="1"/>
      <c r="JI157" s="1"/>
      <c r="JJ157" s="1"/>
      <c r="JK157" s="1"/>
      <c r="JL157" s="1"/>
      <c r="JM157" s="1"/>
      <c r="JN157" s="1"/>
      <c r="JO157" s="1"/>
      <c r="JP157" s="1"/>
      <c r="JQ157" s="1"/>
      <c r="JR157" s="1"/>
      <c r="JS157" s="1"/>
      <c r="JT157" s="1"/>
      <c r="JU157" s="1"/>
      <c r="JV157" s="1"/>
      <c r="JW157" s="1"/>
      <c r="JX157" s="1"/>
      <c r="JY157" s="1"/>
      <c r="JZ157" s="1"/>
      <c r="KA157" s="1"/>
      <c r="KB157" s="1"/>
      <c r="KC157" s="1"/>
      <c r="KD157" s="1"/>
      <c r="KE157" s="1"/>
      <c r="KF157" s="1"/>
      <c r="KG157" s="1"/>
      <c r="KH157" s="1"/>
      <c r="KI157" s="1"/>
      <c r="KJ157" s="1"/>
      <c r="KK157" s="1"/>
      <c r="KL157" s="1"/>
      <c r="KM157" s="1"/>
      <c r="KN157" s="1"/>
      <c r="KO157" s="1"/>
      <c r="KP157" s="1"/>
      <c r="KQ157" s="1"/>
      <c r="KR157" s="1"/>
      <c r="KS157" s="1"/>
      <c r="KT157" s="1"/>
      <c r="KU157" s="1"/>
      <c r="KV157" s="1"/>
      <c r="KW157" s="1"/>
      <c r="KX157" s="1"/>
      <c r="KY157" s="1"/>
      <c r="KZ157" s="1"/>
      <c r="LA157" s="1"/>
      <c r="LB157" s="1"/>
      <c r="LC157" s="1"/>
      <c r="LD157" s="1"/>
      <c r="LE157" s="1"/>
      <c r="LF157" s="1"/>
      <c r="LG157" s="1"/>
      <c r="LH157" s="1"/>
      <c r="LI157" s="1"/>
      <c r="LJ157" s="1"/>
      <c r="LK157" s="1"/>
      <c r="LL157" s="1"/>
      <c r="LM157" s="1"/>
      <c r="LN157" s="1"/>
      <c r="LO157" s="1"/>
      <c r="LP157" s="1"/>
      <c r="LQ157" s="1"/>
      <c r="LR157" s="1"/>
      <c r="LS157" s="1"/>
      <c r="LT157" s="1"/>
      <c r="LU157" s="1"/>
      <c r="LV157" s="1"/>
      <c r="LW157" s="1"/>
      <c r="LX157" s="1"/>
      <c r="LY157" s="1"/>
      <c r="LZ157" s="1"/>
      <c r="MA157" s="1"/>
      <c r="MB157" s="1"/>
      <c r="MC157" s="1"/>
      <c r="MD157" s="1"/>
      <c r="ME157" s="1"/>
      <c r="MF157" s="1"/>
      <c r="MG157" s="1"/>
      <c r="MH157" s="1"/>
      <c r="MI157" s="1"/>
      <c r="MJ157" s="1"/>
      <c r="MK157" s="1"/>
      <c r="ML157" s="1"/>
      <c r="MM157" s="1"/>
      <c r="MN157" s="1"/>
      <c r="MO157" s="1"/>
      <c r="MP157" s="1"/>
      <c r="MQ157" s="1"/>
      <c r="MR157" s="1"/>
      <c r="MS157" s="1"/>
      <c r="MT157" s="1"/>
      <c r="MU157" s="1"/>
      <c r="MV157" s="1"/>
      <c r="MW157" s="1"/>
      <c r="MX157" s="1"/>
      <c r="MY157" s="1"/>
      <c r="MZ157" s="1"/>
      <c r="NA157" s="1"/>
      <c r="NB157" s="1"/>
      <c r="ND157" s="1"/>
      <c r="NE157" s="1"/>
      <c r="NF157" s="1"/>
      <c r="NG157" s="1"/>
      <c r="NH157" s="1"/>
    </row>
    <row r="158" spans="1:372" ht="12.75" customHeight="1" x14ac:dyDescent="0.3">
      <c r="A158" s="59"/>
      <c r="B158" s="61"/>
      <c r="C158" s="61"/>
      <c r="D158" s="61"/>
      <c r="E158" s="47"/>
      <c r="F158" s="47"/>
      <c r="G158" s="47"/>
      <c r="H158" s="47"/>
      <c r="I158" s="47"/>
      <c r="J158" s="47"/>
      <c r="K158" s="47"/>
      <c r="L158" s="47"/>
      <c r="M158" s="47"/>
      <c r="N158" s="47"/>
      <c r="O158" s="47"/>
      <c r="P158" s="47"/>
      <c r="Q158" s="47"/>
      <c r="R158" s="47"/>
      <c r="S158" s="47"/>
      <c r="T158" s="47"/>
      <c r="U158" s="47"/>
      <c r="V158" s="47"/>
      <c r="W158" s="47"/>
      <c r="X158" s="47"/>
      <c r="Y158" s="47"/>
      <c r="Z158" s="47"/>
      <c r="AA158" s="47"/>
      <c r="AB158" s="47"/>
      <c r="AC158" s="47"/>
      <c r="AD158" s="47"/>
      <c r="AE158" s="47"/>
      <c r="AF158" s="47"/>
      <c r="AG158" s="47"/>
      <c r="AH158" s="47"/>
      <c r="AI158" s="47"/>
      <c r="AJ158" s="47"/>
      <c r="AK158" s="47"/>
      <c r="AL158" s="47"/>
      <c r="AM158" s="47"/>
      <c r="AN158" s="47"/>
      <c r="AO158" s="47"/>
      <c r="AP158" s="47"/>
      <c r="AQ158" s="47"/>
      <c r="AR158" s="47"/>
      <c r="AS158" s="47"/>
      <c r="AT158" s="47"/>
      <c r="AU158" s="47"/>
      <c r="AV158" s="47"/>
      <c r="AW158" s="47"/>
      <c r="AX158" s="47"/>
      <c r="AY158" s="47"/>
      <c r="AZ158" s="47"/>
      <c r="BA158" s="47"/>
      <c r="BB158" s="47"/>
      <c r="BC158" s="47"/>
      <c r="BD158" s="47"/>
      <c r="BE158" s="47"/>
      <c r="BF158" s="47"/>
      <c r="BG158" s="47"/>
      <c r="BH158" s="47"/>
      <c r="BI158" s="47"/>
      <c r="BJ158" s="47"/>
      <c r="BK158" s="47"/>
      <c r="BL158" s="47"/>
      <c r="BM158" s="47"/>
      <c r="BN158" s="47"/>
      <c r="BO158" s="47"/>
      <c r="BP158" s="47"/>
      <c r="BQ158" s="47"/>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c r="CO158" s="47"/>
      <c r="CP158" s="47"/>
      <c r="CQ158" s="47"/>
      <c r="CR158" s="47"/>
      <c r="CS158" s="47"/>
      <c r="CT158" s="47"/>
      <c r="CU158" s="47"/>
      <c r="CV158" s="47"/>
      <c r="CW158" s="47"/>
      <c r="CX158" s="47"/>
      <c r="CY158" s="47"/>
      <c r="CZ158" s="47"/>
      <c r="DA158" s="47"/>
      <c r="DB158" s="47"/>
      <c r="DC158" s="47"/>
      <c r="DD158" s="47"/>
      <c r="DE158" s="47"/>
      <c r="DF158" s="47"/>
      <c r="DG158" s="47"/>
      <c r="DH158" s="47"/>
      <c r="DI158" s="47"/>
      <c r="DJ158" s="47"/>
      <c r="DK158" s="47"/>
      <c r="DL158" s="47"/>
      <c r="DM158" s="47"/>
      <c r="DN158" s="47"/>
      <c r="DO158" s="47"/>
      <c r="DP158" s="47"/>
      <c r="DQ158" s="47"/>
      <c r="DR158" s="47"/>
      <c r="DS158" s="47"/>
      <c r="DT158" s="47"/>
      <c r="DU158" s="47"/>
      <c r="DV158" s="47"/>
      <c r="DW158" s="47"/>
      <c r="DX158" s="47"/>
      <c r="DY158" s="47"/>
      <c r="DZ158" s="47"/>
      <c r="EA158" s="47"/>
      <c r="EB158" s="47"/>
      <c r="EC158" s="47"/>
      <c r="ED158" s="47"/>
      <c r="EE158" s="47"/>
      <c r="EF158" s="47"/>
      <c r="EG158" s="47"/>
      <c r="EH158" s="47"/>
      <c r="EI158" s="47"/>
      <c r="EJ158" s="47"/>
      <c r="EK158" s="47"/>
      <c r="EL158" s="47"/>
      <c r="EM158" s="47"/>
      <c r="EN158" s="47"/>
      <c r="EO158" s="47"/>
      <c r="EP158" s="47"/>
      <c r="EQ158" s="47"/>
      <c r="ER158" s="47"/>
      <c r="ES158" s="47"/>
      <c r="ET158" s="47"/>
      <c r="EU158" s="47"/>
      <c r="EV158" s="47"/>
      <c r="EW158" s="47"/>
      <c r="EX158" s="47"/>
      <c r="EY158" s="47"/>
      <c r="EZ158" s="47"/>
      <c r="FA158" s="47"/>
      <c r="FB158" s="47"/>
      <c r="FC158" s="47"/>
      <c r="FD158" s="47"/>
      <c r="FE158" s="47"/>
      <c r="FF158" s="47"/>
      <c r="FG158" s="47"/>
      <c r="FH158" s="47"/>
      <c r="FI158" s="47"/>
      <c r="FJ158" s="47"/>
      <c r="FK158" s="47"/>
      <c r="FL158" s="47"/>
      <c r="FM158" s="47"/>
      <c r="FN158" s="47"/>
      <c r="FO158" s="47"/>
      <c r="FP158" s="47"/>
      <c r="FQ158" s="47"/>
      <c r="FR158" s="47"/>
      <c r="FS158" s="47"/>
      <c r="FT158" s="47"/>
      <c r="FU158" s="47"/>
      <c r="FV158" s="47"/>
      <c r="FW158" s="47"/>
      <c r="FX158" s="47"/>
      <c r="FY158" s="47"/>
      <c r="FZ158" s="47"/>
      <c r="GA158" s="47"/>
      <c r="GB158" s="47"/>
      <c r="GC158" s="47"/>
      <c r="GD158" s="47"/>
      <c r="GE158" s="47"/>
      <c r="GF158" s="47"/>
      <c r="GG158" s="47"/>
      <c r="GH158" s="47"/>
      <c r="GI158" s="47"/>
      <c r="GJ158" s="47"/>
      <c r="GK158" s="47"/>
      <c r="GL158" s="47"/>
      <c r="GM158" s="47"/>
      <c r="GN158" s="47"/>
      <c r="GO158" s="47"/>
      <c r="GP158" s="47"/>
      <c r="GQ158" s="47"/>
      <c r="GR158" s="47"/>
      <c r="GS158" s="47"/>
      <c r="GT158" s="47"/>
      <c r="GU158" s="47"/>
      <c r="GV158" s="47"/>
      <c r="GW158" s="47"/>
      <c r="GX158" s="47"/>
      <c r="GY158" s="47"/>
      <c r="GZ158" s="47"/>
      <c r="HA158" s="47"/>
      <c r="HB158" s="47"/>
      <c r="HC158" s="47"/>
      <c r="HD158" s="47"/>
      <c r="HE158" s="47"/>
      <c r="HF158" s="47"/>
      <c r="HG158" s="47"/>
      <c r="HH158" s="47"/>
      <c r="HI158" s="47"/>
      <c r="HJ158" s="47"/>
      <c r="HK158" s="47"/>
      <c r="HL158" s="47"/>
      <c r="HM158" s="47"/>
      <c r="HN158" s="47"/>
      <c r="HO158" s="47"/>
      <c r="HP158" s="47"/>
      <c r="HQ158" s="47"/>
      <c r="HR158" s="47"/>
      <c r="HS158" s="47"/>
      <c r="HT158" s="47"/>
      <c r="HU158" s="47"/>
      <c r="HV158" s="47"/>
      <c r="HW158" s="47"/>
      <c r="HX158" s="47"/>
      <c r="HY158" s="47"/>
      <c r="HZ158" s="47"/>
      <c r="IA158" s="47"/>
      <c r="IB158" s="47"/>
      <c r="IC158" s="47"/>
      <c r="ID158" s="47"/>
      <c r="IE158" s="47"/>
      <c r="IF158" s="47"/>
      <c r="IG158" s="47"/>
      <c r="IH158" s="47"/>
      <c r="II158" s="47"/>
      <c r="IJ158" s="47"/>
      <c r="IK158" s="47"/>
      <c r="IL158" s="47"/>
      <c r="IM158" s="47"/>
      <c r="IN158" s="47"/>
      <c r="IO158" s="47"/>
      <c r="IP158" s="47"/>
      <c r="IQ158" s="47"/>
      <c r="IR158" s="47"/>
      <c r="IS158" s="47"/>
      <c r="IT158" s="47"/>
      <c r="IU158" s="47"/>
      <c r="IV158" s="47"/>
      <c r="IW158" s="1"/>
      <c r="IX158" s="1"/>
      <c r="IY158" s="1"/>
      <c r="IZ158" s="1"/>
      <c r="JA158" s="1"/>
      <c r="JB158" s="1"/>
      <c r="JC158" s="1"/>
      <c r="JD158" s="1"/>
      <c r="JE158" s="1"/>
      <c r="JF158" s="1"/>
      <c r="JG158" s="1"/>
      <c r="JH158" s="1"/>
      <c r="JI158" s="1"/>
      <c r="JJ158" s="1"/>
      <c r="JK158" s="1"/>
      <c r="JL158" s="1"/>
      <c r="JM158" s="1"/>
      <c r="JN158" s="1"/>
      <c r="JO158" s="1"/>
      <c r="JP158" s="1"/>
      <c r="JQ158" s="1"/>
      <c r="JR158" s="1"/>
      <c r="JS158" s="1"/>
      <c r="JT158" s="1"/>
      <c r="JU158" s="1"/>
      <c r="JV158" s="1"/>
      <c r="JW158" s="1"/>
      <c r="JX158" s="1"/>
      <c r="JY158" s="1"/>
      <c r="JZ158" s="1"/>
      <c r="KA158" s="1"/>
      <c r="KB158" s="1"/>
      <c r="KC158" s="1"/>
      <c r="KD158" s="1"/>
      <c r="KE158" s="1"/>
      <c r="KF158" s="1"/>
      <c r="KG158" s="1"/>
      <c r="KH158" s="1"/>
      <c r="KI158" s="1"/>
      <c r="KJ158" s="1"/>
      <c r="KK158" s="1"/>
      <c r="KL158" s="1"/>
      <c r="KM158" s="1"/>
      <c r="KN158" s="1"/>
      <c r="KO158" s="1"/>
      <c r="KP158" s="1"/>
      <c r="KQ158" s="1"/>
      <c r="KR158" s="1"/>
      <c r="KS158" s="1"/>
      <c r="KT158" s="1"/>
      <c r="KU158" s="1"/>
      <c r="KV158" s="1"/>
      <c r="KW158" s="1"/>
      <c r="KX158" s="1"/>
      <c r="KY158" s="1"/>
      <c r="KZ158" s="1"/>
      <c r="LA158" s="1"/>
      <c r="LB158" s="1"/>
      <c r="LC158" s="1"/>
      <c r="LD158" s="1"/>
      <c r="LE158" s="1"/>
      <c r="LF158" s="1"/>
      <c r="LG158" s="1"/>
      <c r="LH158" s="1"/>
      <c r="LI158" s="1"/>
      <c r="LJ158" s="1"/>
      <c r="LK158" s="1"/>
      <c r="LL158" s="1"/>
      <c r="LM158" s="1"/>
      <c r="LN158" s="1"/>
      <c r="LO158" s="1"/>
      <c r="LP158" s="1"/>
      <c r="LQ158" s="1"/>
      <c r="LR158" s="1"/>
      <c r="LS158" s="1"/>
      <c r="LT158" s="1"/>
      <c r="LU158" s="1"/>
      <c r="LV158" s="1"/>
      <c r="LW158" s="1"/>
      <c r="LX158" s="1"/>
      <c r="LY158" s="1"/>
      <c r="LZ158" s="1"/>
      <c r="MA158" s="1"/>
      <c r="MB158" s="1"/>
      <c r="MC158" s="1"/>
      <c r="MD158" s="1"/>
      <c r="ME158" s="1"/>
      <c r="MF158" s="1"/>
      <c r="MG158" s="1"/>
      <c r="MH158" s="1"/>
      <c r="MI158" s="1"/>
      <c r="MJ158" s="1"/>
      <c r="MK158" s="1"/>
      <c r="ML158" s="1"/>
      <c r="MM158" s="1"/>
      <c r="MN158" s="1"/>
      <c r="MO158" s="1"/>
      <c r="MP158" s="1"/>
      <c r="MQ158" s="1"/>
      <c r="MR158" s="1"/>
      <c r="MS158" s="1"/>
      <c r="MT158" s="1"/>
      <c r="MU158" s="1"/>
      <c r="MV158" s="1"/>
      <c r="MW158" s="1"/>
      <c r="MX158" s="1"/>
      <c r="MY158" s="1"/>
      <c r="MZ158" s="1"/>
      <c r="NA158" s="1"/>
      <c r="NB158" s="1"/>
      <c r="ND158" s="1"/>
      <c r="NE158" s="1"/>
      <c r="NF158" s="1"/>
      <c r="NG158" s="1"/>
      <c r="NH158" s="1"/>
    </row>
    <row r="159" spans="1:372" ht="12.75" customHeight="1" x14ac:dyDescent="0.3">
      <c r="A159" s="59"/>
      <c r="B159" s="61"/>
      <c r="C159" s="61"/>
      <c r="D159" s="61"/>
      <c r="E159" s="47"/>
      <c r="F159" s="47"/>
      <c r="G159" s="47"/>
      <c r="H159" s="47"/>
      <c r="I159" s="47"/>
      <c r="J159" s="47"/>
      <c r="K159" s="47"/>
      <c r="L159" s="47"/>
      <c r="M159" s="47"/>
      <c r="N159" s="47"/>
      <c r="O159" s="47"/>
      <c r="P159" s="47"/>
      <c r="Q159" s="47"/>
      <c r="R159" s="47"/>
      <c r="S159" s="47"/>
      <c r="T159" s="47"/>
      <c r="U159" s="47"/>
      <c r="V159" s="47"/>
      <c r="W159" s="47"/>
      <c r="X159" s="47"/>
      <c r="Y159" s="47"/>
      <c r="Z159" s="47"/>
      <c r="AA159" s="47"/>
      <c r="AB159" s="47"/>
      <c r="AC159" s="47"/>
      <c r="AD159" s="47"/>
      <c r="AE159" s="47"/>
      <c r="AF159" s="47"/>
      <c r="AG159" s="47"/>
      <c r="AH159" s="47"/>
      <c r="AI159" s="47"/>
      <c r="AJ159" s="47"/>
      <c r="AK159" s="47"/>
      <c r="AL159" s="47"/>
      <c r="AM159" s="47"/>
      <c r="AN159" s="47"/>
      <c r="AO159" s="47"/>
      <c r="AP159" s="47"/>
      <c r="AQ159" s="47"/>
      <c r="AR159" s="47"/>
      <c r="AS159" s="47"/>
      <c r="AT159" s="47"/>
      <c r="AU159" s="47"/>
      <c r="AV159" s="47"/>
      <c r="AW159" s="47"/>
      <c r="AX159" s="47"/>
      <c r="AY159" s="47"/>
      <c r="AZ159" s="47"/>
      <c r="BA159" s="47"/>
      <c r="BB159" s="47"/>
      <c r="BC159" s="47"/>
      <c r="BD159" s="47"/>
      <c r="BE159" s="47"/>
      <c r="BF159" s="47"/>
      <c r="BG159" s="47"/>
      <c r="BH159" s="47"/>
      <c r="BI159" s="47"/>
      <c r="BJ159" s="47"/>
      <c r="BK159" s="47"/>
      <c r="BL159" s="47"/>
      <c r="BM159" s="47"/>
      <c r="BN159" s="47"/>
      <c r="BO159" s="47"/>
      <c r="BP159" s="47"/>
      <c r="BQ159" s="47"/>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c r="CO159" s="47"/>
      <c r="CP159" s="47"/>
      <c r="CQ159" s="47"/>
      <c r="CR159" s="47"/>
      <c r="CS159" s="47"/>
      <c r="CT159" s="47"/>
      <c r="CU159" s="47"/>
      <c r="CV159" s="47"/>
      <c r="CW159" s="47"/>
      <c r="CX159" s="47"/>
      <c r="CY159" s="47"/>
      <c r="CZ159" s="47"/>
      <c r="DA159" s="47"/>
      <c r="DB159" s="47"/>
      <c r="DC159" s="47"/>
      <c r="DD159" s="47"/>
      <c r="DE159" s="47"/>
      <c r="DF159" s="47"/>
      <c r="DG159" s="47"/>
      <c r="DH159" s="47"/>
      <c r="DI159" s="47"/>
      <c r="DJ159" s="47"/>
      <c r="DK159" s="47"/>
      <c r="DL159" s="47"/>
      <c r="DM159" s="47"/>
      <c r="DN159" s="47"/>
      <c r="DO159" s="47"/>
      <c r="DP159" s="47"/>
      <c r="DQ159" s="47"/>
      <c r="DR159" s="47"/>
      <c r="DS159" s="47"/>
      <c r="DT159" s="47"/>
      <c r="DU159" s="47"/>
      <c r="DV159" s="47"/>
      <c r="DW159" s="47"/>
      <c r="DX159" s="47"/>
      <c r="DY159" s="47"/>
      <c r="DZ159" s="47"/>
      <c r="EA159" s="47"/>
      <c r="EB159" s="47"/>
      <c r="EC159" s="47"/>
      <c r="ED159" s="47"/>
      <c r="EE159" s="47"/>
      <c r="EF159" s="47"/>
      <c r="EG159" s="47"/>
      <c r="EH159" s="47"/>
      <c r="EI159" s="47"/>
      <c r="EJ159" s="47"/>
      <c r="EK159" s="47"/>
      <c r="EL159" s="47"/>
      <c r="EM159" s="47"/>
      <c r="EN159" s="47"/>
      <c r="EO159" s="47"/>
      <c r="EP159" s="47"/>
      <c r="EQ159" s="47"/>
      <c r="ER159" s="47"/>
      <c r="ES159" s="47"/>
      <c r="ET159" s="47"/>
      <c r="EU159" s="47"/>
      <c r="EV159" s="47"/>
      <c r="EW159" s="47"/>
      <c r="EX159" s="47"/>
      <c r="EY159" s="47"/>
      <c r="EZ159" s="47"/>
      <c r="FA159" s="47"/>
      <c r="FB159" s="47"/>
      <c r="FC159" s="47"/>
      <c r="FD159" s="47"/>
      <c r="FE159" s="47"/>
      <c r="FF159" s="47"/>
      <c r="FG159" s="47"/>
      <c r="FH159" s="47"/>
      <c r="FI159" s="47"/>
      <c r="FJ159" s="47"/>
      <c r="FK159" s="47"/>
      <c r="FL159" s="47"/>
      <c r="FM159" s="47"/>
      <c r="FN159" s="47"/>
      <c r="FO159" s="47"/>
      <c r="FP159" s="47"/>
      <c r="FQ159" s="47"/>
      <c r="FR159" s="47"/>
      <c r="FS159" s="47"/>
      <c r="FT159" s="47"/>
      <c r="FU159" s="47"/>
      <c r="FV159" s="47"/>
      <c r="FW159" s="47"/>
      <c r="FX159" s="47"/>
      <c r="FY159" s="47"/>
      <c r="FZ159" s="47"/>
      <c r="GA159" s="47"/>
      <c r="GB159" s="47"/>
      <c r="GC159" s="47"/>
      <c r="GD159" s="47"/>
      <c r="GE159" s="47"/>
      <c r="GF159" s="47"/>
      <c r="GG159" s="47"/>
      <c r="GH159" s="47"/>
      <c r="GI159" s="47"/>
      <c r="GJ159" s="47"/>
      <c r="GK159" s="47"/>
      <c r="GL159" s="47"/>
      <c r="GM159" s="47"/>
      <c r="GN159" s="47"/>
      <c r="GO159" s="47"/>
      <c r="GP159" s="47"/>
      <c r="GQ159" s="47"/>
      <c r="GR159" s="47"/>
      <c r="GS159" s="47"/>
      <c r="GT159" s="47"/>
      <c r="GU159" s="47"/>
      <c r="GV159" s="47"/>
      <c r="GW159" s="47"/>
      <c r="GX159" s="47"/>
      <c r="GY159" s="47"/>
      <c r="GZ159" s="47"/>
      <c r="HA159" s="47"/>
      <c r="HB159" s="47"/>
      <c r="HC159" s="47"/>
      <c r="HD159" s="47"/>
      <c r="HE159" s="47"/>
      <c r="HF159" s="47"/>
      <c r="HG159" s="47"/>
      <c r="HH159" s="47"/>
      <c r="HI159" s="47"/>
      <c r="HJ159" s="47"/>
      <c r="HK159" s="47"/>
      <c r="HL159" s="47"/>
      <c r="HM159" s="47"/>
      <c r="HN159" s="47"/>
      <c r="HO159" s="47"/>
      <c r="HP159" s="47"/>
      <c r="HQ159" s="47"/>
      <c r="HR159" s="47"/>
      <c r="HS159" s="47"/>
      <c r="HT159" s="47"/>
      <c r="HU159" s="47"/>
      <c r="HV159" s="47"/>
      <c r="HW159" s="47"/>
      <c r="HX159" s="47"/>
      <c r="HY159" s="47"/>
      <c r="HZ159" s="47"/>
      <c r="IA159" s="47"/>
      <c r="IB159" s="47"/>
      <c r="IC159" s="47"/>
      <c r="ID159" s="47"/>
      <c r="IE159" s="47"/>
      <c r="IF159" s="47"/>
      <c r="IG159" s="47"/>
      <c r="IH159" s="47"/>
      <c r="II159" s="47"/>
      <c r="IJ159" s="47"/>
      <c r="IK159" s="47"/>
      <c r="IL159" s="47"/>
      <c r="IM159" s="47"/>
      <c r="IN159" s="47"/>
      <c r="IO159" s="47"/>
      <c r="IP159" s="47"/>
      <c r="IQ159" s="47"/>
      <c r="IR159" s="47"/>
      <c r="IS159" s="47"/>
      <c r="IT159" s="47"/>
      <c r="IU159" s="47"/>
      <c r="IV159" s="47"/>
      <c r="IW159" s="1"/>
      <c r="IX159" s="1"/>
      <c r="IY159" s="1"/>
      <c r="IZ159" s="1"/>
      <c r="JA159" s="1"/>
      <c r="JB159" s="1"/>
      <c r="JC159" s="1"/>
      <c r="JD159" s="1"/>
      <c r="JE159" s="1"/>
      <c r="JF159" s="1"/>
      <c r="JG159" s="1"/>
      <c r="JH159" s="1"/>
      <c r="JI159" s="1"/>
      <c r="JJ159" s="1"/>
      <c r="JK159" s="1"/>
      <c r="JL159" s="1"/>
      <c r="JM159" s="1"/>
      <c r="JN159" s="1"/>
      <c r="JO159" s="1"/>
      <c r="JP159" s="1"/>
      <c r="JQ159" s="1"/>
      <c r="JR159" s="1"/>
      <c r="JS159" s="1"/>
      <c r="JT159" s="1"/>
      <c r="JU159" s="1"/>
      <c r="JV159" s="1"/>
      <c r="JW159" s="1"/>
      <c r="JX159" s="1"/>
      <c r="JY159" s="1"/>
      <c r="JZ159" s="1"/>
      <c r="KA159" s="1"/>
      <c r="KB159" s="1"/>
      <c r="KC159" s="1"/>
      <c r="KD159" s="1"/>
      <c r="KE159" s="1"/>
      <c r="KF159" s="1"/>
      <c r="KG159" s="1"/>
      <c r="KH159" s="1"/>
      <c r="KI159" s="1"/>
      <c r="KJ159" s="1"/>
      <c r="KK159" s="1"/>
      <c r="KL159" s="1"/>
      <c r="KM159" s="1"/>
      <c r="KN159" s="1"/>
      <c r="KO159" s="1"/>
      <c r="KP159" s="1"/>
      <c r="KQ159" s="1"/>
      <c r="KR159" s="1"/>
      <c r="KS159" s="1"/>
      <c r="KT159" s="1"/>
      <c r="KU159" s="1"/>
      <c r="KV159" s="1"/>
      <c r="KW159" s="1"/>
      <c r="KX159" s="1"/>
      <c r="KY159" s="1"/>
      <c r="KZ159" s="1"/>
      <c r="LA159" s="1"/>
      <c r="LB159" s="1"/>
      <c r="LC159" s="1"/>
      <c r="LD159" s="1"/>
      <c r="LE159" s="1"/>
      <c r="LF159" s="1"/>
      <c r="LG159" s="1"/>
      <c r="LH159" s="1"/>
      <c r="LI159" s="1"/>
      <c r="LJ159" s="1"/>
      <c r="LK159" s="1"/>
      <c r="LL159" s="1"/>
      <c r="LM159" s="1"/>
      <c r="LN159" s="1"/>
      <c r="LO159" s="1"/>
      <c r="LP159" s="1"/>
      <c r="LQ159" s="1"/>
      <c r="LR159" s="1"/>
      <c r="LS159" s="1"/>
      <c r="LT159" s="1"/>
      <c r="LU159" s="1"/>
      <c r="LV159" s="1"/>
      <c r="LW159" s="1"/>
      <c r="LX159" s="1"/>
      <c r="LY159" s="1"/>
      <c r="LZ159" s="1"/>
      <c r="MA159" s="1"/>
      <c r="MB159" s="1"/>
      <c r="MC159" s="1"/>
      <c r="MD159" s="1"/>
      <c r="ME159" s="1"/>
      <c r="MF159" s="1"/>
      <c r="MG159" s="1"/>
      <c r="MH159" s="1"/>
      <c r="MI159" s="1"/>
      <c r="MJ159" s="1"/>
      <c r="MK159" s="1"/>
      <c r="ML159" s="1"/>
      <c r="MM159" s="1"/>
      <c r="MN159" s="1"/>
      <c r="MO159" s="1"/>
      <c r="MP159" s="1"/>
      <c r="MQ159" s="1"/>
      <c r="MR159" s="1"/>
      <c r="MS159" s="1"/>
      <c r="MT159" s="1"/>
      <c r="MU159" s="1"/>
      <c r="MV159" s="1"/>
      <c r="MW159" s="1"/>
      <c r="MX159" s="1"/>
      <c r="MY159" s="1"/>
      <c r="MZ159" s="1"/>
      <c r="NA159" s="1"/>
      <c r="NB159" s="1"/>
      <c r="ND159" s="1"/>
      <c r="NE159" s="1"/>
      <c r="NF159" s="1"/>
      <c r="NG159" s="1"/>
      <c r="NH159" s="1"/>
    </row>
    <row r="160" spans="1:372" ht="12.75" customHeight="1" x14ac:dyDescent="0.3">
      <c r="A160" s="59"/>
      <c r="B160" s="61"/>
      <c r="C160" s="61"/>
      <c r="D160" s="61"/>
      <c r="E160" s="47"/>
      <c r="F160" s="47"/>
      <c r="G160" s="47"/>
      <c r="H160" s="47"/>
      <c r="I160" s="47"/>
      <c r="J160" s="47"/>
      <c r="K160" s="47"/>
      <c r="L160" s="47"/>
      <c r="M160" s="47"/>
      <c r="N160" s="47"/>
      <c r="O160" s="47"/>
      <c r="P160" s="47"/>
      <c r="Q160" s="47"/>
      <c r="R160" s="47"/>
      <c r="S160" s="47"/>
      <c r="T160" s="47"/>
      <c r="U160" s="47"/>
      <c r="V160" s="47"/>
      <c r="W160" s="47"/>
      <c r="X160" s="47"/>
      <c r="Y160" s="47"/>
      <c r="Z160" s="47"/>
      <c r="AA160" s="47"/>
      <c r="AB160" s="47"/>
      <c r="AC160" s="47"/>
      <c r="AD160" s="47"/>
      <c r="AE160" s="47"/>
      <c r="AF160" s="47"/>
      <c r="AG160" s="47"/>
      <c r="AH160" s="47"/>
      <c r="AI160" s="47"/>
      <c r="AJ160" s="47"/>
      <c r="AK160" s="47"/>
      <c r="AL160" s="47"/>
      <c r="AM160" s="47"/>
      <c r="AN160" s="47"/>
      <c r="AO160" s="47"/>
      <c r="AP160" s="47"/>
      <c r="AQ160" s="47"/>
      <c r="AR160" s="47"/>
      <c r="AS160" s="47"/>
      <c r="AT160" s="47"/>
      <c r="AU160" s="47"/>
      <c r="AV160" s="47"/>
      <c r="AW160" s="47"/>
      <c r="AX160" s="47"/>
      <c r="AY160" s="47"/>
      <c r="AZ160" s="47"/>
      <c r="BA160" s="47"/>
      <c r="BB160" s="47"/>
      <c r="BC160" s="47"/>
      <c r="BD160" s="47"/>
      <c r="BE160" s="47"/>
      <c r="BF160" s="47"/>
      <c r="BG160" s="47"/>
      <c r="BH160" s="47"/>
      <c r="BI160" s="47"/>
      <c r="BJ160" s="47"/>
      <c r="BK160" s="47"/>
      <c r="BL160" s="47"/>
      <c r="BM160" s="47"/>
      <c r="BN160" s="47"/>
      <c r="BO160" s="47"/>
      <c r="BP160" s="47"/>
      <c r="BQ160" s="47"/>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c r="CO160" s="47"/>
      <c r="CP160" s="47"/>
      <c r="CQ160" s="47"/>
      <c r="CR160" s="47"/>
      <c r="CS160" s="47"/>
      <c r="CT160" s="47"/>
      <c r="CU160" s="47"/>
      <c r="CV160" s="47"/>
      <c r="CW160" s="47"/>
      <c r="CX160" s="47"/>
      <c r="CY160" s="47"/>
      <c r="CZ160" s="47"/>
      <c r="DA160" s="47"/>
      <c r="DB160" s="47"/>
      <c r="DC160" s="47"/>
      <c r="DD160" s="47"/>
      <c r="DE160" s="47"/>
      <c r="DF160" s="47"/>
      <c r="DG160" s="47"/>
      <c r="DH160" s="47"/>
      <c r="DI160" s="47"/>
      <c r="DJ160" s="47"/>
      <c r="DK160" s="47"/>
      <c r="DL160" s="47"/>
      <c r="DM160" s="47"/>
      <c r="DN160" s="47"/>
      <c r="DO160" s="47"/>
      <c r="DP160" s="47"/>
      <c r="DQ160" s="47"/>
      <c r="DR160" s="47"/>
      <c r="DS160" s="47"/>
      <c r="DT160" s="47"/>
      <c r="DU160" s="47"/>
      <c r="DV160" s="47"/>
      <c r="DW160" s="47"/>
      <c r="DX160" s="47"/>
      <c r="DY160" s="47"/>
      <c r="DZ160" s="47"/>
      <c r="EA160" s="47"/>
      <c r="EB160" s="47"/>
      <c r="EC160" s="47"/>
      <c r="ED160" s="47"/>
      <c r="EE160" s="47"/>
      <c r="EF160" s="47"/>
      <c r="EG160" s="47"/>
      <c r="EH160" s="47"/>
      <c r="EI160" s="47"/>
      <c r="EJ160" s="47"/>
      <c r="EK160" s="47"/>
      <c r="EL160" s="47"/>
      <c r="EM160" s="47"/>
      <c r="EN160" s="47"/>
      <c r="EO160" s="47"/>
      <c r="EP160" s="47"/>
      <c r="EQ160" s="47"/>
      <c r="ER160" s="47"/>
      <c r="ES160" s="47"/>
      <c r="ET160" s="47"/>
      <c r="EU160" s="47"/>
      <c r="EV160" s="47"/>
      <c r="EW160" s="47"/>
      <c r="EX160" s="47"/>
      <c r="EY160" s="47"/>
      <c r="EZ160" s="47"/>
      <c r="FA160" s="47"/>
      <c r="FB160" s="47"/>
      <c r="FC160" s="47"/>
      <c r="FD160" s="47"/>
      <c r="FE160" s="47"/>
      <c r="FF160" s="47"/>
      <c r="FG160" s="47"/>
      <c r="FH160" s="47"/>
      <c r="FI160" s="47"/>
      <c r="FJ160" s="47"/>
      <c r="FK160" s="47"/>
      <c r="FL160" s="47"/>
      <c r="FM160" s="47"/>
      <c r="FN160" s="47"/>
      <c r="FO160" s="47"/>
      <c r="FP160" s="47"/>
      <c r="FQ160" s="47"/>
      <c r="FR160" s="47"/>
      <c r="FS160" s="47"/>
      <c r="FT160" s="47"/>
      <c r="FU160" s="47"/>
      <c r="FV160" s="47"/>
      <c r="FW160" s="47"/>
      <c r="FX160" s="47"/>
      <c r="FY160" s="47"/>
      <c r="FZ160" s="47"/>
      <c r="GA160" s="47"/>
      <c r="GB160" s="47"/>
      <c r="GC160" s="47"/>
      <c r="GD160" s="47"/>
      <c r="GE160" s="47"/>
      <c r="GF160" s="47"/>
      <c r="GG160" s="47"/>
      <c r="GH160" s="47"/>
      <c r="GI160" s="47"/>
      <c r="GJ160" s="47"/>
      <c r="GK160" s="47"/>
      <c r="GL160" s="47"/>
      <c r="GM160" s="47"/>
      <c r="GN160" s="47"/>
      <c r="GO160" s="47"/>
      <c r="GP160" s="47"/>
      <c r="GQ160" s="47"/>
      <c r="GR160" s="47"/>
      <c r="GS160" s="47"/>
      <c r="GT160" s="47"/>
      <c r="GU160" s="47"/>
      <c r="GV160" s="47"/>
      <c r="GW160" s="47"/>
      <c r="GX160" s="47"/>
      <c r="GY160" s="47"/>
      <c r="GZ160" s="47"/>
      <c r="HA160" s="47"/>
      <c r="HB160" s="47"/>
      <c r="HC160" s="47"/>
      <c r="HD160" s="47"/>
      <c r="HE160" s="47"/>
      <c r="HF160" s="47"/>
      <c r="HG160" s="47"/>
      <c r="HH160" s="47"/>
      <c r="HI160" s="47"/>
      <c r="HJ160" s="47"/>
      <c r="HK160" s="47"/>
      <c r="HL160" s="47"/>
      <c r="HM160" s="47"/>
      <c r="HN160" s="47"/>
      <c r="HO160" s="47"/>
      <c r="HP160" s="47"/>
      <c r="HQ160" s="47"/>
      <c r="HR160" s="47"/>
      <c r="HS160" s="47"/>
      <c r="HT160" s="47"/>
      <c r="HU160" s="47"/>
      <c r="HV160" s="47"/>
      <c r="HW160" s="47"/>
      <c r="HX160" s="47"/>
      <c r="HY160" s="47"/>
      <c r="HZ160" s="47"/>
      <c r="IA160" s="47"/>
      <c r="IB160" s="47"/>
      <c r="IC160" s="47"/>
      <c r="ID160" s="47"/>
      <c r="IE160" s="47"/>
      <c r="IF160" s="47"/>
      <c r="IG160" s="47"/>
      <c r="IH160" s="47"/>
      <c r="II160" s="47"/>
      <c r="IJ160" s="47"/>
      <c r="IK160" s="47"/>
      <c r="IL160" s="47"/>
      <c r="IM160" s="47"/>
      <c r="IN160" s="47"/>
      <c r="IO160" s="47"/>
      <c r="IP160" s="47"/>
      <c r="IQ160" s="47"/>
      <c r="IR160" s="47"/>
      <c r="IS160" s="47"/>
      <c r="IT160" s="47"/>
      <c r="IU160" s="47"/>
      <c r="IV160" s="47"/>
      <c r="IW160" s="1"/>
      <c r="IX160" s="1"/>
      <c r="IY160" s="1"/>
      <c r="IZ160" s="1"/>
      <c r="JA160" s="1"/>
      <c r="JB160" s="1"/>
      <c r="JC160" s="1"/>
      <c r="JD160" s="1"/>
      <c r="JE160" s="1"/>
      <c r="JF160" s="1"/>
      <c r="JG160" s="1"/>
      <c r="JH160" s="1"/>
      <c r="JI160" s="1"/>
      <c r="JJ160" s="1"/>
      <c r="JK160" s="1"/>
      <c r="JL160" s="1"/>
      <c r="JM160" s="1"/>
      <c r="JN160" s="1"/>
      <c r="JO160" s="1"/>
      <c r="JP160" s="1"/>
      <c r="JQ160" s="1"/>
      <c r="JR160" s="1"/>
      <c r="JS160" s="1"/>
      <c r="JT160" s="1"/>
      <c r="JU160" s="1"/>
      <c r="JV160" s="1"/>
      <c r="JW160" s="1"/>
      <c r="JX160" s="1"/>
      <c r="JY160" s="1"/>
      <c r="JZ160" s="1"/>
      <c r="KA160" s="1"/>
      <c r="KB160" s="1"/>
      <c r="KC160" s="1"/>
      <c r="KD160" s="1"/>
      <c r="KE160" s="1"/>
      <c r="KF160" s="1"/>
      <c r="KG160" s="1"/>
      <c r="KH160" s="1"/>
      <c r="KI160" s="1"/>
      <c r="KJ160" s="1"/>
      <c r="KK160" s="1"/>
      <c r="KL160" s="1"/>
      <c r="KM160" s="1"/>
      <c r="KN160" s="1"/>
      <c r="KO160" s="1"/>
      <c r="KP160" s="1"/>
      <c r="KQ160" s="1"/>
      <c r="KR160" s="1"/>
      <c r="KS160" s="1"/>
      <c r="KT160" s="1"/>
      <c r="KU160" s="1"/>
      <c r="KV160" s="1"/>
      <c r="KW160" s="1"/>
      <c r="KX160" s="1"/>
      <c r="KY160" s="1"/>
      <c r="KZ160" s="1"/>
      <c r="LA160" s="1"/>
      <c r="LB160" s="1"/>
      <c r="LC160" s="1"/>
      <c r="LD160" s="1"/>
      <c r="LE160" s="1"/>
      <c r="LF160" s="1"/>
      <c r="LG160" s="1"/>
      <c r="LH160" s="1"/>
      <c r="LI160" s="1"/>
      <c r="LJ160" s="1"/>
      <c r="LK160" s="1"/>
      <c r="LL160" s="1"/>
      <c r="LM160" s="1"/>
      <c r="LN160" s="1"/>
      <c r="LO160" s="1"/>
      <c r="LP160" s="1"/>
      <c r="LQ160" s="1"/>
      <c r="LR160" s="1"/>
      <c r="LS160" s="1"/>
      <c r="LT160" s="1"/>
      <c r="LU160" s="1"/>
      <c r="LV160" s="1"/>
      <c r="LW160" s="1"/>
      <c r="LX160" s="1"/>
      <c r="LY160" s="1"/>
      <c r="LZ160" s="1"/>
      <c r="MA160" s="1"/>
      <c r="MB160" s="1"/>
      <c r="MC160" s="1"/>
      <c r="MD160" s="1"/>
      <c r="ME160" s="1"/>
      <c r="MF160" s="1"/>
      <c r="MG160" s="1"/>
      <c r="MH160" s="1"/>
      <c r="MI160" s="1"/>
      <c r="MJ160" s="1"/>
      <c r="MK160" s="1"/>
      <c r="ML160" s="1"/>
      <c r="MM160" s="1"/>
      <c r="MN160" s="1"/>
      <c r="MO160" s="1"/>
      <c r="MP160" s="1"/>
      <c r="MQ160" s="1"/>
      <c r="MR160" s="1"/>
      <c r="MS160" s="1"/>
      <c r="MT160" s="1"/>
      <c r="MU160" s="1"/>
      <c r="MV160" s="1"/>
      <c r="MW160" s="1"/>
      <c r="MX160" s="1"/>
      <c r="MY160" s="1"/>
      <c r="MZ160" s="1"/>
      <c r="NA160" s="1"/>
      <c r="NB160" s="1"/>
      <c r="ND160" s="1"/>
      <c r="NE160" s="1"/>
      <c r="NF160" s="1"/>
      <c r="NG160" s="1"/>
      <c r="NH160" s="1"/>
    </row>
    <row r="161" spans="1:372" ht="12.75" customHeight="1" x14ac:dyDescent="0.3">
      <c r="A161" s="59"/>
      <c r="B161" s="61"/>
      <c r="C161" s="61"/>
      <c r="D161" s="61"/>
      <c r="E161" s="47"/>
      <c r="F161" s="47"/>
      <c r="G161" s="47"/>
      <c r="H161" s="47"/>
      <c r="I161" s="47"/>
      <c r="J161" s="47"/>
      <c r="K161" s="47"/>
      <c r="L161" s="47"/>
      <c r="M161" s="47"/>
      <c r="N161" s="47"/>
      <c r="O161" s="47"/>
      <c r="P161" s="47"/>
      <c r="Q161" s="47"/>
      <c r="R161" s="47"/>
      <c r="S161" s="47"/>
      <c r="T161" s="47"/>
      <c r="U161" s="47"/>
      <c r="V161" s="47"/>
      <c r="W161" s="47"/>
      <c r="X161" s="47"/>
      <c r="Y161" s="47"/>
      <c r="Z161" s="47"/>
      <c r="AA161" s="47"/>
      <c r="AB161" s="47"/>
      <c r="AC161" s="47"/>
      <c r="AD161" s="47"/>
      <c r="AE161" s="47"/>
      <c r="AF161" s="47"/>
      <c r="AG161" s="47"/>
      <c r="AH161" s="47"/>
      <c r="AI161" s="47"/>
      <c r="AJ161" s="47"/>
      <c r="AK161" s="47"/>
      <c r="AL161" s="47"/>
      <c r="AM161" s="47"/>
      <c r="AN161" s="47"/>
      <c r="AO161" s="47"/>
      <c r="AP161" s="47"/>
      <c r="AQ161" s="47"/>
      <c r="AR161" s="47"/>
      <c r="AS161" s="47"/>
      <c r="AT161" s="47"/>
      <c r="AU161" s="47"/>
      <c r="AV161" s="47"/>
      <c r="AW161" s="47"/>
      <c r="AX161" s="47"/>
      <c r="AY161" s="47"/>
      <c r="AZ161" s="47"/>
      <c r="BA161" s="47"/>
      <c r="BB161" s="47"/>
      <c r="BC161" s="47"/>
      <c r="BD161" s="47"/>
      <c r="BE161" s="47"/>
      <c r="BF161" s="47"/>
      <c r="BG161" s="47"/>
      <c r="BH161" s="47"/>
      <c r="BI161" s="47"/>
      <c r="BJ161" s="47"/>
      <c r="BK161" s="47"/>
      <c r="BL161" s="47"/>
      <c r="BM161" s="47"/>
      <c r="BN161" s="47"/>
      <c r="BO161" s="47"/>
      <c r="BP161" s="47"/>
      <c r="BQ161" s="47"/>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c r="CO161" s="47"/>
      <c r="CP161" s="47"/>
      <c r="CQ161" s="47"/>
      <c r="CR161" s="47"/>
      <c r="CS161" s="47"/>
      <c r="CT161" s="47"/>
      <c r="CU161" s="47"/>
      <c r="CV161" s="47"/>
      <c r="CW161" s="47"/>
      <c r="CX161" s="47"/>
      <c r="CY161" s="47"/>
      <c r="CZ161" s="47"/>
      <c r="DA161" s="47"/>
      <c r="DB161" s="47"/>
      <c r="DC161" s="47"/>
      <c r="DD161" s="47"/>
      <c r="DE161" s="47"/>
      <c r="DF161" s="47"/>
      <c r="DG161" s="47"/>
      <c r="DH161" s="47"/>
      <c r="DI161" s="47"/>
      <c r="DJ161" s="47"/>
      <c r="DK161" s="47"/>
      <c r="DL161" s="47"/>
      <c r="DM161" s="47"/>
      <c r="DN161" s="47"/>
      <c r="DO161" s="47"/>
      <c r="DP161" s="47"/>
      <c r="DQ161" s="47"/>
      <c r="DR161" s="47"/>
      <c r="DS161" s="47"/>
      <c r="DT161" s="47"/>
      <c r="DU161" s="47"/>
      <c r="DV161" s="47"/>
      <c r="DW161" s="47"/>
      <c r="DX161" s="47"/>
      <c r="DY161" s="47"/>
      <c r="DZ161" s="47"/>
      <c r="EA161" s="47"/>
      <c r="EB161" s="47"/>
      <c r="EC161" s="47"/>
      <c r="ED161" s="47"/>
      <c r="EE161" s="47"/>
      <c r="EF161" s="47"/>
      <c r="EG161" s="47"/>
      <c r="EH161" s="47"/>
      <c r="EI161" s="47"/>
      <c r="EJ161" s="47"/>
      <c r="EK161" s="47"/>
      <c r="EL161" s="47"/>
      <c r="EM161" s="47"/>
      <c r="EN161" s="47"/>
      <c r="EO161" s="47"/>
      <c r="EP161" s="47"/>
      <c r="EQ161" s="47"/>
      <c r="ER161" s="47"/>
      <c r="ES161" s="47"/>
      <c r="ET161" s="47"/>
      <c r="EU161" s="47"/>
      <c r="EV161" s="47"/>
      <c r="EW161" s="47"/>
      <c r="EX161" s="47"/>
      <c r="EY161" s="47"/>
      <c r="EZ161" s="47"/>
      <c r="FA161" s="47"/>
      <c r="FB161" s="47"/>
      <c r="FC161" s="47"/>
      <c r="FD161" s="47"/>
      <c r="FE161" s="47"/>
      <c r="FF161" s="47"/>
      <c r="FG161" s="47"/>
      <c r="FH161" s="47"/>
      <c r="FI161" s="47"/>
      <c r="FJ161" s="47"/>
      <c r="FK161" s="47"/>
      <c r="FL161" s="47"/>
      <c r="FM161" s="47"/>
      <c r="FN161" s="47"/>
      <c r="FO161" s="47"/>
      <c r="FP161" s="47"/>
      <c r="FQ161" s="47"/>
      <c r="FR161" s="47"/>
      <c r="FS161" s="47"/>
      <c r="FT161" s="47"/>
      <c r="FU161" s="47"/>
      <c r="FV161" s="47"/>
      <c r="FW161" s="47"/>
      <c r="FX161" s="47"/>
      <c r="FY161" s="47"/>
      <c r="FZ161" s="47"/>
      <c r="GA161" s="47"/>
      <c r="GB161" s="47"/>
      <c r="GC161" s="47"/>
      <c r="GD161" s="47"/>
      <c r="GE161" s="47"/>
      <c r="GF161" s="47"/>
      <c r="GG161" s="47"/>
      <c r="GH161" s="47"/>
      <c r="GI161" s="47"/>
      <c r="GJ161" s="47"/>
      <c r="GK161" s="47"/>
      <c r="GL161" s="47"/>
      <c r="GM161" s="47"/>
      <c r="GN161" s="47"/>
      <c r="GO161" s="47"/>
      <c r="GP161" s="47"/>
      <c r="GQ161" s="47"/>
      <c r="GR161" s="47"/>
      <c r="GS161" s="47"/>
      <c r="GT161" s="47"/>
      <c r="GU161" s="47"/>
      <c r="GV161" s="47"/>
      <c r="GW161" s="47"/>
      <c r="GX161" s="47"/>
      <c r="GY161" s="47"/>
      <c r="GZ161" s="47"/>
      <c r="HA161" s="47"/>
      <c r="HB161" s="47"/>
      <c r="HC161" s="47"/>
      <c r="HD161" s="47"/>
      <c r="HE161" s="47"/>
      <c r="HF161" s="47"/>
      <c r="HG161" s="47"/>
      <c r="HH161" s="47"/>
      <c r="HI161" s="47"/>
      <c r="HJ161" s="47"/>
      <c r="HK161" s="47"/>
      <c r="HL161" s="47"/>
      <c r="HM161" s="47"/>
      <c r="HN161" s="47"/>
      <c r="HO161" s="47"/>
      <c r="HP161" s="47"/>
      <c r="HQ161" s="47"/>
      <c r="HR161" s="47"/>
      <c r="HS161" s="47"/>
      <c r="HT161" s="47"/>
      <c r="HU161" s="47"/>
      <c r="HV161" s="47"/>
      <c r="HW161" s="47"/>
      <c r="HX161" s="47"/>
      <c r="HY161" s="47"/>
      <c r="HZ161" s="47"/>
      <c r="IA161" s="47"/>
      <c r="IB161" s="47"/>
      <c r="IC161" s="47"/>
      <c r="ID161" s="47"/>
      <c r="IE161" s="47"/>
      <c r="IF161" s="47"/>
      <c r="IG161" s="47"/>
      <c r="IH161" s="47"/>
      <c r="II161" s="47"/>
      <c r="IJ161" s="47"/>
      <c r="IK161" s="47"/>
      <c r="IL161" s="47"/>
      <c r="IM161" s="47"/>
      <c r="IN161" s="47"/>
      <c r="IO161" s="47"/>
      <c r="IP161" s="47"/>
      <c r="IQ161" s="47"/>
      <c r="IR161" s="47"/>
      <c r="IS161" s="47"/>
      <c r="IT161" s="47"/>
      <c r="IU161" s="47"/>
      <c r="IV161" s="47"/>
      <c r="IW161" s="1"/>
      <c r="IX161" s="1"/>
      <c r="IY161" s="1"/>
      <c r="IZ161" s="1"/>
      <c r="JA161" s="1"/>
      <c r="JB161" s="1"/>
      <c r="JC161" s="1"/>
      <c r="JD161" s="1"/>
      <c r="JE161" s="1"/>
      <c r="JF161" s="1"/>
      <c r="JG161" s="1"/>
      <c r="JH161" s="1"/>
      <c r="JI161" s="1"/>
      <c r="JJ161" s="1"/>
      <c r="JK161" s="1"/>
      <c r="JL161" s="1"/>
      <c r="JM161" s="1"/>
      <c r="JN161" s="1"/>
      <c r="JO161" s="1"/>
      <c r="JP161" s="1"/>
      <c r="JQ161" s="1"/>
      <c r="JR161" s="1"/>
      <c r="JS161" s="1"/>
      <c r="JT161" s="1"/>
      <c r="JU161" s="1"/>
      <c r="JV161" s="1"/>
      <c r="JW161" s="1"/>
      <c r="JX161" s="1"/>
      <c r="JY161" s="1"/>
      <c r="JZ161" s="1"/>
      <c r="KA161" s="1"/>
      <c r="KB161" s="1"/>
      <c r="KC161" s="1"/>
      <c r="KD161" s="1"/>
      <c r="KE161" s="1"/>
      <c r="KF161" s="1"/>
      <c r="KG161" s="1"/>
      <c r="KH161" s="1"/>
      <c r="KI161" s="1"/>
      <c r="KJ161" s="1"/>
      <c r="KK161" s="1"/>
      <c r="KL161" s="1"/>
      <c r="KM161" s="1"/>
      <c r="KN161" s="1"/>
      <c r="KO161" s="1"/>
      <c r="KP161" s="1"/>
      <c r="KQ161" s="1"/>
      <c r="KR161" s="1"/>
      <c r="KS161" s="1"/>
      <c r="KT161" s="1"/>
      <c r="KU161" s="1"/>
      <c r="KV161" s="1"/>
      <c r="KW161" s="1"/>
      <c r="KX161" s="1"/>
      <c r="KY161" s="1"/>
      <c r="KZ161" s="1"/>
      <c r="LA161" s="1"/>
      <c r="LB161" s="1"/>
      <c r="LC161" s="1"/>
      <c r="LD161" s="1"/>
      <c r="LE161" s="1"/>
      <c r="LF161" s="1"/>
      <c r="LG161" s="1"/>
      <c r="LH161" s="1"/>
      <c r="LI161" s="1"/>
      <c r="LJ161" s="1"/>
      <c r="LK161" s="1"/>
      <c r="LL161" s="1"/>
      <c r="LM161" s="1"/>
      <c r="LN161" s="1"/>
      <c r="LO161" s="1"/>
      <c r="LP161" s="1"/>
      <c r="LQ161" s="1"/>
      <c r="LR161" s="1"/>
      <c r="LS161" s="1"/>
      <c r="LT161" s="1"/>
      <c r="LU161" s="1"/>
      <c r="LV161" s="1"/>
      <c r="LW161" s="1"/>
      <c r="LX161" s="1"/>
      <c r="LY161" s="1"/>
      <c r="LZ161" s="1"/>
      <c r="MA161" s="1"/>
      <c r="MB161" s="1"/>
      <c r="MC161" s="1"/>
      <c r="MD161" s="1"/>
      <c r="ME161" s="1"/>
      <c r="MF161" s="1"/>
      <c r="MG161" s="1"/>
      <c r="MH161" s="1"/>
      <c r="MI161" s="1"/>
      <c r="MJ161" s="1"/>
      <c r="MK161" s="1"/>
      <c r="ML161" s="1"/>
      <c r="MM161" s="1"/>
      <c r="MN161" s="1"/>
      <c r="MO161" s="1"/>
      <c r="MP161" s="1"/>
      <c r="MQ161" s="1"/>
      <c r="MR161" s="1"/>
      <c r="MS161" s="1"/>
      <c r="MT161" s="1"/>
      <c r="MU161" s="1"/>
      <c r="MV161" s="1"/>
      <c r="MW161" s="1"/>
      <c r="MX161" s="1"/>
      <c r="MY161" s="1"/>
      <c r="MZ161" s="1"/>
      <c r="NA161" s="1"/>
      <c r="NB161" s="1"/>
      <c r="ND161" s="1"/>
      <c r="NE161" s="1"/>
      <c r="NF161" s="1"/>
      <c r="NG161" s="1"/>
      <c r="NH161" s="1"/>
    </row>
    <row r="162" spans="1:372" ht="12.75" customHeight="1" x14ac:dyDescent="0.3">
      <c r="A162" s="59"/>
      <c r="B162" s="61"/>
      <c r="C162" s="61"/>
      <c r="D162" s="61"/>
      <c r="E162" s="47"/>
      <c r="F162" s="47"/>
      <c r="G162" s="47"/>
      <c r="H162" s="47"/>
      <c r="I162" s="47"/>
      <c r="J162" s="47"/>
      <c r="K162" s="47"/>
      <c r="L162" s="47"/>
      <c r="M162" s="47"/>
      <c r="N162" s="47"/>
      <c r="O162" s="47"/>
      <c r="P162" s="47"/>
      <c r="Q162" s="47"/>
      <c r="R162" s="47"/>
      <c r="S162" s="47"/>
      <c r="T162" s="47"/>
      <c r="U162" s="47"/>
      <c r="V162" s="47"/>
      <c r="W162" s="47"/>
      <c r="X162" s="47"/>
      <c r="Y162" s="47"/>
      <c r="Z162" s="47"/>
      <c r="AA162" s="47"/>
      <c r="AB162" s="47"/>
      <c r="AC162" s="47"/>
      <c r="AD162" s="47"/>
      <c r="AE162" s="47"/>
      <c r="AF162" s="47"/>
      <c r="AG162" s="47"/>
      <c r="AH162" s="47"/>
      <c r="AI162" s="47"/>
      <c r="AJ162" s="47"/>
      <c r="AK162" s="47"/>
      <c r="AL162" s="47"/>
      <c r="AM162" s="47"/>
      <c r="AN162" s="47"/>
      <c r="AO162" s="47"/>
      <c r="AP162" s="47"/>
      <c r="AQ162" s="47"/>
      <c r="AR162" s="47"/>
      <c r="AS162" s="47"/>
      <c r="AT162" s="47"/>
      <c r="AU162" s="47"/>
      <c r="AV162" s="47"/>
      <c r="AW162" s="47"/>
      <c r="AX162" s="47"/>
      <c r="AY162" s="47"/>
      <c r="AZ162" s="47"/>
      <c r="BA162" s="47"/>
      <c r="BB162" s="47"/>
      <c r="BC162" s="47"/>
      <c r="BD162" s="47"/>
      <c r="BE162" s="47"/>
      <c r="BF162" s="47"/>
      <c r="BG162" s="47"/>
      <c r="BH162" s="47"/>
      <c r="BI162" s="47"/>
      <c r="BJ162" s="47"/>
      <c r="BK162" s="47"/>
      <c r="BL162" s="47"/>
      <c r="BM162" s="47"/>
      <c r="BN162" s="47"/>
      <c r="BO162" s="47"/>
      <c r="BP162" s="47"/>
      <c r="BQ162" s="47"/>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c r="CO162" s="47"/>
      <c r="CP162" s="47"/>
      <c r="CQ162" s="47"/>
      <c r="CR162" s="47"/>
      <c r="CS162" s="47"/>
      <c r="CT162" s="47"/>
      <c r="CU162" s="47"/>
      <c r="CV162" s="47"/>
      <c r="CW162" s="47"/>
      <c r="CX162" s="47"/>
      <c r="CY162" s="47"/>
      <c r="CZ162" s="47"/>
      <c r="DA162" s="47"/>
      <c r="DB162" s="47"/>
      <c r="DC162" s="47"/>
      <c r="DD162" s="47"/>
      <c r="DE162" s="47"/>
      <c r="DF162" s="47"/>
      <c r="DG162" s="47"/>
      <c r="DH162" s="47"/>
      <c r="DI162" s="47"/>
      <c r="DJ162" s="47"/>
      <c r="DK162" s="47"/>
      <c r="DL162" s="47"/>
      <c r="DM162" s="47"/>
      <c r="DN162" s="47"/>
      <c r="DO162" s="47"/>
      <c r="DP162" s="47"/>
      <c r="DQ162" s="47"/>
      <c r="DR162" s="47"/>
      <c r="DS162" s="47"/>
      <c r="DT162" s="47"/>
      <c r="DU162" s="47"/>
      <c r="DV162" s="47"/>
      <c r="DW162" s="47"/>
      <c r="DX162" s="47"/>
      <c r="DY162" s="47"/>
      <c r="DZ162" s="47"/>
      <c r="EA162" s="47"/>
      <c r="EB162" s="47"/>
      <c r="EC162" s="47"/>
      <c r="ED162" s="47"/>
      <c r="EE162" s="47"/>
      <c r="EF162" s="47"/>
      <c r="EG162" s="47"/>
      <c r="EH162" s="47"/>
      <c r="EI162" s="47"/>
      <c r="EJ162" s="47"/>
      <c r="EK162" s="47"/>
      <c r="EL162" s="47"/>
      <c r="EM162" s="47"/>
      <c r="EN162" s="47"/>
      <c r="EO162" s="47"/>
      <c r="EP162" s="47"/>
      <c r="EQ162" s="47"/>
      <c r="ER162" s="47"/>
      <c r="ES162" s="47"/>
      <c r="ET162" s="47"/>
      <c r="EU162" s="47"/>
      <c r="EV162" s="47"/>
      <c r="EW162" s="47"/>
      <c r="EX162" s="47"/>
      <c r="EY162" s="47"/>
      <c r="EZ162" s="47"/>
      <c r="FA162" s="47"/>
      <c r="FB162" s="47"/>
      <c r="FC162" s="47"/>
      <c r="FD162" s="47"/>
      <c r="FE162" s="47"/>
      <c r="FF162" s="47"/>
      <c r="FG162" s="47"/>
      <c r="FH162" s="47"/>
      <c r="FI162" s="47"/>
      <c r="FJ162" s="47"/>
      <c r="FK162" s="47"/>
      <c r="FL162" s="47"/>
      <c r="FM162" s="47"/>
      <c r="FN162" s="47"/>
      <c r="FO162" s="47"/>
      <c r="FP162" s="47"/>
      <c r="FQ162" s="47"/>
      <c r="FR162" s="47"/>
      <c r="FS162" s="47"/>
      <c r="FT162" s="47"/>
      <c r="FU162" s="47"/>
      <c r="FV162" s="47"/>
      <c r="FW162" s="47"/>
      <c r="FX162" s="47"/>
      <c r="FY162" s="47"/>
      <c r="FZ162" s="47"/>
      <c r="GA162" s="47"/>
      <c r="GB162" s="47"/>
      <c r="GC162" s="47"/>
      <c r="GD162" s="47"/>
      <c r="GE162" s="47"/>
      <c r="GF162" s="47"/>
      <c r="GG162" s="47"/>
      <c r="GH162" s="47"/>
      <c r="GI162" s="47"/>
      <c r="GJ162" s="47"/>
      <c r="GK162" s="47"/>
      <c r="GL162" s="47"/>
      <c r="GM162" s="47"/>
      <c r="GN162" s="47"/>
      <c r="GO162" s="47"/>
      <c r="GP162" s="47"/>
      <c r="GQ162" s="47"/>
      <c r="GR162" s="47"/>
      <c r="GS162" s="47"/>
      <c r="GT162" s="47"/>
      <c r="GU162" s="47"/>
      <c r="GV162" s="47"/>
      <c r="GW162" s="47"/>
      <c r="GX162" s="47"/>
      <c r="GY162" s="47"/>
      <c r="GZ162" s="47"/>
      <c r="HA162" s="47"/>
      <c r="HB162" s="47"/>
      <c r="HC162" s="47"/>
      <c r="HD162" s="47"/>
      <c r="HE162" s="47"/>
      <c r="HF162" s="47"/>
      <c r="HG162" s="47"/>
      <c r="HH162" s="47"/>
      <c r="HI162" s="47"/>
      <c r="HJ162" s="47"/>
      <c r="HK162" s="47"/>
      <c r="HL162" s="47"/>
      <c r="HM162" s="47"/>
      <c r="HN162" s="47"/>
      <c r="HO162" s="47"/>
      <c r="HP162" s="47"/>
      <c r="HQ162" s="47"/>
      <c r="HR162" s="47"/>
      <c r="HS162" s="47"/>
      <c r="HT162" s="47"/>
      <c r="HU162" s="47"/>
      <c r="HV162" s="47"/>
      <c r="HW162" s="47"/>
      <c r="HX162" s="47"/>
      <c r="HY162" s="47"/>
      <c r="HZ162" s="47"/>
      <c r="IA162" s="47"/>
      <c r="IB162" s="47"/>
      <c r="IC162" s="47"/>
      <c r="ID162" s="47"/>
      <c r="IE162" s="47"/>
      <c r="IF162" s="47"/>
      <c r="IG162" s="47"/>
      <c r="IH162" s="47"/>
      <c r="II162" s="47"/>
      <c r="IJ162" s="47"/>
      <c r="IK162" s="47"/>
      <c r="IL162" s="47"/>
      <c r="IM162" s="47"/>
      <c r="IN162" s="47"/>
      <c r="IO162" s="47"/>
      <c r="IP162" s="47"/>
      <c r="IQ162" s="47"/>
      <c r="IR162" s="47"/>
      <c r="IS162" s="47"/>
      <c r="IT162" s="47"/>
      <c r="IU162" s="47"/>
      <c r="IV162" s="47"/>
      <c r="IW162" s="1"/>
      <c r="IX162" s="1"/>
      <c r="IY162" s="1"/>
      <c r="IZ162" s="1"/>
      <c r="JA162" s="1"/>
      <c r="JB162" s="1"/>
      <c r="JC162" s="1"/>
      <c r="JD162" s="1"/>
      <c r="JE162" s="1"/>
      <c r="JF162" s="1"/>
      <c r="JG162" s="1"/>
      <c r="JH162" s="1"/>
      <c r="JI162" s="1"/>
      <c r="JJ162" s="1"/>
      <c r="JK162" s="1"/>
      <c r="JL162" s="1"/>
      <c r="JM162" s="1"/>
      <c r="JN162" s="1"/>
      <c r="JO162" s="1"/>
      <c r="JP162" s="1"/>
      <c r="JQ162" s="1"/>
      <c r="JR162" s="1"/>
      <c r="JS162" s="1"/>
      <c r="JT162" s="1"/>
      <c r="JU162" s="1"/>
      <c r="JV162" s="1"/>
      <c r="JW162" s="1"/>
      <c r="JX162" s="1"/>
      <c r="JY162" s="1"/>
      <c r="JZ162" s="1"/>
      <c r="KA162" s="1"/>
      <c r="KB162" s="1"/>
      <c r="KC162" s="1"/>
      <c r="KD162" s="1"/>
      <c r="KE162" s="1"/>
      <c r="KF162" s="1"/>
      <c r="KG162" s="1"/>
      <c r="KH162" s="1"/>
      <c r="KI162" s="1"/>
      <c r="KJ162" s="1"/>
      <c r="KK162" s="1"/>
      <c r="KL162" s="1"/>
      <c r="KM162" s="1"/>
      <c r="KN162" s="1"/>
      <c r="KO162" s="1"/>
      <c r="KP162" s="1"/>
      <c r="KQ162" s="1"/>
      <c r="KR162" s="1"/>
      <c r="KS162" s="1"/>
      <c r="KT162" s="1"/>
      <c r="KU162" s="1"/>
      <c r="KV162" s="1"/>
      <c r="KW162" s="1"/>
      <c r="KX162" s="1"/>
      <c r="KY162" s="1"/>
      <c r="KZ162" s="1"/>
      <c r="LA162" s="1"/>
      <c r="LB162" s="1"/>
      <c r="LC162" s="1"/>
      <c r="LD162" s="1"/>
      <c r="LE162" s="1"/>
      <c r="LF162" s="1"/>
      <c r="LG162" s="1"/>
      <c r="LH162" s="1"/>
      <c r="LI162" s="1"/>
      <c r="LJ162" s="1"/>
      <c r="LK162" s="1"/>
      <c r="LL162" s="1"/>
      <c r="LM162" s="1"/>
      <c r="LN162" s="1"/>
      <c r="LO162" s="1"/>
      <c r="LP162" s="1"/>
      <c r="LQ162" s="1"/>
      <c r="LR162" s="1"/>
      <c r="LS162" s="1"/>
      <c r="LT162" s="1"/>
      <c r="LU162" s="1"/>
      <c r="LV162" s="1"/>
      <c r="LW162" s="1"/>
      <c r="LX162" s="1"/>
      <c r="LY162" s="1"/>
      <c r="LZ162" s="1"/>
      <c r="MA162" s="1"/>
      <c r="MB162" s="1"/>
      <c r="MC162" s="1"/>
      <c r="MD162" s="1"/>
      <c r="ME162" s="1"/>
      <c r="MF162" s="1"/>
      <c r="MG162" s="1"/>
      <c r="MH162" s="1"/>
      <c r="MI162" s="1"/>
      <c r="MJ162" s="1"/>
      <c r="MK162" s="1"/>
      <c r="ML162" s="1"/>
      <c r="MM162" s="1"/>
      <c r="MN162" s="1"/>
      <c r="MO162" s="1"/>
      <c r="MP162" s="1"/>
      <c r="MQ162" s="1"/>
      <c r="MR162" s="1"/>
      <c r="MS162" s="1"/>
      <c r="MT162" s="1"/>
      <c r="MU162" s="1"/>
      <c r="MV162" s="1"/>
      <c r="MW162" s="1"/>
      <c r="MX162" s="1"/>
      <c r="MY162" s="1"/>
      <c r="MZ162" s="1"/>
      <c r="NA162" s="1"/>
      <c r="NB162" s="1"/>
      <c r="ND162" s="1"/>
      <c r="NE162" s="1"/>
      <c r="NF162" s="1"/>
      <c r="NG162" s="1"/>
      <c r="NH162" s="1"/>
    </row>
    <row r="163" spans="1:372" ht="12.75" customHeight="1" x14ac:dyDescent="0.3">
      <c r="A163" s="59"/>
      <c r="B163" s="61"/>
      <c r="C163" s="61"/>
      <c r="D163" s="61"/>
      <c r="E163" s="47"/>
      <c r="F163" s="47"/>
      <c r="G163" s="47"/>
      <c r="H163" s="47"/>
      <c r="I163" s="47"/>
      <c r="J163" s="47"/>
      <c r="K163" s="47"/>
      <c r="L163" s="47"/>
      <c r="M163" s="47"/>
      <c r="N163" s="47"/>
      <c r="O163" s="47"/>
      <c r="P163" s="47"/>
      <c r="Q163" s="47"/>
      <c r="R163" s="47"/>
      <c r="S163" s="47"/>
      <c r="T163" s="47"/>
      <c r="U163" s="47"/>
      <c r="V163" s="47"/>
      <c r="W163" s="47"/>
      <c r="X163" s="47"/>
      <c r="Y163" s="47"/>
      <c r="Z163" s="47"/>
      <c r="AA163" s="47"/>
      <c r="AB163" s="47"/>
      <c r="AC163" s="47"/>
      <c r="AD163" s="47"/>
      <c r="AE163" s="47"/>
      <c r="AF163" s="47"/>
      <c r="AG163" s="47"/>
      <c r="AH163" s="47"/>
      <c r="AI163" s="47"/>
      <c r="AJ163" s="47"/>
      <c r="AK163" s="47"/>
      <c r="AL163" s="47"/>
      <c r="AM163" s="47"/>
      <c r="AN163" s="47"/>
      <c r="AO163" s="47"/>
      <c r="AP163" s="47"/>
      <c r="AQ163" s="47"/>
      <c r="AR163" s="47"/>
      <c r="AS163" s="47"/>
      <c r="AT163" s="47"/>
      <c r="AU163" s="47"/>
      <c r="AV163" s="47"/>
      <c r="AW163" s="47"/>
      <c r="AX163" s="47"/>
      <c r="AY163" s="47"/>
      <c r="AZ163" s="47"/>
      <c r="BA163" s="47"/>
      <c r="BB163" s="47"/>
      <c r="BC163" s="47"/>
      <c r="BD163" s="47"/>
      <c r="BE163" s="47"/>
      <c r="BF163" s="47"/>
      <c r="BG163" s="47"/>
      <c r="BH163" s="47"/>
      <c r="BI163" s="47"/>
      <c r="BJ163" s="47"/>
      <c r="BK163" s="47"/>
      <c r="BL163" s="47"/>
      <c r="BM163" s="47"/>
      <c r="BN163" s="47"/>
      <c r="BO163" s="47"/>
      <c r="BP163" s="47"/>
      <c r="BQ163" s="47"/>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c r="CO163" s="47"/>
      <c r="CP163" s="47"/>
      <c r="CQ163" s="47"/>
      <c r="CR163" s="47"/>
      <c r="CS163" s="47"/>
      <c r="CT163" s="47"/>
      <c r="CU163" s="47"/>
      <c r="CV163" s="47"/>
      <c r="CW163" s="47"/>
      <c r="CX163" s="47"/>
      <c r="CY163" s="47"/>
      <c r="CZ163" s="47"/>
      <c r="DA163" s="47"/>
      <c r="DB163" s="47"/>
      <c r="DC163" s="47"/>
      <c r="DD163" s="47"/>
      <c r="DE163" s="47"/>
      <c r="DF163" s="47"/>
      <c r="DG163" s="47"/>
      <c r="DH163" s="47"/>
      <c r="DI163" s="47"/>
      <c r="DJ163" s="47"/>
      <c r="DK163" s="47"/>
      <c r="DL163" s="47"/>
      <c r="DM163" s="47"/>
      <c r="DN163" s="47"/>
      <c r="DO163" s="47"/>
      <c r="DP163" s="47"/>
      <c r="DQ163" s="47"/>
      <c r="DR163" s="47"/>
      <c r="DS163" s="47"/>
      <c r="DT163" s="47"/>
      <c r="DU163" s="47"/>
      <c r="DV163" s="47"/>
      <c r="DW163" s="47"/>
      <c r="DX163" s="47"/>
      <c r="DY163" s="47"/>
      <c r="DZ163" s="47"/>
      <c r="EA163" s="47"/>
      <c r="EB163" s="47"/>
      <c r="EC163" s="47"/>
      <c r="ED163" s="47"/>
      <c r="EE163" s="47"/>
      <c r="EF163" s="47"/>
      <c r="EG163" s="47"/>
      <c r="EH163" s="47"/>
      <c r="EI163" s="47"/>
      <c r="EJ163" s="47"/>
      <c r="EK163" s="47"/>
      <c r="EL163" s="47"/>
      <c r="EM163" s="47"/>
      <c r="EN163" s="47"/>
      <c r="EO163" s="47"/>
      <c r="EP163" s="47"/>
      <c r="EQ163" s="47"/>
      <c r="ER163" s="47"/>
      <c r="ES163" s="47"/>
      <c r="ET163" s="47"/>
      <c r="EU163" s="47"/>
      <c r="EV163" s="47"/>
      <c r="EW163" s="47"/>
      <c r="EX163" s="47"/>
      <c r="EY163" s="47"/>
      <c r="EZ163" s="47"/>
      <c r="FA163" s="47"/>
      <c r="FB163" s="47"/>
      <c r="FC163" s="47"/>
      <c r="FD163" s="47"/>
      <c r="FE163" s="47"/>
      <c r="FF163" s="47"/>
      <c r="FG163" s="47"/>
      <c r="FH163" s="47"/>
      <c r="FI163" s="47"/>
      <c r="FJ163" s="47"/>
      <c r="FK163" s="47"/>
      <c r="FL163" s="47"/>
      <c r="FM163" s="47"/>
      <c r="FN163" s="47"/>
      <c r="FO163" s="47"/>
      <c r="FP163" s="47"/>
      <c r="FQ163" s="47"/>
      <c r="FR163" s="47"/>
      <c r="FS163" s="47"/>
      <c r="FT163" s="47"/>
      <c r="FU163" s="47"/>
      <c r="FV163" s="47"/>
      <c r="FW163" s="47"/>
      <c r="FX163" s="47"/>
      <c r="FY163" s="47"/>
      <c r="FZ163" s="47"/>
      <c r="GA163" s="47"/>
      <c r="GB163" s="47"/>
      <c r="GC163" s="47"/>
      <c r="GD163" s="47"/>
      <c r="GE163" s="47"/>
      <c r="GF163" s="47"/>
      <c r="GG163" s="47"/>
      <c r="GH163" s="47"/>
      <c r="GI163" s="47"/>
      <c r="GJ163" s="47"/>
      <c r="GK163" s="47"/>
      <c r="GL163" s="47"/>
      <c r="GM163" s="47"/>
      <c r="GN163" s="47"/>
      <c r="GO163" s="47"/>
      <c r="GP163" s="47"/>
      <c r="GQ163" s="47"/>
      <c r="GR163" s="47"/>
      <c r="GS163" s="47"/>
      <c r="GT163" s="47"/>
      <c r="GU163" s="47"/>
      <c r="GV163" s="47"/>
      <c r="GW163" s="47"/>
      <c r="GX163" s="47"/>
      <c r="GY163" s="47"/>
      <c r="GZ163" s="47"/>
      <c r="HA163" s="47"/>
      <c r="HB163" s="47"/>
      <c r="HC163" s="47"/>
      <c r="HD163" s="47"/>
      <c r="HE163" s="47"/>
      <c r="HF163" s="47"/>
      <c r="HG163" s="47"/>
      <c r="HH163" s="47"/>
      <c r="HI163" s="47"/>
      <c r="HJ163" s="47"/>
      <c r="HK163" s="47"/>
      <c r="HL163" s="47"/>
      <c r="HM163" s="47"/>
      <c r="HN163" s="47"/>
      <c r="HO163" s="47"/>
      <c r="HP163" s="47"/>
      <c r="HQ163" s="47"/>
      <c r="HR163" s="47"/>
      <c r="HS163" s="47"/>
      <c r="HT163" s="47"/>
      <c r="HU163" s="47"/>
      <c r="HV163" s="47"/>
      <c r="HW163" s="47"/>
      <c r="HX163" s="47"/>
      <c r="HY163" s="47"/>
      <c r="HZ163" s="47"/>
      <c r="IA163" s="47"/>
      <c r="IB163" s="47"/>
      <c r="IC163" s="47"/>
      <c r="ID163" s="47"/>
      <c r="IE163" s="47"/>
      <c r="IF163" s="47"/>
      <c r="IG163" s="47"/>
      <c r="IH163" s="47"/>
      <c r="II163" s="47"/>
      <c r="IJ163" s="47"/>
      <c r="IK163" s="47"/>
      <c r="IL163" s="47"/>
      <c r="IM163" s="47"/>
      <c r="IN163" s="47"/>
      <c r="IO163" s="47"/>
      <c r="IP163" s="47"/>
      <c r="IQ163" s="47"/>
      <c r="IR163" s="47"/>
      <c r="IS163" s="47"/>
      <c r="IT163" s="47"/>
      <c r="IU163" s="47"/>
      <c r="IV163" s="47"/>
      <c r="IW163" s="1"/>
      <c r="IX163" s="1"/>
      <c r="IY163" s="1"/>
      <c r="IZ163" s="1"/>
      <c r="JA163" s="1"/>
      <c r="JB163" s="1"/>
      <c r="JC163" s="1"/>
      <c r="JD163" s="1"/>
      <c r="JE163" s="1"/>
      <c r="JF163" s="1"/>
      <c r="JG163" s="1"/>
      <c r="JH163" s="1"/>
      <c r="JI163" s="1"/>
      <c r="JJ163" s="1"/>
      <c r="JK163" s="1"/>
      <c r="JL163" s="1"/>
      <c r="JM163" s="1"/>
      <c r="JN163" s="1"/>
      <c r="JO163" s="1"/>
      <c r="JP163" s="1"/>
      <c r="JQ163" s="1"/>
      <c r="JR163" s="1"/>
      <c r="JS163" s="1"/>
      <c r="JT163" s="1"/>
      <c r="JU163" s="1"/>
      <c r="JV163" s="1"/>
      <c r="JW163" s="1"/>
      <c r="JX163" s="1"/>
      <c r="JY163" s="1"/>
      <c r="JZ163" s="1"/>
      <c r="KA163" s="1"/>
      <c r="KB163" s="1"/>
      <c r="KC163" s="1"/>
      <c r="KD163" s="1"/>
      <c r="KE163" s="1"/>
      <c r="KF163" s="1"/>
      <c r="KG163" s="1"/>
      <c r="KH163" s="1"/>
      <c r="KI163" s="1"/>
      <c r="KJ163" s="1"/>
      <c r="KK163" s="1"/>
      <c r="KL163" s="1"/>
      <c r="KM163" s="1"/>
      <c r="KN163" s="1"/>
      <c r="KO163" s="1"/>
      <c r="KP163" s="1"/>
      <c r="KQ163" s="1"/>
      <c r="KR163" s="1"/>
      <c r="KS163" s="1"/>
      <c r="KT163" s="1"/>
      <c r="KU163" s="1"/>
      <c r="KV163" s="1"/>
      <c r="KW163" s="1"/>
      <c r="KX163" s="1"/>
      <c r="KY163" s="1"/>
      <c r="KZ163" s="1"/>
      <c r="LA163" s="1"/>
      <c r="LB163" s="1"/>
      <c r="LC163" s="1"/>
      <c r="LD163" s="1"/>
      <c r="LE163" s="1"/>
      <c r="LF163" s="1"/>
      <c r="LG163" s="1"/>
      <c r="LH163" s="1"/>
      <c r="LI163" s="1"/>
      <c r="LJ163" s="1"/>
      <c r="LK163" s="1"/>
      <c r="LL163" s="1"/>
      <c r="LM163" s="1"/>
      <c r="LN163" s="1"/>
      <c r="LO163" s="1"/>
      <c r="LP163" s="1"/>
      <c r="LQ163" s="1"/>
      <c r="LR163" s="1"/>
      <c r="LS163" s="1"/>
      <c r="LT163" s="1"/>
      <c r="LU163" s="1"/>
      <c r="LV163" s="1"/>
      <c r="LW163" s="1"/>
      <c r="LX163" s="1"/>
      <c r="LY163" s="1"/>
      <c r="LZ163" s="1"/>
      <c r="MA163" s="1"/>
      <c r="MB163" s="1"/>
      <c r="MC163" s="1"/>
      <c r="MD163" s="1"/>
      <c r="ME163" s="1"/>
      <c r="MF163" s="1"/>
      <c r="MG163" s="1"/>
      <c r="MH163" s="1"/>
      <c r="MI163" s="1"/>
      <c r="MJ163" s="1"/>
      <c r="MK163" s="1"/>
      <c r="ML163" s="1"/>
      <c r="MM163" s="1"/>
      <c r="MN163" s="1"/>
      <c r="MO163" s="1"/>
      <c r="MP163" s="1"/>
      <c r="MQ163" s="1"/>
      <c r="MR163" s="1"/>
      <c r="MS163" s="1"/>
      <c r="MT163" s="1"/>
      <c r="MU163" s="1"/>
      <c r="MV163" s="1"/>
      <c r="MW163" s="1"/>
      <c r="MX163" s="1"/>
      <c r="MY163" s="1"/>
      <c r="MZ163" s="1"/>
      <c r="NA163" s="1"/>
      <c r="NB163" s="1"/>
      <c r="ND163" s="1"/>
      <c r="NE163" s="1"/>
      <c r="NF163" s="1"/>
      <c r="NG163" s="1"/>
      <c r="NH163" s="1"/>
    </row>
    <row r="164" spans="1:372" ht="12.75" customHeight="1" x14ac:dyDescent="0.3">
      <c r="A164" s="59"/>
      <c r="B164" s="61"/>
      <c r="C164" s="61"/>
      <c r="D164" s="61"/>
      <c r="E164" s="47"/>
      <c r="F164" s="47"/>
      <c r="G164" s="47"/>
      <c r="H164" s="47"/>
      <c r="I164" s="47"/>
      <c r="J164" s="47"/>
      <c r="K164" s="47"/>
      <c r="L164" s="47"/>
      <c r="M164" s="47"/>
      <c r="N164" s="47"/>
      <c r="O164" s="47"/>
      <c r="P164" s="47"/>
      <c r="Q164" s="47"/>
      <c r="R164" s="47"/>
      <c r="S164" s="47"/>
      <c r="T164" s="47"/>
      <c r="U164" s="47"/>
      <c r="V164" s="47"/>
      <c r="W164" s="47"/>
      <c r="X164" s="47"/>
      <c r="Y164" s="47"/>
      <c r="Z164" s="47"/>
      <c r="AA164" s="47"/>
      <c r="AB164" s="47"/>
      <c r="AC164" s="47"/>
      <c r="AD164" s="47"/>
      <c r="AE164" s="47"/>
      <c r="AF164" s="47"/>
      <c r="AG164" s="47"/>
      <c r="AH164" s="47"/>
      <c r="AI164" s="47"/>
      <c r="AJ164" s="47"/>
      <c r="AK164" s="47"/>
      <c r="AL164" s="47"/>
      <c r="AM164" s="47"/>
      <c r="AN164" s="47"/>
      <c r="AO164" s="47"/>
      <c r="AP164" s="47"/>
      <c r="AQ164" s="47"/>
      <c r="AR164" s="47"/>
      <c r="AS164" s="47"/>
      <c r="AT164" s="47"/>
      <c r="AU164" s="47"/>
      <c r="AV164" s="47"/>
      <c r="AW164" s="47"/>
      <c r="AX164" s="47"/>
      <c r="AY164" s="47"/>
      <c r="AZ164" s="47"/>
      <c r="BA164" s="47"/>
      <c r="BB164" s="47"/>
      <c r="BC164" s="47"/>
      <c r="BD164" s="47"/>
      <c r="BE164" s="47"/>
      <c r="BF164" s="47"/>
      <c r="BG164" s="47"/>
      <c r="BH164" s="47"/>
      <c r="BI164" s="47"/>
      <c r="BJ164" s="47"/>
      <c r="BK164" s="47"/>
      <c r="BL164" s="47"/>
      <c r="BM164" s="47"/>
      <c r="BN164" s="47"/>
      <c r="BO164" s="47"/>
      <c r="BP164" s="47"/>
      <c r="BQ164" s="47"/>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c r="CO164" s="47"/>
      <c r="CP164" s="47"/>
      <c r="CQ164" s="47"/>
      <c r="CR164" s="47"/>
      <c r="CS164" s="47"/>
      <c r="CT164" s="47"/>
      <c r="CU164" s="47"/>
      <c r="CV164" s="47"/>
      <c r="CW164" s="47"/>
      <c r="CX164" s="47"/>
      <c r="CY164" s="47"/>
      <c r="CZ164" s="47"/>
      <c r="DA164" s="47"/>
      <c r="DB164" s="47"/>
      <c r="DC164" s="47"/>
      <c r="DD164" s="47"/>
      <c r="DE164" s="47"/>
      <c r="DF164" s="47"/>
      <c r="DG164" s="47"/>
      <c r="DH164" s="47"/>
      <c r="DI164" s="47"/>
      <c r="DJ164" s="47"/>
      <c r="DK164" s="47"/>
      <c r="DL164" s="47"/>
      <c r="DM164" s="47"/>
      <c r="DN164" s="47"/>
      <c r="DO164" s="47"/>
      <c r="DP164" s="47"/>
      <c r="DQ164" s="47"/>
      <c r="DR164" s="47"/>
      <c r="DS164" s="47"/>
      <c r="DT164" s="47"/>
      <c r="DU164" s="47"/>
      <c r="DV164" s="47"/>
      <c r="DW164" s="47"/>
      <c r="DX164" s="47"/>
      <c r="DY164" s="47"/>
      <c r="DZ164" s="47"/>
      <c r="EA164" s="47"/>
      <c r="EB164" s="47"/>
      <c r="EC164" s="47"/>
      <c r="ED164" s="47"/>
      <c r="EE164" s="47"/>
      <c r="EF164" s="47"/>
      <c r="EG164" s="47"/>
      <c r="EH164" s="47"/>
      <c r="EI164" s="47"/>
      <c r="EJ164" s="47"/>
      <c r="EK164" s="47"/>
      <c r="EL164" s="47"/>
      <c r="EM164" s="47"/>
      <c r="EN164" s="47"/>
      <c r="EO164" s="47"/>
      <c r="EP164" s="47"/>
      <c r="EQ164" s="47"/>
      <c r="ER164" s="47"/>
      <c r="ES164" s="47"/>
      <c r="ET164" s="47"/>
      <c r="EU164" s="47"/>
      <c r="EV164" s="47"/>
      <c r="EW164" s="47"/>
      <c r="EX164" s="47"/>
      <c r="EY164" s="47"/>
      <c r="EZ164" s="47"/>
      <c r="FA164" s="47"/>
      <c r="FB164" s="47"/>
      <c r="FC164" s="47"/>
      <c r="FD164" s="47"/>
      <c r="FE164" s="47"/>
      <c r="FF164" s="47"/>
      <c r="FG164" s="47"/>
      <c r="FH164" s="47"/>
      <c r="FI164" s="47"/>
      <c r="FJ164" s="47"/>
      <c r="FK164" s="47"/>
      <c r="FL164" s="47"/>
      <c r="FM164" s="47"/>
      <c r="FN164" s="47"/>
      <c r="FO164" s="47"/>
      <c r="FP164" s="47"/>
      <c r="FQ164" s="47"/>
      <c r="FR164" s="47"/>
      <c r="FS164" s="47"/>
      <c r="FT164" s="47"/>
      <c r="FU164" s="47"/>
      <c r="FV164" s="47"/>
      <c r="FW164" s="47"/>
      <c r="FX164" s="47"/>
      <c r="FY164" s="47"/>
      <c r="FZ164" s="47"/>
      <c r="GA164" s="47"/>
      <c r="GB164" s="47"/>
      <c r="GC164" s="47"/>
      <c r="GD164" s="47"/>
      <c r="GE164" s="47"/>
      <c r="GF164" s="47"/>
      <c r="GG164" s="47"/>
      <c r="GH164" s="47"/>
      <c r="GI164" s="47"/>
      <c r="GJ164" s="47"/>
      <c r="GK164" s="47"/>
      <c r="GL164" s="47"/>
      <c r="GM164" s="47"/>
      <c r="GN164" s="47"/>
      <c r="GO164" s="47"/>
      <c r="GP164" s="47"/>
      <c r="GQ164" s="47"/>
      <c r="GR164" s="47"/>
      <c r="GS164" s="47"/>
      <c r="GT164" s="47"/>
      <c r="GU164" s="47"/>
      <c r="GV164" s="47"/>
      <c r="GW164" s="47"/>
      <c r="GX164" s="47"/>
      <c r="GY164" s="47"/>
      <c r="GZ164" s="47"/>
      <c r="HA164" s="47"/>
      <c r="HB164" s="47"/>
      <c r="HC164" s="47"/>
      <c r="HD164" s="47"/>
      <c r="HE164" s="47"/>
      <c r="HF164" s="47"/>
      <c r="HG164" s="47"/>
      <c r="HH164" s="47"/>
      <c r="HI164" s="47"/>
      <c r="HJ164" s="47"/>
      <c r="HK164" s="47"/>
      <c r="HL164" s="47"/>
      <c r="HM164" s="47"/>
      <c r="HN164" s="47"/>
      <c r="HO164" s="47"/>
      <c r="HP164" s="47"/>
      <c r="HQ164" s="47"/>
      <c r="HR164" s="47"/>
      <c r="HS164" s="47"/>
      <c r="HT164" s="47"/>
      <c r="HU164" s="47"/>
      <c r="HV164" s="47"/>
      <c r="HW164" s="47"/>
      <c r="HX164" s="47"/>
      <c r="HY164" s="47"/>
      <c r="HZ164" s="47"/>
      <c r="IA164" s="47"/>
      <c r="IB164" s="47"/>
      <c r="IC164" s="47"/>
      <c r="ID164" s="47"/>
      <c r="IE164" s="47"/>
      <c r="IF164" s="47"/>
      <c r="IG164" s="47"/>
      <c r="IH164" s="47"/>
      <c r="II164" s="47"/>
      <c r="IJ164" s="47"/>
      <c r="IK164" s="47"/>
      <c r="IL164" s="47"/>
      <c r="IM164" s="47"/>
      <c r="IN164" s="47"/>
      <c r="IO164" s="47"/>
      <c r="IP164" s="47"/>
      <c r="IQ164" s="47"/>
      <c r="IR164" s="47"/>
      <c r="IS164" s="47"/>
      <c r="IT164" s="47"/>
      <c r="IU164" s="47"/>
      <c r="IV164" s="47"/>
      <c r="IW164" s="1"/>
      <c r="IX164" s="1"/>
      <c r="IY164" s="1"/>
      <c r="IZ164" s="1"/>
      <c r="JA164" s="1"/>
      <c r="JB164" s="1"/>
      <c r="JC164" s="1"/>
      <c r="JD164" s="1"/>
      <c r="JE164" s="1"/>
      <c r="JF164" s="1"/>
      <c r="JG164" s="1"/>
      <c r="JH164" s="1"/>
      <c r="JI164" s="1"/>
      <c r="JJ164" s="1"/>
      <c r="JK164" s="1"/>
      <c r="JL164" s="1"/>
      <c r="JM164" s="1"/>
      <c r="JN164" s="1"/>
      <c r="JO164" s="1"/>
      <c r="JP164" s="1"/>
      <c r="JQ164" s="1"/>
      <c r="JR164" s="1"/>
      <c r="JS164" s="1"/>
      <c r="JT164" s="1"/>
      <c r="JU164" s="1"/>
      <c r="JV164" s="1"/>
      <c r="JW164" s="1"/>
      <c r="JX164" s="1"/>
      <c r="JY164" s="1"/>
      <c r="JZ164" s="1"/>
      <c r="KA164" s="1"/>
      <c r="KB164" s="1"/>
      <c r="KC164" s="1"/>
      <c r="KD164" s="1"/>
      <c r="KE164" s="1"/>
      <c r="KF164" s="1"/>
      <c r="KG164" s="1"/>
      <c r="KH164" s="1"/>
      <c r="KI164" s="1"/>
      <c r="KJ164" s="1"/>
      <c r="KK164" s="1"/>
      <c r="KL164" s="1"/>
      <c r="KM164" s="1"/>
      <c r="KN164" s="1"/>
      <c r="KO164" s="1"/>
      <c r="KP164" s="1"/>
      <c r="KQ164" s="1"/>
      <c r="KR164" s="1"/>
      <c r="KS164" s="1"/>
      <c r="KT164" s="1"/>
      <c r="KU164" s="1"/>
      <c r="KV164" s="1"/>
      <c r="KW164" s="1"/>
      <c r="KX164" s="1"/>
      <c r="KY164" s="1"/>
      <c r="KZ164" s="1"/>
      <c r="LA164" s="1"/>
      <c r="LB164" s="1"/>
      <c r="LC164" s="1"/>
      <c r="LD164" s="1"/>
      <c r="LE164" s="1"/>
      <c r="LF164" s="1"/>
      <c r="LG164" s="1"/>
      <c r="LH164" s="1"/>
      <c r="LI164" s="1"/>
      <c r="LJ164" s="1"/>
      <c r="LK164" s="1"/>
      <c r="LL164" s="1"/>
      <c r="LM164" s="1"/>
      <c r="LN164" s="1"/>
      <c r="LO164" s="1"/>
      <c r="LP164" s="1"/>
      <c r="LQ164" s="1"/>
      <c r="LR164" s="1"/>
      <c r="LS164" s="1"/>
      <c r="LT164" s="1"/>
      <c r="LU164" s="1"/>
      <c r="LV164" s="1"/>
      <c r="LW164" s="1"/>
      <c r="LX164" s="1"/>
      <c r="LY164" s="1"/>
      <c r="LZ164" s="1"/>
      <c r="MA164" s="1"/>
      <c r="MB164" s="1"/>
      <c r="MC164" s="1"/>
      <c r="MD164" s="1"/>
      <c r="ME164" s="1"/>
      <c r="MF164" s="1"/>
      <c r="MG164" s="1"/>
      <c r="MH164" s="1"/>
      <c r="MI164" s="1"/>
      <c r="MJ164" s="1"/>
      <c r="MK164" s="1"/>
      <c r="ML164" s="1"/>
      <c r="MM164" s="1"/>
      <c r="MN164" s="1"/>
      <c r="MO164" s="1"/>
      <c r="MP164" s="1"/>
      <c r="MQ164" s="1"/>
      <c r="MR164" s="1"/>
      <c r="MS164" s="1"/>
      <c r="MT164" s="1"/>
      <c r="MU164" s="1"/>
      <c r="MV164" s="1"/>
      <c r="MW164" s="1"/>
      <c r="MX164" s="1"/>
      <c r="MY164" s="1"/>
      <c r="MZ164" s="1"/>
      <c r="NA164" s="1"/>
      <c r="NB164" s="1"/>
      <c r="ND164" s="1"/>
      <c r="NE164" s="1"/>
      <c r="NF164" s="1"/>
      <c r="NG164" s="1"/>
      <c r="NH164" s="1"/>
    </row>
    <row r="165" spans="1:372" ht="12.75" customHeight="1" x14ac:dyDescent="0.3">
      <c r="A165" s="59"/>
      <c r="B165" s="61"/>
      <c r="C165" s="61"/>
      <c r="D165" s="61"/>
      <c r="E165" s="47"/>
      <c r="F165" s="47"/>
      <c r="G165" s="47"/>
      <c r="H165" s="47"/>
      <c r="I165" s="47"/>
      <c r="J165" s="47"/>
      <c r="K165" s="47"/>
      <c r="L165" s="47"/>
      <c r="M165" s="47"/>
      <c r="N165" s="47"/>
      <c r="O165" s="47"/>
      <c r="P165" s="47"/>
      <c r="Q165" s="47"/>
      <c r="R165" s="47"/>
      <c r="S165" s="47"/>
      <c r="T165" s="47"/>
      <c r="U165" s="47"/>
      <c r="V165" s="47"/>
      <c r="W165" s="47"/>
      <c r="X165" s="47"/>
      <c r="Y165" s="47"/>
      <c r="Z165" s="47"/>
      <c r="AA165" s="47"/>
      <c r="AB165" s="47"/>
      <c r="AC165" s="47"/>
      <c r="AD165" s="47"/>
      <c r="AE165" s="47"/>
      <c r="AF165" s="47"/>
      <c r="AG165" s="47"/>
      <c r="AH165" s="47"/>
      <c r="AI165" s="47"/>
      <c r="AJ165" s="47"/>
      <c r="AK165" s="47"/>
      <c r="AL165" s="47"/>
      <c r="AM165" s="47"/>
      <c r="AN165" s="47"/>
      <c r="AO165" s="47"/>
      <c r="AP165" s="47"/>
      <c r="AQ165" s="47"/>
      <c r="AR165" s="47"/>
      <c r="AS165" s="47"/>
      <c r="AT165" s="47"/>
      <c r="AU165" s="47"/>
      <c r="AV165" s="47"/>
      <c r="AW165" s="47"/>
      <c r="AX165" s="47"/>
      <c r="AY165" s="47"/>
      <c r="AZ165" s="47"/>
      <c r="BA165" s="47"/>
      <c r="BB165" s="47"/>
      <c r="BC165" s="47"/>
      <c r="BD165" s="47"/>
      <c r="BE165" s="47"/>
      <c r="BF165" s="47"/>
      <c r="BG165" s="47"/>
      <c r="BH165" s="47"/>
      <c r="BI165" s="47"/>
      <c r="BJ165" s="47"/>
      <c r="BK165" s="47"/>
      <c r="BL165" s="47"/>
      <c r="BM165" s="47"/>
      <c r="BN165" s="47"/>
      <c r="BO165" s="47"/>
      <c r="BP165" s="47"/>
      <c r="BQ165" s="47"/>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c r="CO165" s="47"/>
      <c r="CP165" s="47"/>
      <c r="CQ165" s="47"/>
      <c r="CR165" s="47"/>
      <c r="CS165" s="47"/>
      <c r="CT165" s="47"/>
      <c r="CU165" s="47"/>
      <c r="CV165" s="47"/>
      <c r="CW165" s="47"/>
      <c r="CX165" s="47"/>
      <c r="CY165" s="47"/>
      <c r="CZ165" s="47"/>
      <c r="DA165" s="47"/>
      <c r="DB165" s="47"/>
      <c r="DC165" s="47"/>
      <c r="DD165" s="47"/>
      <c r="DE165" s="47"/>
      <c r="DF165" s="47"/>
      <c r="DG165" s="47"/>
      <c r="DH165" s="47"/>
      <c r="DI165" s="47"/>
      <c r="DJ165" s="47"/>
      <c r="DK165" s="47"/>
      <c r="DL165" s="47"/>
      <c r="DM165" s="47"/>
      <c r="DN165" s="47"/>
      <c r="DO165" s="47"/>
      <c r="DP165" s="47"/>
      <c r="DQ165" s="47"/>
      <c r="DR165" s="47"/>
      <c r="DS165" s="47"/>
      <c r="DT165" s="47"/>
      <c r="DU165" s="47"/>
      <c r="DV165" s="47"/>
      <c r="DW165" s="47"/>
      <c r="DX165" s="47"/>
      <c r="DY165" s="47"/>
      <c r="DZ165" s="47"/>
      <c r="EA165" s="47"/>
      <c r="EB165" s="47"/>
      <c r="EC165" s="47"/>
      <c r="ED165" s="47"/>
      <c r="EE165" s="47"/>
      <c r="EF165" s="47"/>
      <c r="EG165" s="47"/>
      <c r="EH165" s="47"/>
      <c r="EI165" s="47"/>
      <c r="EJ165" s="47"/>
      <c r="EK165" s="47"/>
      <c r="EL165" s="47"/>
      <c r="EM165" s="47"/>
      <c r="EN165" s="47"/>
      <c r="EO165" s="47"/>
      <c r="EP165" s="47"/>
      <c r="EQ165" s="47"/>
      <c r="ER165" s="47"/>
      <c r="ES165" s="47"/>
      <c r="ET165" s="47"/>
      <c r="EU165" s="47"/>
      <c r="EV165" s="47"/>
      <c r="EW165" s="47"/>
      <c r="EX165" s="47"/>
      <c r="EY165" s="47"/>
      <c r="EZ165" s="47"/>
      <c r="FA165" s="47"/>
      <c r="FB165" s="47"/>
      <c r="FC165" s="47"/>
      <c r="FD165" s="47"/>
      <c r="FE165" s="47"/>
      <c r="FF165" s="47"/>
      <c r="FG165" s="47"/>
      <c r="FH165" s="47"/>
      <c r="FI165" s="47"/>
      <c r="FJ165" s="47"/>
      <c r="FK165" s="47"/>
      <c r="FL165" s="47"/>
      <c r="FM165" s="47"/>
      <c r="FN165" s="47"/>
      <c r="FO165" s="47"/>
      <c r="FP165" s="47"/>
      <c r="FQ165" s="47"/>
      <c r="FR165" s="47"/>
      <c r="FS165" s="47"/>
      <c r="FT165" s="47"/>
      <c r="FU165" s="47"/>
      <c r="FV165" s="47"/>
      <c r="FW165" s="47"/>
      <c r="FX165" s="47"/>
      <c r="FY165" s="47"/>
      <c r="FZ165" s="47"/>
      <c r="GA165" s="47"/>
      <c r="GB165" s="47"/>
      <c r="GC165" s="47"/>
      <c r="GD165" s="47"/>
      <c r="GE165" s="47"/>
      <c r="GF165" s="47"/>
      <c r="GG165" s="47"/>
      <c r="GH165" s="47"/>
      <c r="GI165" s="47"/>
      <c r="GJ165" s="47"/>
      <c r="GK165" s="47"/>
      <c r="GL165" s="47"/>
      <c r="GM165" s="47"/>
      <c r="GN165" s="47"/>
      <c r="GO165" s="47"/>
      <c r="GP165" s="47"/>
      <c r="GQ165" s="47"/>
      <c r="GR165" s="47"/>
      <c r="GS165" s="47"/>
      <c r="GT165" s="47"/>
      <c r="GU165" s="47"/>
      <c r="GV165" s="47"/>
      <c r="GW165" s="47"/>
      <c r="GX165" s="47"/>
      <c r="GY165" s="47"/>
      <c r="GZ165" s="47"/>
      <c r="HA165" s="47"/>
      <c r="HB165" s="47"/>
      <c r="HC165" s="47"/>
      <c r="HD165" s="47"/>
      <c r="HE165" s="47"/>
      <c r="HF165" s="47"/>
      <c r="HG165" s="47"/>
      <c r="HH165" s="47"/>
      <c r="HI165" s="47"/>
      <c r="HJ165" s="47"/>
      <c r="HK165" s="47"/>
      <c r="HL165" s="47"/>
      <c r="HM165" s="47"/>
      <c r="HN165" s="47"/>
      <c r="HO165" s="47"/>
      <c r="HP165" s="47"/>
      <c r="HQ165" s="47"/>
      <c r="HR165" s="47"/>
      <c r="HS165" s="47"/>
      <c r="HT165" s="47"/>
      <c r="HU165" s="47"/>
      <c r="HV165" s="47"/>
      <c r="HW165" s="47"/>
      <c r="HX165" s="47"/>
      <c r="HY165" s="47"/>
      <c r="HZ165" s="47"/>
      <c r="IA165" s="47"/>
      <c r="IB165" s="47"/>
      <c r="IC165" s="47"/>
      <c r="ID165" s="47"/>
      <c r="IE165" s="47"/>
      <c r="IF165" s="47"/>
      <c r="IG165" s="47"/>
      <c r="IH165" s="47"/>
      <c r="II165" s="47"/>
      <c r="IJ165" s="47"/>
      <c r="IK165" s="47"/>
      <c r="IL165" s="47"/>
      <c r="IM165" s="47"/>
      <c r="IN165" s="47"/>
      <c r="IO165" s="47"/>
      <c r="IP165" s="47"/>
      <c r="IQ165" s="47"/>
      <c r="IR165" s="47"/>
      <c r="IS165" s="47"/>
      <c r="IT165" s="47"/>
      <c r="IU165" s="47"/>
      <c r="IV165" s="47"/>
      <c r="IW165" s="1"/>
      <c r="IX165" s="1"/>
      <c r="IY165" s="1"/>
      <c r="IZ165" s="1"/>
      <c r="JA165" s="1"/>
      <c r="JB165" s="1"/>
      <c r="JC165" s="1"/>
      <c r="JD165" s="1"/>
      <c r="JE165" s="1"/>
      <c r="JF165" s="1"/>
      <c r="JG165" s="1"/>
      <c r="JH165" s="1"/>
      <c r="JI165" s="1"/>
      <c r="JJ165" s="1"/>
      <c r="JK165" s="1"/>
      <c r="JL165" s="1"/>
      <c r="JM165" s="1"/>
      <c r="JN165" s="1"/>
      <c r="JO165" s="1"/>
      <c r="JP165" s="1"/>
      <c r="JQ165" s="1"/>
      <c r="JR165" s="1"/>
      <c r="JS165" s="1"/>
      <c r="JT165" s="1"/>
      <c r="JU165" s="1"/>
      <c r="JV165" s="1"/>
      <c r="JW165" s="1"/>
      <c r="JX165" s="1"/>
      <c r="JY165" s="1"/>
      <c r="JZ165" s="1"/>
      <c r="KA165" s="1"/>
      <c r="KB165" s="1"/>
      <c r="KC165" s="1"/>
      <c r="KD165" s="1"/>
      <c r="KE165" s="1"/>
      <c r="KF165" s="1"/>
      <c r="KG165" s="1"/>
      <c r="KH165" s="1"/>
      <c r="KI165" s="1"/>
      <c r="KJ165" s="1"/>
      <c r="KK165" s="1"/>
      <c r="KL165" s="1"/>
      <c r="KM165" s="1"/>
      <c r="KN165" s="1"/>
      <c r="KO165" s="1"/>
      <c r="KP165" s="1"/>
      <c r="KQ165" s="1"/>
      <c r="KR165" s="1"/>
      <c r="KS165" s="1"/>
      <c r="KT165" s="1"/>
      <c r="KU165" s="1"/>
      <c r="KV165" s="1"/>
      <c r="KW165" s="1"/>
      <c r="KX165" s="1"/>
      <c r="KY165" s="1"/>
      <c r="KZ165" s="1"/>
      <c r="LA165" s="1"/>
      <c r="LB165" s="1"/>
      <c r="LC165" s="1"/>
      <c r="LD165" s="1"/>
      <c r="LE165" s="1"/>
      <c r="LF165" s="1"/>
      <c r="LG165" s="1"/>
      <c r="LH165" s="1"/>
      <c r="LI165" s="1"/>
      <c r="LJ165" s="1"/>
      <c r="LK165" s="1"/>
      <c r="LL165" s="1"/>
      <c r="LM165" s="1"/>
      <c r="LN165" s="1"/>
      <c r="LO165" s="1"/>
      <c r="LP165" s="1"/>
      <c r="LQ165" s="1"/>
      <c r="LR165" s="1"/>
      <c r="LS165" s="1"/>
      <c r="LT165" s="1"/>
      <c r="LU165" s="1"/>
      <c r="LV165" s="1"/>
      <c r="LW165" s="1"/>
      <c r="LX165" s="1"/>
      <c r="LY165" s="1"/>
      <c r="LZ165" s="1"/>
      <c r="MA165" s="1"/>
      <c r="MB165" s="1"/>
      <c r="MC165" s="1"/>
      <c r="MD165" s="1"/>
      <c r="ME165" s="1"/>
      <c r="MF165" s="1"/>
      <c r="MG165" s="1"/>
      <c r="MH165" s="1"/>
      <c r="MI165" s="1"/>
      <c r="MJ165" s="1"/>
      <c r="MK165" s="1"/>
      <c r="ML165" s="1"/>
      <c r="MM165" s="1"/>
      <c r="MN165" s="1"/>
      <c r="MO165" s="1"/>
      <c r="MP165" s="1"/>
      <c r="MQ165" s="1"/>
      <c r="MR165" s="1"/>
      <c r="MS165" s="1"/>
      <c r="MT165" s="1"/>
      <c r="MU165" s="1"/>
      <c r="MV165" s="1"/>
      <c r="MW165" s="1"/>
      <c r="MX165" s="1"/>
      <c r="MY165" s="1"/>
      <c r="MZ165" s="1"/>
      <c r="NA165" s="1"/>
      <c r="NB165" s="1"/>
      <c r="ND165" s="1"/>
      <c r="NE165" s="1"/>
      <c r="NF165" s="1"/>
      <c r="NG165" s="1"/>
      <c r="NH165" s="1"/>
    </row>
    <row r="166" spans="1:372" ht="15" customHeight="1" x14ac:dyDescent="0.3">
      <c r="A166" s="59"/>
      <c r="B166" s="59"/>
      <c r="C166" s="59"/>
      <c r="D166" s="59"/>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EG166" s="1"/>
      <c r="EH166" s="1"/>
      <c r="EI166" s="1"/>
      <c r="EJ166" s="1"/>
      <c r="EK166" s="1"/>
      <c r="EL166" s="1"/>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c r="GF166" s="1"/>
      <c r="GG166" s="1"/>
      <c r="GH166" s="1"/>
      <c r="GI166" s="1"/>
      <c r="GJ166" s="1"/>
      <c r="GK166" s="1"/>
      <c r="GL166" s="1"/>
      <c r="GM166" s="1"/>
      <c r="GN166" s="1"/>
      <c r="GO166" s="1"/>
      <c r="GP166" s="1"/>
      <c r="GQ166" s="1"/>
      <c r="GR166" s="1"/>
      <c r="GS166" s="1"/>
      <c r="GT166" s="1"/>
      <c r="GU166" s="1"/>
      <c r="GV166" s="1"/>
      <c r="GW166" s="1"/>
      <c r="GX166" s="1"/>
      <c r="GY166" s="1"/>
      <c r="GZ166" s="1"/>
      <c r="HA166" s="1"/>
      <c r="HB166" s="1"/>
      <c r="HC166" s="1"/>
      <c r="HD166" s="1"/>
      <c r="HE166" s="1"/>
      <c r="HF166" s="1"/>
      <c r="HG166" s="1"/>
      <c r="HH166" s="1"/>
      <c r="HI166" s="1"/>
      <c r="HJ166" s="1"/>
      <c r="HK166" s="1"/>
      <c r="HL166" s="1"/>
      <c r="HM166" s="1"/>
      <c r="HN166" s="1"/>
      <c r="HO166" s="1"/>
      <c r="HP166" s="1"/>
      <c r="HQ166" s="1"/>
      <c r="HR166" s="1"/>
      <c r="HS166" s="1"/>
      <c r="HT166" s="1"/>
      <c r="HU166" s="1"/>
      <c r="HV166" s="1"/>
      <c r="HW166" s="1"/>
      <c r="HX166" s="1"/>
      <c r="HY166" s="1"/>
      <c r="HZ166" s="1"/>
      <c r="IA166" s="1"/>
      <c r="IB166" s="1"/>
      <c r="IC166" s="1"/>
      <c r="ID166" s="1"/>
      <c r="IE166" s="1"/>
      <c r="IF166" s="1"/>
      <c r="IG166" s="1"/>
      <c r="IH166" s="1"/>
      <c r="II166" s="1"/>
      <c r="IJ166" s="1"/>
      <c r="IK166" s="1"/>
      <c r="IL166" s="1"/>
      <c r="IM166" s="1"/>
      <c r="IN166" s="1"/>
      <c r="IO166" s="1"/>
      <c r="IP166" s="1"/>
      <c r="IQ166" s="1"/>
      <c r="IR166" s="1"/>
      <c r="IS166" s="1"/>
      <c r="IT166" s="1"/>
      <c r="IU166" s="1"/>
      <c r="IV166" s="1"/>
      <c r="IW166" s="1"/>
      <c r="IX166" s="1"/>
      <c r="IY166" s="1"/>
      <c r="IZ166" s="1"/>
      <c r="JA166" s="1"/>
      <c r="JB166" s="1"/>
      <c r="JC166" s="1"/>
      <c r="JD166" s="1"/>
      <c r="JE166" s="1"/>
      <c r="JF166" s="1"/>
      <c r="JG166" s="1"/>
      <c r="JH166" s="1"/>
      <c r="JI166" s="1"/>
      <c r="JJ166" s="1"/>
      <c r="JK166" s="1"/>
      <c r="JL166" s="1"/>
      <c r="JM166" s="1"/>
      <c r="JN166" s="1"/>
      <c r="JO166" s="1"/>
      <c r="JP166" s="1"/>
      <c r="JQ166" s="1"/>
      <c r="JR166" s="1"/>
      <c r="JS166" s="1"/>
      <c r="JT166" s="1"/>
      <c r="JU166" s="1"/>
      <c r="JV166" s="1"/>
      <c r="JW166" s="1"/>
      <c r="JX166" s="1"/>
      <c r="JY166" s="1"/>
      <c r="JZ166" s="1"/>
      <c r="KA166" s="1"/>
      <c r="KB166" s="1"/>
      <c r="KC166" s="1"/>
      <c r="KD166" s="1"/>
      <c r="KE166" s="1"/>
      <c r="KF166" s="1"/>
      <c r="KG166" s="1"/>
      <c r="KH166" s="1"/>
      <c r="KI166" s="1"/>
      <c r="KJ166" s="1"/>
      <c r="KK166" s="1"/>
      <c r="KL166" s="1"/>
      <c r="KM166" s="1"/>
      <c r="KN166" s="1"/>
      <c r="KO166" s="1"/>
      <c r="KP166" s="1"/>
      <c r="KQ166" s="1"/>
      <c r="KR166" s="1"/>
      <c r="KS166" s="1"/>
      <c r="KT166" s="1"/>
      <c r="KU166" s="1"/>
      <c r="KV166" s="1"/>
      <c r="KW166" s="1"/>
      <c r="KX166" s="1"/>
      <c r="KY166" s="1"/>
      <c r="KZ166" s="1"/>
      <c r="LA166" s="1"/>
      <c r="LB166" s="1"/>
      <c r="LC166" s="1"/>
      <c r="LD166" s="1"/>
      <c r="LE166" s="1"/>
      <c r="LF166" s="1"/>
      <c r="LG166" s="1"/>
      <c r="LH166" s="1"/>
      <c r="LI166" s="1"/>
      <c r="LJ166" s="1"/>
      <c r="LK166" s="1"/>
      <c r="LL166" s="1"/>
      <c r="LM166" s="1"/>
      <c r="LN166" s="1"/>
      <c r="LO166" s="1"/>
      <c r="LP166" s="1"/>
      <c r="LQ166" s="1"/>
      <c r="LR166" s="1"/>
      <c r="LS166" s="1"/>
      <c r="LT166" s="1"/>
      <c r="LU166" s="1"/>
      <c r="LV166" s="1"/>
      <c r="LW166" s="1"/>
      <c r="LX166" s="1"/>
      <c r="LY166" s="1"/>
      <c r="LZ166" s="1"/>
      <c r="MA166" s="1"/>
      <c r="MB166" s="1"/>
      <c r="MC166" s="1"/>
      <c r="MD166" s="1"/>
      <c r="ME166" s="1"/>
      <c r="MF166" s="1"/>
      <c r="MG166" s="1"/>
      <c r="MH166" s="1"/>
      <c r="MI166" s="1"/>
      <c r="MJ166" s="1"/>
      <c r="MK166" s="1"/>
      <c r="ML166" s="1"/>
      <c r="MM166" s="1"/>
      <c r="MN166" s="1"/>
      <c r="MO166" s="1"/>
      <c r="MP166" s="1"/>
      <c r="MQ166" s="1"/>
      <c r="MR166" s="1"/>
      <c r="MS166" s="1"/>
      <c r="MT166" s="1"/>
      <c r="MU166" s="1"/>
      <c r="MV166" s="1"/>
      <c r="MW166" s="1"/>
      <c r="MX166" s="1"/>
      <c r="MY166" s="1"/>
      <c r="MZ166" s="1"/>
      <c r="NA166" s="1"/>
      <c r="NB166" s="1"/>
      <c r="ND166" s="1"/>
      <c r="NE166" s="1"/>
      <c r="NF166" s="1"/>
      <c r="NG166" s="1"/>
      <c r="NH166" s="1"/>
    </row>
  </sheetData>
  <dataValidations count="3">
    <dataValidation type="list" allowBlank="1" showErrorMessage="1" sqref="MW5 MW7" xr:uid="{0459B827-F32A-42B3-B835-186CFA3A6FCA}">
      <formula1>$NG$3:$NG$7</formula1>
    </dataValidation>
    <dataValidation type="list" allowBlank="1" showInputMessage="1" showErrorMessage="1" prompt="Enter your Interest Rate" sqref="B7" xr:uid="{7A196F74-FAB1-46EB-9A7A-9FFE00C46265}">
      <formula1>$NF$3:$NF$127</formula1>
    </dataValidation>
    <dataValidation type="list" allowBlank="1" showInputMessage="1" showErrorMessage="1" prompt="Enter the % you wish to put in downpayment" sqref="B5" xr:uid="{5C1F82FC-5338-4DD3-BA29-F02FA4BD3F02}">
      <formula1>"5%,10%,15%,20%,25%,30%,35%,40%,45%,50%"</formula1>
    </dataValidation>
  </dataValidations>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autoFill="0" autoPict="0" macro="[0]!BuyingScenario">
                <anchor moveWithCells="1" sizeWithCells="1">
                  <from>
                    <xdr:col>2</xdr:col>
                    <xdr:colOff>464820</xdr:colOff>
                    <xdr:row>5</xdr:row>
                    <xdr:rowOff>60960</xdr:rowOff>
                  </from>
                  <to>
                    <xdr:col>4</xdr:col>
                    <xdr:colOff>320040</xdr:colOff>
                    <xdr:row>7</xdr:row>
                    <xdr:rowOff>99060</xdr:rowOff>
                  </to>
                </anchor>
              </controlPr>
            </control>
          </mc:Choice>
        </mc:AlternateContent>
        <mc:AlternateContent xmlns:mc="http://schemas.openxmlformats.org/markup-compatibility/2006">
          <mc:Choice Requires="x14">
            <control shapeId="15362" r:id="rId5" name="Button 2">
              <controlPr defaultSize="0" autoFill="0" autoPict="0" macro="[0]!ClearContents">
                <anchor moveWithCells="1" sizeWithCells="1">
                  <from>
                    <xdr:col>3</xdr:col>
                    <xdr:colOff>464820</xdr:colOff>
                    <xdr:row>8</xdr:row>
                    <xdr:rowOff>68580</xdr:rowOff>
                  </from>
                  <to>
                    <xdr:col>5</xdr:col>
                    <xdr:colOff>525780</xdr:colOff>
                    <xdr:row>10</xdr:row>
                    <xdr:rowOff>114300</xdr:rowOff>
                  </to>
                </anchor>
              </controlPr>
            </control>
          </mc:Choice>
        </mc:AlternateContent>
        <mc:AlternateContent xmlns:mc="http://schemas.openxmlformats.org/markup-compatibility/2006">
          <mc:Choice Requires="x14">
            <control shapeId="15363" r:id="rId6" name="Button 3">
              <controlPr defaultSize="0" autoFill="0" autoPict="0" macro="[0]!RentingScenario">
                <anchor moveWithCells="1" sizeWithCells="1">
                  <from>
                    <xdr:col>4</xdr:col>
                    <xdr:colOff>388620</xdr:colOff>
                    <xdr:row>5</xdr:row>
                    <xdr:rowOff>53340</xdr:rowOff>
                  </from>
                  <to>
                    <xdr:col>6</xdr:col>
                    <xdr:colOff>259080</xdr:colOff>
                    <xdr:row>7</xdr:row>
                    <xdr:rowOff>91440</xdr:rowOff>
                  </to>
                </anchor>
              </controlPr>
            </control>
          </mc:Choice>
        </mc:AlternateContent>
        <mc:AlternateContent xmlns:mc="http://schemas.openxmlformats.org/markup-compatibility/2006">
          <mc:Choice Requires="x14">
            <control shapeId="15364" r:id="rId7" name="Button 4">
              <controlPr defaultSize="0" autoFill="0" autoPict="0" macro="[0]!Decision_message">
                <anchor moveWithCells="1" sizeWithCells="1">
                  <from>
                    <xdr:col>3</xdr:col>
                    <xdr:colOff>76200</xdr:colOff>
                    <xdr:row>11</xdr:row>
                    <xdr:rowOff>68580</xdr:rowOff>
                  </from>
                  <to>
                    <xdr:col>6</xdr:col>
                    <xdr:colOff>175260</xdr:colOff>
                    <xdr:row>13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8483-6C39-48B0-A3C4-957F018DEC04}">
  <sheetPr codeName="Sheet4"/>
  <dimension ref="A1"/>
  <sheetViews>
    <sheetView showGridLines="0" topLeftCell="A20" workbookViewId="0">
      <selection activeCell="V38" sqref="V38"/>
    </sheetView>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ShowUserForm">
                <anchor moveWithCells="1" sizeWithCells="1">
                  <from>
                    <xdr:col>23</xdr:col>
                    <xdr:colOff>251460</xdr:colOff>
                    <xdr:row>4</xdr:row>
                    <xdr:rowOff>30480</xdr:rowOff>
                  </from>
                  <to>
                    <xdr:col>26</xdr:col>
                    <xdr:colOff>228600</xdr:colOff>
                    <xdr:row>6</xdr:row>
                    <xdr:rowOff>68580</xdr:rowOff>
                  </to>
                </anchor>
              </controlPr>
            </control>
          </mc:Choice>
        </mc:AlternateContent>
        <mc:AlternateContent xmlns:mc="http://schemas.openxmlformats.org/markup-compatibility/2006">
          <mc:Choice Requires="x14">
            <control shapeId="23556" r:id="rId4" name="Button 4">
              <controlPr defaultSize="0" print="0" autoFill="0" autoPict="0" macro="[0]!ShowUserForm">
                <anchor moveWithCells="1" sizeWithCells="1">
                  <from>
                    <xdr:col>20</xdr:col>
                    <xdr:colOff>83820</xdr:colOff>
                    <xdr:row>20</xdr:row>
                    <xdr:rowOff>22860</xdr:rowOff>
                  </from>
                  <to>
                    <xdr:col>22</xdr:col>
                    <xdr:colOff>38100</xdr:colOff>
                    <xdr:row>22</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Buying_Price</vt:lpstr>
      <vt:lpstr>Rental_Price</vt:lpstr>
      <vt:lpstr>Combine</vt:lpstr>
      <vt:lpstr>User Form</vt:lpstr>
      <vt:lpstr>Based_on_zipcodes</vt:lpstr>
      <vt:lpstr>User_inputs_based</vt:lpstr>
      <vt:lpstr>Housing Prices_Dashboard</vt:lpstr>
      <vt:lpstr>Annual_insurance</vt:lpstr>
      <vt:lpstr>Annual_maintainance</vt:lpstr>
      <vt:lpstr>Assumed_annual__after_tax__return_on_cash</vt:lpstr>
      <vt:lpstr>Assumed_annual_appreciation</vt:lpstr>
      <vt:lpstr>Assumed_marginal_income_tax_rate</vt:lpstr>
      <vt:lpstr>Assumed_rental_price_inflation</vt:lpstr>
      <vt:lpstr>Cost_of_renting_similar_home</vt:lpstr>
      <vt:lpstr>Downpayment</vt:lpstr>
      <vt:lpstr>Downpayment__Calculated_amount</vt:lpstr>
      <vt:lpstr>General_inflation</vt:lpstr>
      <vt:lpstr>Interest_rate</vt:lpstr>
      <vt:lpstr>Monthly_mortage_payment</vt:lpstr>
      <vt:lpstr>Principal_amortization__years</vt:lpstr>
      <vt:lpstr>Property_tax_rate</vt:lpstr>
      <vt:lpstr>Purchase_price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Aswini Sivakumar</dc:creator>
  <cp:lastModifiedBy>Students</cp:lastModifiedBy>
  <dcterms:created xsi:type="dcterms:W3CDTF">2023-03-25T15:53:00Z</dcterms:created>
  <dcterms:modified xsi:type="dcterms:W3CDTF">2023-04-25T16:46:26Z</dcterms:modified>
</cp:coreProperties>
</file>